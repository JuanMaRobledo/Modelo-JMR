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lculadora" sheetId="2" state="visible" r:id="rId2"/>
    <sheet name="Checklist Cualitativo" sheetId="3" state="visible" r:id="rId3"/>
    <sheet name="Casos de Estudio" sheetId="4" state="visible" r:id="rId4"/>
  </sheets>
  <definedNames>
    <definedName name="_xlnm._FilterDatabase" localSheetId="3" hidden="1">'Casos de Estudio'!$A$1:$U$56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x&quot;"/>
    <numFmt numFmtId="165" formatCode="$#,##0.00"/>
    <numFmt numFmtId="166" formatCode="0.0%"/>
    <numFmt numFmtId="167" formatCode="+0%;-0%;0%"/>
  </numFmts>
  <fonts count="1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000000"/>
      <sz val="11"/>
    </font>
    <font>
      <name val="Arial"/>
      <b val="1"/>
    </font>
    <font>
      <name val="Arial"/>
      <sz val="11"/>
    </font>
    <font>
      <name val="Arial"/>
      <color rgb="00000000"/>
    </font>
    <font>
      <name val="Arial"/>
      <color rgb="000000FF"/>
    </font>
    <font>
      <name val="Arial"/>
      <b val="1"/>
      <color rgb="00000000"/>
      <sz val="11"/>
    </font>
    <font>
      <name val="Arial"/>
      <i val="1"/>
      <sz val="10"/>
    </font>
    <font>
      <name val="Arial"/>
      <b val="1"/>
      <color rgb="00FFFFFF"/>
    </font>
    <font>
      <name val="Arial"/>
      <b val="1"/>
      <color rgb="000000FF"/>
    </font>
    <font>
      <name val="Arial"/>
      <i val="1"/>
      <color rgb="00666666"/>
      <sz val="9"/>
    </font>
    <font>
      <name val="Arial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applyAlignment="1" pivotButton="0" quotePrefix="0" xfId="0">
      <alignment vertical="center" wrapText="1"/>
    </xf>
    <xf numFmtId="0" fontId="10" fillId="2" borderId="1" applyAlignment="1" pivotButton="0" quotePrefix="0" xfId="0">
      <alignment horizontal="center"/>
    </xf>
    <xf numFmtId="164" fontId="10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5" fontId="10" fillId="2" borderId="1" applyAlignment="1" pivotButton="0" quotePrefix="0" xfId="0">
      <alignment horizontal="center"/>
    </xf>
    <xf numFmtId="166" fontId="10" fillId="2" borderId="1" applyAlignment="1" pivotButton="0" quotePrefix="0" xfId="0">
      <alignment horizontal="center"/>
    </xf>
    <xf numFmtId="1" fontId="10" fillId="2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9" fillId="3" borderId="0" applyAlignment="1" pivotButton="0" quotePrefix="0" xfId="0">
      <alignment horizontal="center" wrapText="1"/>
    </xf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11" fillId="0" borderId="0" applyAlignment="1" pivotButton="0" quotePrefix="0" xfId="0">
      <alignment wrapText="1"/>
    </xf>
    <xf numFmtId="164" fontId="10" fillId="2" borderId="1" applyAlignment="1" pivotButton="0" quotePrefix="0" xfId="0">
      <alignment horizontal="center"/>
    </xf>
    <xf numFmtId="165" fontId="10" fillId="2" borderId="1" applyAlignment="1" pivotButton="0" quotePrefix="0" xfId="0">
      <alignment horizontal="center"/>
    </xf>
    <xf numFmtId="166" fontId="10" fillId="2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9" fillId="3" borderId="0" pivotButton="0" quotePrefix="0" xfId="0"/>
    <xf numFmtId="0" fontId="3" fillId="4" borderId="1" pivotButton="0" quotePrefix="0" xfId="0"/>
    <xf numFmtId="0" fontId="12" fillId="0" borderId="1" pivotButton="0" quotePrefix="0" xfId="0"/>
    <xf numFmtId="0" fontId="0" fillId="2" borderId="1" pivotButton="0" quotePrefix="0" xfId="0"/>
    <xf numFmtId="0" fontId="13" fillId="3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vertical="top"/>
    </xf>
    <xf numFmtId="0" fontId="14" fillId="5" borderId="2" applyAlignment="1" pivotButton="0" quotePrefix="0" xfId="0">
      <alignment vertical="top" wrapText="1"/>
    </xf>
    <xf numFmtId="0" fontId="14" fillId="6" borderId="2" applyAlignment="1" pivotButton="0" quotePrefix="0" xfId="0">
      <alignment vertical="top"/>
    </xf>
    <xf numFmtId="0" fontId="14" fillId="6" borderId="2" applyAlignment="1" pivotButton="0" quotePrefix="0" xfId="0">
      <alignment vertical="top" wrapText="1"/>
    </xf>
    <xf numFmtId="0" fontId="15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vertical="center" wrapText="1"/>
    </xf>
    <xf numFmtId="164" fontId="3" fillId="2" borderId="1" applyAlignment="1" pivotButton="0" quotePrefix="0" xfId="0">
      <alignment horizontal="center"/>
    </xf>
    <xf numFmtId="167" fontId="10" fillId="2" borderId="1" applyAlignment="1" pivotButton="0" quotePrefix="0" xfId="0">
      <alignment horizontal="center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696B"/>
        </patternFill>
      </fill>
    </dxf>
    <dxf>
      <fill>
        <patternFill patternType="solid">
          <fgColor rgb="00FFEB84"/>
        </patternFill>
      </fill>
    </dxf>
    <dxf>
      <fill>
        <patternFill patternType="solid">
          <fgColor rgb="0063BE7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Modelo de Valoración por Múltiplos Relativos</t>
        </is>
      </c>
    </row>
    <row r="4">
      <c r="B4" s="2" t="inlineStr">
        <is>
          <t>Este libro es la herramienta de trabajo del modelo descrito en modelo/METODOLOGIA.md, construido a partir de 55 hipótesis de inversión reales documentadas en 'Casos de estudio' (2022-2026).</t>
        </is>
      </c>
    </row>
    <row r="6">
      <c r="B6" s="3" t="inlineStr">
        <is>
          <t>Pestañas de este libro</t>
        </is>
      </c>
    </row>
    <row r="7" ht="34" customHeight="1">
      <c r="B7" s="4" t="inlineStr">
        <is>
          <t>• Calculadora: Herramienta para valorar una empresa NUEVA. Llena las celdas amarillas (precio, múltiplos, proyecciones) y el archivo calcula los 3 escenarios de precio objetivo, su CAGR y las zonas de valor sugeridas.</t>
        </is>
      </c>
    </row>
    <row r="8" ht="48" customHeight="1">
      <c r="B8" s="4" t="inlineStr">
        <is>
          <t>Novedad: la Calculadora ahora fija sola los 3 múltiplos de salida (Negativo/Base/Optimista) con una regla derivada estadísticamente de los 55 casos (ver anexo al Paso 5 en METODOLOGIA.md). Puedes ajustarla con la columna "Ajuste manual" junto a cada múltiplo.</t>
        </is>
      </c>
    </row>
    <row r="9" ht="34" customHeight="1"/>
    <row r="10">
      <c r="B10" s="4" t="inlineStr">
        <is>
          <t>• Checklist Cualitativo: Lista de verificación de 14 puntos + scorecard de moat + evaluación de riesgo, para completar junto con la Calculadora antes de decidir una posición.</t>
        </is>
      </c>
    </row>
    <row r="11">
      <c r="B11" s="4" t="inlineStr">
        <is>
          <t>• Casos de Estudio: Tabla con los 55 casos históricos ya analizados: múltiplos usados, precios objetivo, zonas de valor, conclusión y resultado. Úsala para consultar rápidamente cualquier caso pasado, o como inspiración de rangos de múltiplos por sector.</t>
        </is>
      </c>
    </row>
    <row r="12"/>
    <row r="13">
      <c r="B13" s="3" t="inlineStr">
        <is>
          <t>Código de colores</t>
        </is>
      </c>
    </row>
    <row r="14">
      <c r="B14" s="5" t="inlineStr">
        <is>
          <t>Amarillo = celda para llenar (input tuyo)</t>
        </is>
      </c>
    </row>
    <row r="15">
      <c r="B15" s="6" t="inlineStr">
        <is>
          <t>Azul = valor de ejemplo / dato hardcodeado documentado</t>
        </is>
      </c>
    </row>
    <row r="16">
      <c r="B16" s="7" t="inlineStr">
        <is>
          <t>Negro = fórmula (se recalcula sola, no la edites)</t>
        </is>
      </c>
    </row>
    <row r="17"/>
    <row r="18">
      <c r="B18" s="8" t="inlineStr">
        <is>
          <t>Nota: este modelo organiza información y automatiza cálculos con fines educativos y de seguimiento personal. No constituye asesoría financiera ni recomendación de inversión.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34" customWidth="1" min="4" max="4"/>
    <col width="16" customWidth="1" min="5" max="5"/>
    <col width="40" customWidth="1" min="6" max="6"/>
    <col width="14" customWidth="1" min="7" max="7"/>
  </cols>
  <sheetData>
    <row r="1">
      <c r="B1" s="1" t="inlineStr">
        <is>
          <t>Calculadora de Valoración</t>
        </is>
      </c>
    </row>
    <row r="2">
      <c r="B2" s="9" t="inlineStr">
        <is>
          <t>Completa las celdas amarillas. Los resultados (negro) se calculan solos.</t>
        </is>
      </c>
    </row>
    <row r="4" ht="20" customHeight="1">
      <c r="B4" s="10" t="inlineStr">
        <is>
          <t>1. DATOS GENERALES</t>
        </is>
      </c>
      <c r="C4" s="11" t="n"/>
      <c r="D4" s="11" t="n"/>
      <c r="E4" s="10" t="inlineStr">
        <is>
          <t>2. SALUD FINANCIERA (checklist rápido)</t>
        </is>
      </c>
      <c r="F4" s="11" t="n"/>
    </row>
    <row r="5">
      <c r="B5" s="12" t="inlineStr">
        <is>
          <t>Ticker / empresa</t>
        </is>
      </c>
      <c r="C5" s="13" t="inlineStr">
        <is>
          <t>EJEMPLO</t>
        </is>
      </c>
      <c r="E5" s="12" t="inlineStr">
        <is>
          <t>Deuda neta / EBITDA (x)</t>
        </is>
      </c>
      <c r="F5" s="26" t="n">
        <v>1</v>
      </c>
    </row>
    <row r="6">
      <c r="B6" s="12" t="inlineStr">
        <is>
          <t>Fecha de análisis</t>
        </is>
      </c>
      <c r="C6" s="13" t="inlineStr">
        <is>
          <t>2026-08-28</t>
        </is>
      </c>
      <c r="E6" s="12" t="inlineStr">
        <is>
          <t>Semáforo de deuda</t>
        </is>
      </c>
      <c r="F6" s="15">
        <f>IF(F5&lt;1,"Muy sano",IF(F5&lt;2,"Aceptable",IF(F5&lt;3,"Límite - cautela","Alerta (&gt;3x)")))</f>
        <v/>
      </c>
    </row>
    <row r="7">
      <c r="B7" s="12" t="inlineStr">
        <is>
          <t>Precio actual de la acción</t>
        </is>
      </c>
      <c r="C7" s="27" t="n">
        <v>100</v>
      </c>
      <c r="E7" s="12" t="inlineStr">
        <is>
          <t>ROE actual (%)</t>
        </is>
      </c>
      <c r="F7" s="28" t="n">
        <v>0.2</v>
      </c>
    </row>
    <row r="8">
      <c r="B8" s="12" t="inlineStr">
        <is>
          <t>Categoría de riesgo</t>
        </is>
      </c>
      <c r="C8" s="13" t="inlineStr">
        <is>
          <t>Estándar</t>
        </is>
      </c>
      <c r="E8" s="12" t="inlineStr">
        <is>
          <t>ROIC actual (%)</t>
        </is>
      </c>
      <c r="F8" s="28" t="n">
        <v>0.15</v>
      </c>
    </row>
    <row r="9">
      <c r="B9" s="12" t="inlineStr">
        <is>
          <t>Años hasta el precio objetivo (N)</t>
        </is>
      </c>
      <c r="C9" s="18" t="n">
        <v>3</v>
      </c>
      <c r="E9" s="12" t="inlineStr">
        <is>
          <t>ROIC promedio 5 años (%)</t>
        </is>
      </c>
      <c r="F9" s="28" t="n">
        <v>0.14</v>
      </c>
    </row>
    <row r="10">
      <c r="B10" s="12" t="inlineStr">
        <is>
          <t>Dividend yield actual (%, opcional)</t>
        </is>
      </c>
      <c r="C10" s="28" t="n">
        <v>0.02</v>
      </c>
      <c r="E10" s="12" t="inlineStr">
        <is>
          <t>¿ROIC actual ≥ promedio 5a?</t>
        </is>
      </c>
      <c r="F10" s="15">
        <f>IF(F8&gt;=F9,"Sí - sostenible","No - revisar sostenibilidad")</f>
        <v/>
      </c>
    </row>
    <row r="12" ht="20" customHeight="1">
      <c r="B12" s="10" t="inlineStr">
        <is>
          <t>3. MÚLTIPLO ELEGIDO (según el tipo de negocio, ver METODOLOGIA.md paso 4)</t>
        </is>
      </c>
      <c r="C12" s="11" t="n"/>
      <c r="D12" s="11" t="n"/>
      <c r="E12" s="10" t="inlineStr">
        <is>
          <t>4. PROYECCIÓN (EPS o FCF por acción a N años)</t>
        </is>
      </c>
      <c r="F12" s="11" t="n"/>
    </row>
    <row r="13">
      <c r="B13" s="12" t="inlineStr">
        <is>
          <t>Tipo de múltiplo principal</t>
        </is>
      </c>
      <c r="C13" s="13" t="inlineStr">
        <is>
          <t>P/E</t>
        </is>
      </c>
      <c r="E13" s="12" t="inlineStr">
        <is>
          <t>EPS / FCF por acción actual (TTM)</t>
        </is>
      </c>
      <c r="F13" s="27" t="n">
        <v>4</v>
      </c>
    </row>
    <row r="14">
      <c r="B14" s="12" t="inlineStr">
        <is>
          <t>Múltiplo actual</t>
        </is>
      </c>
      <c r="C14" s="26" t="n">
        <v>18</v>
      </c>
      <c r="E14" s="12" t="inlineStr">
        <is>
          <t>EPS / FCF por acción proyectado (año N)</t>
        </is>
      </c>
      <c r="F14" s="27" t="n">
        <v>6</v>
      </c>
      <c r="G14" s="41" t="inlineStr">
        <is>
          <t>Ajuste manual</t>
        </is>
      </c>
    </row>
    <row r="15">
      <c r="B15" s="12" t="inlineStr">
        <is>
          <t>Múltiplo promedio histórico (5-15 años)</t>
        </is>
      </c>
      <c r="C15" s="26" t="n">
        <v>25</v>
      </c>
      <c r="E15" s="42" t="inlineStr">
        <is>
          <t>Múltiplo Negativo (auto = mult. actual)</t>
        </is>
      </c>
      <c r="F15" s="43">
        <f>C14*(1+G15)</f>
        <v/>
      </c>
      <c r="G15" s="44" t="n">
        <v>0</v>
      </c>
    </row>
    <row r="16">
      <c r="B16" s="12" t="inlineStr">
        <is>
          <t>Descuento/prima vs. histórico</t>
        </is>
      </c>
      <c r="C16" s="29">
        <f>C14/C15-1</f>
        <v/>
      </c>
      <c r="E16" s="42" t="inlineStr">
        <is>
          <t>Múltiplo Base (auto = 0.78×prom. histórico)</t>
        </is>
      </c>
      <c r="F16" s="43">
        <f>0.78*C15*(1+G16)</f>
        <v/>
      </c>
      <c r="G16" s="44" t="n">
        <v>0</v>
      </c>
    </row>
    <row r="17">
      <c r="B17" s="12" t="inlineStr">
        <is>
          <t>Múltiplo mínimo histórico (crisis/pánico)</t>
        </is>
      </c>
      <c r="C17" s="26" t="n">
        <v>12</v>
      </c>
      <c r="E17" s="42" t="inlineStr">
        <is>
          <t>Múltiplo Optimista (auto = 0.92×prom. histórico)</t>
        </is>
      </c>
      <c r="F17" s="43">
        <f>0.92*C15*(1+G17)</f>
        <v/>
      </c>
      <c r="G17" s="44" t="n">
        <v>0</v>
      </c>
    </row>
    <row r="19" ht="20" customHeight="1">
      <c r="B19" s="10" t="inlineStr">
        <is>
          <t>5. ESCENARIOS DE PRECIO OBJETIVO Y CAGR</t>
        </is>
      </c>
      <c r="C19" s="11" t="n"/>
      <c r="D19" s="11" t="n"/>
      <c r="E19" s="11" t="n"/>
    </row>
    <row r="20">
      <c r="B20" s="20" t="inlineStr">
        <is>
          <t>Escenario</t>
        </is>
      </c>
      <c r="C20" s="20" t="inlineStr">
        <is>
          <t>Múltiplo</t>
        </is>
      </c>
      <c r="D20" s="20" t="inlineStr">
        <is>
          <t>Precio objetivo</t>
        </is>
      </c>
      <c r="E20" s="20" t="inlineStr">
        <is>
          <t>CAGR (sin div.)</t>
        </is>
      </c>
      <c r="F20" s="20" t="inlineStr">
        <is>
          <t>CAGR + dividendo</t>
        </is>
      </c>
    </row>
    <row r="21">
      <c r="B21" s="21" t="inlineStr">
        <is>
          <t>Negativo</t>
        </is>
      </c>
      <c r="C21" s="30">
        <f>F15</f>
        <v/>
      </c>
      <c r="D21" s="31">
        <f>$F$14*C21</f>
        <v/>
      </c>
      <c r="E21" s="29">
        <f>(D21/$C$7)^(1/$C$9)-1</f>
        <v/>
      </c>
      <c r="F21" s="29">
        <f>E21+$C$10</f>
        <v/>
      </c>
    </row>
    <row r="22">
      <c r="B22" s="21" t="inlineStr">
        <is>
          <t>Base</t>
        </is>
      </c>
      <c r="C22" s="30">
        <f>F16</f>
        <v/>
      </c>
      <c r="D22" s="31">
        <f>$F$14*C22</f>
        <v/>
      </c>
      <c r="E22" s="29">
        <f>(D22/$C$7)^(1/$C$9)-1</f>
        <v/>
      </c>
      <c r="F22" s="29">
        <f>E22+$C$10</f>
        <v/>
      </c>
    </row>
    <row r="23">
      <c r="B23" s="21" t="inlineStr">
        <is>
          <t>Optimista</t>
        </is>
      </c>
      <c r="C23" s="30">
        <f>F17</f>
        <v/>
      </c>
      <c r="D23" s="31">
        <f>$F$14*C23</f>
        <v/>
      </c>
      <c r="E23" s="29">
        <f>(D23/$C$7)^(1/$C$9)-1</f>
        <v/>
      </c>
      <c r="F23" s="29">
        <f>E23+$C$10</f>
        <v/>
      </c>
    </row>
    <row r="25" ht="20" customHeight="1">
      <c r="B25" s="10" t="inlineStr">
        <is>
          <t>6. ZONAS DE VALOR SUGERIDAS (escalonar entradas)</t>
        </is>
      </c>
      <c r="C25" s="11" t="n"/>
      <c r="D25" s="11" t="n"/>
      <c r="E25" s="11" t="n"/>
    </row>
    <row r="26">
      <c r="B26" s="12" t="inlineStr">
        <is>
          <t>Múltiplo típico en corrección moderada (zona VALUE)</t>
        </is>
      </c>
      <c r="C26" s="26" t="n">
        <v>16</v>
      </c>
      <c r="D26" s="24" t="n"/>
      <c r="E26" s="7" t="inlineStr">
        <is>
          <t>Precio zona VALUE</t>
        </is>
      </c>
      <c r="F26" s="31">
        <f>C26*$F$13</f>
        <v/>
      </c>
    </row>
    <row r="27">
      <c r="B27" s="12" t="inlineStr">
        <is>
          <t>Múltiplo en corrección fuerte (zona DEEP VALUE)</t>
        </is>
      </c>
      <c r="C27" s="26" t="n">
        <v>13</v>
      </c>
      <c r="E27" s="7" t="inlineStr">
        <is>
          <t>Precio zona DEEP VALUE</t>
        </is>
      </c>
      <c r="F27" s="31">
        <f>C27*$F$13</f>
        <v/>
      </c>
    </row>
    <row r="28">
      <c r="B28" s="12" t="inlineStr">
        <is>
          <t>Múltiplo mínimo histórico (zona VALORACIÓN HISTÓRICA)</t>
        </is>
      </c>
      <c r="C28" s="30">
        <f>C17</f>
        <v/>
      </c>
      <c r="E28" s="7" t="inlineStr">
        <is>
          <t>Precio zona VALORACIÓN HISTÓRICA</t>
        </is>
      </c>
      <c r="F28" s="31">
        <f>C28*$F$13</f>
        <v/>
      </c>
    </row>
    <row r="30">
      <c r="B30" s="25" t="inlineStr">
        <is>
          <t>Nota: las zonas de valor multiplican el múltiplo elegido por el EPS/FCF por acción ACTUAL (F13), no por el proyectado. Ajusta los múltiplos de las filas 26-28 según el mínimo histórico real de la acción (revísalo en un gráfico de múltiplos de largo plazo).</t>
        </is>
      </c>
    </row>
    <row r="31"/>
    <row r="32"/>
    <row r="34">
      <c r="B34" s="45" t="inlineStr">
        <is>
          <t>Regla automática de múltiplos de salida (Paso 5 de METODOLOGIA.md, anexo): calculada estadísticamente comparando, en 15-18 de los 55 casos de estudio con datos completos, el múltiplo implícito de cada escenario (precio objetivo ÷ EPS/FCF proyectado) contra el múltiplo actual y el promedio histórico de cada caso. Resultado: Negativo ≈ 1.00× el múltiplo actual (rango 0.70x-1.30x); Base ≈ 0.78× el promedio histórico (rango 0.56x-1.01x); Optimista ≈ 0.92× el promedio histórico (rango 0.65x-1.23x). Confianza MEDIA: es un ancla estadística de lo que este inversionista terminó haciendo en la práctica, no una fórmula que haya aplicado mecánicamente él mismo (él ajusta por calidad del negocio y convicción). Usa la columna 'Ajuste manual' para moverte, ej. -10% a -20% en hipótesis 'Especulativas' (así se comportaron AMD, NVO y otras especulativas del historial), o +X% si tienes convicción alta de que el negocio merece re-ratear por encima de su propia historia.</t>
        </is>
      </c>
    </row>
    <row r="35"/>
    <row r="36"/>
    <row r="37"/>
    <row r="38"/>
    <row r="39"/>
  </sheetData>
  <mergeCells count="2">
    <mergeCell ref="B34:G39"/>
    <mergeCell ref="B30:F32"/>
  </mergeCells>
  <conditionalFormatting sqref="F5">
    <cfRule type="cellIs" priority="1" operator="greaterThan" dxfId="0">
      <formula>3</formula>
    </cfRule>
    <cfRule type="cellIs" priority="2" operator="between" dxfId="1">
      <formula>1</formula>
      <formula>3</formula>
    </cfRule>
    <cfRule type="cellIs" priority="3" operator="lessThan" dxfId="2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6" customWidth="1" min="3" max="3"/>
    <col width="50" customWidth="1" min="4" max="4"/>
  </cols>
  <sheetData>
    <row r="1">
      <c r="B1" s="1" t="inlineStr">
        <is>
          <t>Checklist Cualitativo</t>
        </is>
      </c>
    </row>
    <row r="2">
      <c r="B2" s="9" t="inlineStr">
        <is>
          <t>Complementa la Calculadora antes de decidir el tamaño de la posición.</t>
        </is>
      </c>
    </row>
    <row r="4" ht="20" customHeight="1">
      <c r="B4" s="32" t="inlineStr">
        <is>
          <t>1. MOAT — ventajas competitivas (Paso 2 de la metodología)</t>
        </is>
      </c>
      <c r="C4" s="11" t="n"/>
      <c r="D4" s="11" t="n"/>
    </row>
    <row r="5">
      <c r="B5" s="33" t="inlineStr">
        <is>
          <t>Fuente de moat</t>
        </is>
      </c>
      <c r="C5" s="33" t="inlineStr">
        <is>
          <t>¿Aplica?</t>
        </is>
      </c>
      <c r="D5" s="33" t="inlineStr">
        <is>
          <t>Notas</t>
        </is>
      </c>
    </row>
    <row r="6">
      <c r="B6" s="34" t="inlineStr">
        <is>
          <t>Costos de cambio (switching costs)</t>
        </is>
      </c>
      <c r="C6" s="35" t="n"/>
      <c r="D6" s="35" t="n"/>
    </row>
    <row r="7">
      <c r="B7" s="34" t="inlineStr">
        <is>
          <t>Marca / poder de precio</t>
        </is>
      </c>
      <c r="C7" s="35" t="n"/>
      <c r="D7" s="35" t="n"/>
    </row>
    <row r="8">
      <c r="B8" s="34" t="inlineStr">
        <is>
          <t>Escala / distribución</t>
        </is>
      </c>
      <c r="C8" s="35" t="n"/>
      <c r="D8" s="35" t="n"/>
    </row>
    <row r="9">
      <c r="B9" s="34" t="inlineStr">
        <is>
          <t>Efecto red</t>
        </is>
      </c>
      <c r="C9" s="35" t="n"/>
      <c r="D9" s="35" t="n"/>
    </row>
    <row r="10">
      <c r="B10" s="34" t="inlineStr">
        <is>
          <t>Datos / contexto propietario</t>
        </is>
      </c>
      <c r="C10" s="35" t="n"/>
      <c r="D10" s="35" t="n"/>
    </row>
    <row r="11">
      <c r="B11" s="34" t="inlineStr">
        <is>
          <t>Costo de reemplazo de activos</t>
        </is>
      </c>
      <c r="C11" s="35" t="n"/>
      <c r="D11" s="35" t="n"/>
    </row>
    <row r="13" ht="20" customHeight="1">
      <c r="B13" s="32" t="inlineStr">
        <is>
          <t>2. SALUD FINANCIERA (Paso 3)</t>
        </is>
      </c>
      <c r="C13" s="11" t="n"/>
      <c r="D13" s="11" t="n"/>
    </row>
    <row r="14">
      <c r="B14" s="34" t="inlineStr">
        <is>
          <t>Deuda neta/EBITDA dentro de umbral tolerable (&lt;2x)</t>
        </is>
      </c>
      <c r="C14" s="35" t="n"/>
      <c r="D14" s="35" t="n"/>
    </row>
    <row r="15">
      <c r="B15" s="34" t="inlineStr">
        <is>
          <t>Caja operativa positiva y estable (no en deterioro)</t>
        </is>
      </c>
      <c r="C15" s="35" t="n"/>
      <c r="D15" s="35" t="n"/>
    </row>
    <row r="16">
      <c r="B16" s="34" t="inlineStr">
        <is>
          <t>FCF positivo y consistente</t>
        </is>
      </c>
      <c r="C16" s="35" t="n"/>
      <c r="D16" s="35" t="n"/>
    </row>
    <row r="17">
      <c r="B17" s="34" t="inlineStr">
        <is>
          <t>Márgenes estables o en expansión</t>
        </is>
      </c>
      <c r="C17" s="35" t="n"/>
      <c r="D17" s="35" t="n"/>
    </row>
    <row r="18">
      <c r="B18" s="34" t="inlineStr">
        <is>
          <t>ROIC actual ≥ ROIC promedio 5 años</t>
        </is>
      </c>
      <c r="C18" s="35" t="n"/>
      <c r="D18" s="35" t="n"/>
    </row>
    <row r="19">
      <c r="B19" s="34" t="inlineStr">
        <is>
          <t>Recompras/dividendos financiados con caja propia (no deuda creciente)</t>
        </is>
      </c>
      <c r="C19" s="35" t="n"/>
      <c r="D19" s="35" t="n"/>
    </row>
    <row r="21" ht="20" customHeight="1">
      <c r="B21" s="32" t="inlineStr">
        <is>
          <t>3. FACTORES CUALITATIVOS Y GESTIÓN DE RIESGO (Pasos 7-8)</t>
        </is>
      </c>
      <c r="C21" s="11" t="n"/>
      <c r="D21" s="11" t="n"/>
    </row>
    <row r="22">
      <c r="B22" s="34" t="inlineStr">
        <is>
          <t>Razón de la caída identificada (coyuntural vs. estructural)</t>
        </is>
      </c>
      <c r="C22" s="35" t="n"/>
      <c r="D22" s="35" t="n"/>
    </row>
    <row r="23">
      <c r="B23" s="34" t="inlineStr">
        <is>
          <t>Skin in the game: fundadores/directivos con participación relevante</t>
        </is>
      </c>
      <c r="C23" s="35" t="n"/>
      <c r="D23" s="35" t="n"/>
    </row>
    <row r="24">
      <c r="B24" s="34" t="inlineStr">
        <is>
          <t>Riesgos específicos listados (regulatorio, geopolítico, competitivo, concentración)</t>
        </is>
      </c>
      <c r="C24" s="35" t="n"/>
      <c r="D24" s="35" t="n"/>
    </row>
    <row r="25">
      <c r="B25" s="34" t="inlineStr">
        <is>
          <t>Categoría de riesgo asignada (Estándar / Especulativa)</t>
        </is>
      </c>
      <c r="C25" s="35" t="n"/>
      <c r="D25" s="35" t="n"/>
    </row>
    <row r="26">
      <c r="B26" s="34" t="inlineStr">
        <is>
          <t>Tamaño de posición coherente con la categoría de riesgo</t>
        </is>
      </c>
      <c r="C26" s="35" t="n"/>
      <c r="D26" s="35" t="n"/>
    </row>
    <row r="27">
      <c r="B27" s="34" t="inlineStr">
        <is>
          <t>Zonas de valor definidas para escalonar entradas (Value / Deep Value / Histórica)</t>
        </is>
      </c>
      <c r="C27" s="35" t="n"/>
      <c r="D27" s="35" t="n"/>
    </row>
    <row r="30">
      <c r="B30" s="25" t="inlineStr">
        <is>
          <t>Recordatorio: negocios de alta calidad rara vez cotizan baratos en términos absolutos — el criterio de compra ahí es el descuento relativo a su propia historia. Negocios cíclicos o commodity sí deben exigir múltiplos bajos en términos absolutos. Ver METODOLOGIA.md.</t>
        </is>
      </c>
    </row>
    <row r="31"/>
    <row r="32"/>
  </sheetData>
  <mergeCells count="1">
    <mergeCell ref="B30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0" customWidth="1" min="3" max="3"/>
    <col width="15" customWidth="1" min="4" max="4"/>
    <col width="13" customWidth="1" min="5" max="5"/>
    <col width="16" customWidth="1" min="6" max="6"/>
    <col width="13" customWidth="1" min="7" max="7"/>
    <col width="16" customWidth="1" min="8" max="8"/>
    <col width="18" customWidth="1" min="9" max="9"/>
    <col width="12" customWidth="1" min="10" max="10"/>
    <col width="13" customWidth="1" min="11" max="11"/>
    <col width="16" customWidth="1" min="12" max="12"/>
    <col width="10" customWidth="1" min="13" max="13"/>
    <col width="12" customWidth="1" min="14" max="14"/>
    <col width="12" customWidth="1" min="15" max="15"/>
    <col width="14" customWidth="1" min="16" max="16"/>
    <col width="14" customWidth="1" min="17" max="17"/>
    <col width="30" customWidth="1" min="18" max="18"/>
    <col width="30" customWidth="1" min="19" max="19"/>
    <col width="26" customWidth="1" min="20" max="20"/>
    <col width="34" customWidth="1" min="21" max="21"/>
  </cols>
  <sheetData>
    <row r="1" ht="34" customHeight="1">
      <c r="A1" s="36" t="inlineStr">
        <is>
          <t>N</t>
        </is>
      </c>
      <c r="B1" s="36" t="inlineStr">
        <is>
          <t>Ticker</t>
        </is>
      </c>
      <c r="C1" s="36" t="inlineStr">
        <is>
          <t>Empresa/Grupo</t>
        </is>
      </c>
      <c r="D1" s="36" t="inlineStr">
        <is>
          <t>Fecha análisis</t>
        </is>
      </c>
      <c r="E1" s="36" t="inlineStr">
        <is>
          <t>Categoría</t>
        </is>
      </c>
      <c r="F1" s="36" t="inlineStr">
        <is>
          <t>Precio entrada</t>
        </is>
      </c>
      <c r="G1" s="36" t="inlineStr">
        <is>
          <t>Múltiplo principal</t>
        </is>
      </c>
      <c r="H1" s="36" t="inlineStr">
        <is>
          <t>Múltiplo actual</t>
        </is>
      </c>
      <c r="I1" s="36" t="inlineStr">
        <is>
          <t>Múltiplo promedio histórico</t>
        </is>
      </c>
      <c r="J1" s="36" t="inlineStr">
        <is>
          <t>Zona VALUE</t>
        </is>
      </c>
      <c r="K1" s="36" t="inlineStr">
        <is>
          <t>Zona DEEP VALUE</t>
        </is>
      </c>
      <c r="L1" s="36" t="inlineStr">
        <is>
          <t>Zona VALORACIÓN HISTÓRICA</t>
        </is>
      </c>
      <c r="M1" s="36" t="inlineStr">
        <is>
          <t>Año objetivo</t>
        </is>
      </c>
      <c r="N1" s="36" t="inlineStr">
        <is>
          <t>Precio obj. Negativo</t>
        </is>
      </c>
      <c r="O1" s="36" t="inlineStr">
        <is>
          <t>Precio obj. Base</t>
        </is>
      </c>
      <c r="P1" s="36" t="inlineStr">
        <is>
          <t>Precio obj. Optimista</t>
        </is>
      </c>
      <c r="Q1" s="36" t="inlineStr">
        <is>
          <t>CAGR Base</t>
        </is>
      </c>
      <c r="R1" s="36" t="inlineStr">
        <is>
          <t>Moat (resumen)</t>
        </is>
      </c>
      <c r="S1" s="36" t="inlineStr">
        <is>
          <t>Riesgos clave</t>
        </is>
      </c>
      <c r="T1" s="36" t="inlineStr">
        <is>
          <t>Conclusión / Acción</t>
        </is>
      </c>
      <c r="U1" s="36" t="inlineStr">
        <is>
          <t>Última actualización / Retorno</t>
        </is>
      </c>
    </row>
    <row r="2">
      <c r="A2" s="37" t="n">
        <v>1</v>
      </c>
      <c r="B2" s="37" t="inlineStr">
        <is>
          <t>MSFT</t>
        </is>
      </c>
      <c r="C2" s="37" t="inlineStr">
        <is>
          <t>Microsoft</t>
        </is>
      </c>
      <c r="D2" s="37" t="inlineStr">
        <is>
          <t>2026-04-06</t>
        </is>
      </c>
      <c r="E2" s="37" t="inlineStr">
        <is>
          <t>Estándar</t>
        </is>
      </c>
      <c r="F2" s="37" t="inlineStr">
        <is>
          <t>358 USD</t>
        </is>
      </c>
      <c r="G2" s="37" t="inlineStr">
        <is>
          <t>P/E</t>
        </is>
      </c>
      <c r="H2" s="37" t="inlineStr">
        <is>
          <t>23x</t>
        </is>
      </c>
      <c r="I2" s="37" t="inlineStr">
        <is>
          <t>25.9x</t>
        </is>
      </c>
      <c r="J2" s="37" t="inlineStr">
        <is>
          <t>350-370</t>
        </is>
      </c>
      <c r="K2" s="37" t="inlineStr">
        <is>
          <t>300-315</t>
        </is>
      </c>
      <c r="L2" s="37" t="inlineStr">
        <is>
          <t>250-270</t>
        </is>
      </c>
      <c r="M2" s="37" t="n">
        <v>2029</v>
      </c>
      <c r="N2" s="37" t="inlineStr">
        <is>
          <t>400</t>
        </is>
      </c>
      <c r="O2" s="37" t="inlineStr">
        <is>
          <t>480</t>
        </is>
      </c>
      <c r="P2" s="37" t="inlineStr">
        <is>
          <t>540</t>
        </is>
      </c>
      <c r="Q2" s="37" t="inlineStr">
        <is>
          <t>10.3%+0.9%div</t>
        </is>
      </c>
      <c r="R2" s="38" t="inlineStr">
        <is>
          <t>Switching costs, distribución, bundling, datos, escala de capital</t>
        </is>
      </c>
      <c r="S2" s="38" t="inlineStr">
        <is>
          <t>CAPEX masivo en IA sin certeza de retorno; circularidad de ingresos/CAPEX hyperscalers</t>
        </is>
      </c>
      <c r="T2" s="38" t="inlineStr">
        <is>
          <t>Compra - ya tiene valor</t>
        </is>
      </c>
      <c r="U2" s="38" t="inlineStr">
        <is>
          <t>Posición abierta</t>
        </is>
      </c>
    </row>
    <row r="3">
      <c r="A3" s="37" t="n">
        <v>2</v>
      </c>
      <c r="B3" s="37" t="inlineStr">
        <is>
          <t>INTU</t>
        </is>
      </c>
      <c r="C3" s="37" t="inlineStr">
        <is>
          <t>Intuit</t>
        </is>
      </c>
      <c r="D3" s="37" t="inlineStr">
        <is>
          <t>2026-02-24</t>
        </is>
      </c>
      <c r="E3" s="37" t="inlineStr">
        <is>
          <t>Estándar</t>
        </is>
      </c>
      <c r="F3" s="37" t="inlineStr">
        <is>
          <t>365 USD</t>
        </is>
      </c>
      <c r="G3" s="37" t="inlineStr">
        <is>
          <t>P/E</t>
        </is>
      </c>
      <c r="H3" s="37" t="inlineStr">
        <is>
          <t>22x</t>
        </is>
      </c>
      <c r="I3" s="37" t="inlineStr">
        <is>
          <t>58x</t>
        </is>
      </c>
      <c r="J3" s="37" t="inlineStr">
        <is>
          <t>360-370</t>
        </is>
      </c>
      <c r="K3" s="37" t="inlineStr">
        <is>
          <t>330-340</t>
        </is>
      </c>
      <c r="L3" s="37" t="inlineStr">
        <is>
          <t>290-310</t>
        </is>
      </c>
      <c r="M3" s="37" t="n">
        <v>2029</v>
      </c>
      <c r="N3" s="37" t="inlineStr">
        <is>
          <t>440</t>
        </is>
      </c>
      <c r="O3" s="37" t="inlineStr">
        <is>
          <t>520</t>
        </is>
      </c>
      <c r="P3" s="37" t="inlineStr">
        <is>
          <t>580</t>
        </is>
      </c>
      <c r="Q3" s="37" t="inlineStr">
        <is>
          <t>12.5%+1%div</t>
        </is>
      </c>
      <c r="R3" s="38" t="inlineStr">
        <is>
          <t>Switching costs, confianza, ecosistema/datos, IA+humanos</t>
        </is>
      </c>
      <c r="S3" s="38" t="inlineStr">
        <is>
          <t>IA erosiona TurboTax DIY y Mailchimp; sin skin in the game</t>
        </is>
      </c>
      <c r="T3" s="38" t="inlineStr">
        <is>
          <t>Mantiene, no compra más a 440</t>
        </is>
      </c>
      <c r="U3" s="38" t="inlineStr">
        <is>
          <t>Precio actual (440) ya superó el escenario negativo</t>
        </is>
      </c>
    </row>
    <row r="4">
      <c r="A4" s="37" t="n">
        <v>3</v>
      </c>
      <c r="B4" s="37" t="inlineStr">
        <is>
          <t>DVA</t>
        </is>
      </c>
      <c r="C4" s="37" t="inlineStr">
        <is>
          <t>DaVita</t>
        </is>
      </c>
      <c r="D4" s="37" t="inlineStr">
        <is>
          <t>2026-01-15 (reactiv.)</t>
        </is>
      </c>
      <c r="E4" s="37" t="inlineStr">
        <is>
          <t>Estándar</t>
        </is>
      </c>
      <c r="F4" s="37" t="inlineStr">
        <is>
          <t>105 USD</t>
        </is>
      </c>
      <c r="G4" s="37" t="inlineStr">
        <is>
          <t>P/E</t>
        </is>
      </c>
      <c r="H4" s="37" t="inlineStr">
        <is>
          <t>10.6x</t>
        </is>
      </c>
      <c r="I4" s="37" t="inlineStr">
        <is>
          <t>n/d</t>
        </is>
      </c>
      <c r="J4" s="37" t="inlineStr">
        <is>
          <t>100-106</t>
        </is>
      </c>
      <c r="K4" s="37" t="inlineStr">
        <is>
          <t>75-85</t>
        </is>
      </c>
      <c r="L4" s="37" t="inlineStr">
        <is>
          <t>65-75</t>
        </is>
      </c>
      <c r="M4" s="37" t="n">
        <v>2029</v>
      </c>
      <c r="N4" s="37" t="inlineStr">
        <is>
          <t>120</t>
        </is>
      </c>
      <c r="O4" s="37" t="inlineStr">
        <is>
          <t>150</t>
        </is>
      </c>
      <c r="P4" s="37" t="inlineStr">
        <is>
          <t>170</t>
        </is>
      </c>
      <c r="Q4" s="37" t="inlineStr">
        <is>
          <t>12.6%</t>
        </is>
      </c>
      <c r="R4" s="38" t="inlineStr">
        <is>
          <t>No detallado (negocio recurrente)</t>
        </is>
      </c>
      <c r="S4" s="38" t="inlineStr">
        <is>
          <t>Regulación Medicare/CMS; deuda alta (3.6x); ventas forzadas por Berkshire</t>
        </is>
      </c>
      <c r="T4" s="38" t="inlineStr">
        <is>
          <t>Compra</t>
        </is>
      </c>
      <c r="U4" s="38" t="inlineStr">
        <is>
          <t>Cierre parcial 30% en 149 (+42%) 05-Mar-2026</t>
        </is>
      </c>
    </row>
    <row r="5">
      <c r="A5" s="39" t="n">
        <v>4</v>
      </c>
      <c r="B5" s="39" t="inlineStr">
        <is>
          <t>DUOL</t>
        </is>
      </c>
      <c r="C5" s="39" t="inlineStr">
        <is>
          <t>Duolingo</t>
        </is>
      </c>
      <c r="D5" s="39" t="inlineStr">
        <is>
          <t>2026-01-05</t>
        </is>
      </c>
      <c r="E5" s="39" t="inlineStr">
        <is>
          <t>Especulativa</t>
        </is>
      </c>
      <c r="F5" s="39" t="inlineStr">
        <is>
          <t>186 USD</t>
        </is>
      </c>
      <c r="G5" s="39" t="inlineStr">
        <is>
          <t>P/S</t>
        </is>
      </c>
      <c r="H5" s="39" t="inlineStr">
        <is>
          <t>8.4x</t>
        </is>
      </c>
      <c r="I5" s="39" t="inlineStr">
        <is>
          <t>16.6x</t>
        </is>
      </c>
      <c r="J5" s="39" t="inlineStr">
        <is>
          <t>180-190</t>
        </is>
      </c>
      <c r="K5" s="39" t="inlineStr">
        <is>
          <t>150-160</t>
        </is>
      </c>
      <c r="L5" s="39" t="inlineStr">
        <is>
          <t>130-140</t>
        </is>
      </c>
      <c r="M5" s="39" t="n">
        <v>2029</v>
      </c>
      <c r="N5" s="39" t="inlineStr">
        <is>
          <t>210</t>
        </is>
      </c>
      <c r="O5" s="39" t="inlineStr">
        <is>
          <t>260</t>
        </is>
      </c>
      <c r="P5" s="39" t="inlineStr">
        <is>
          <t>400</t>
        </is>
      </c>
      <c r="Q5" s="39" t="inlineStr">
        <is>
          <t>11.22%</t>
        </is>
      </c>
      <c r="R5" s="40" t="inlineStr">
        <is>
          <t>Marca/engagement tipo videojuego, efecto red, data+IA, freemium</t>
        </is>
      </c>
      <c r="S5" s="40" t="inlineStr">
        <is>
          <t>IA podría reemplazar el modelo; dependencia Apple/Google; desaceleración de crecimiento</t>
        </is>
      </c>
      <c r="T5" s="40" t="inlineStr">
        <is>
          <t>Compra, riesgo alto declarado</t>
        </is>
      </c>
      <c r="U5" s="40" t="inlineStr">
        <is>
          <t>Posición abierta</t>
        </is>
      </c>
    </row>
    <row r="6">
      <c r="A6" s="37" t="n">
        <v>5</v>
      </c>
      <c r="B6" s="37" t="inlineStr">
        <is>
          <t>DECK</t>
        </is>
      </c>
      <c r="C6" s="37" t="inlineStr">
        <is>
          <t>Deckers (Hoka/UGG)</t>
        </is>
      </c>
      <c r="D6" s="37" t="inlineStr">
        <is>
          <t>2025-11-10</t>
        </is>
      </c>
      <c r="E6" s="37" t="inlineStr">
        <is>
          <t>Estándar</t>
        </is>
      </c>
      <c r="F6" s="37" t="inlineStr">
        <is>
          <t>79.8 USD</t>
        </is>
      </c>
      <c r="G6" s="37" t="inlineStr">
        <is>
          <t>P/E</t>
        </is>
      </c>
      <c r="H6" s="37" t="inlineStr">
        <is>
          <t>12x</t>
        </is>
      </c>
      <c r="I6" s="37" t="inlineStr">
        <is>
          <t>19.5x</t>
        </is>
      </c>
      <c r="J6" s="37" t="inlineStr">
        <is>
          <t>79-82</t>
        </is>
      </c>
      <c r="K6" s="37" t="inlineStr">
        <is>
          <t>70-74</t>
        </is>
      </c>
      <c r="L6" s="37" t="inlineStr">
        <is>
          <t>65-66</t>
        </is>
      </c>
      <c r="M6" s="37" t="n">
        <v>2028</v>
      </c>
      <c r="N6" s="37" t="inlineStr">
        <is>
          <t>100</t>
        </is>
      </c>
      <c r="O6" s="37" t="inlineStr">
        <is>
          <t>125</t>
        </is>
      </c>
      <c r="P6" s="37" t="inlineStr">
        <is>
          <t>155</t>
        </is>
      </c>
      <c r="Q6" s="37" t="inlineStr">
        <is>
          <t>16.5%</t>
        </is>
      </c>
      <c r="R6" s="38" t="inlineStr">
        <is>
          <t>Marcas HOKA/UGG bien posicionadas (no gran moat)</t>
        </is>
      </c>
      <c r="S6" s="38" t="inlineStr">
        <is>
          <t>Aranceles, desaceleración económica, moda; sin skin in the game</t>
        </is>
      </c>
      <c r="T6" s="38" t="inlineStr">
        <is>
          <t>Compra fuerte</t>
        </is>
      </c>
      <c r="U6" s="38" t="inlineStr">
        <is>
          <t>Posición abierta</t>
        </is>
      </c>
    </row>
    <row r="7">
      <c r="A7" s="37" t="n">
        <v>6</v>
      </c>
      <c r="B7" s="37" t="inlineStr">
        <is>
          <t>CMG</t>
        </is>
      </c>
      <c r="C7" s="37" t="inlineStr">
        <is>
          <t>Chipotle</t>
        </is>
      </c>
      <c r="D7" s="37" t="inlineStr">
        <is>
          <t>2025-10-02</t>
        </is>
      </c>
      <c r="E7" s="37" t="inlineStr">
        <is>
          <t>Estándar</t>
        </is>
      </c>
      <c r="F7" s="37" t="inlineStr">
        <is>
          <t>39 USD</t>
        </is>
      </c>
      <c r="G7" s="37" t="inlineStr">
        <is>
          <t>P/E</t>
        </is>
      </c>
      <c r="H7" s="37" t="inlineStr">
        <is>
          <t>29x (proy.)</t>
        </is>
      </c>
      <c r="I7" s="37" t="inlineStr">
        <is>
          <t>47x</t>
        </is>
      </c>
      <c r="J7" s="37" t="inlineStr">
        <is>
          <t>37-40</t>
        </is>
      </c>
      <c r="K7" s="37" t="inlineStr">
        <is>
          <t>32-35</t>
        </is>
      </c>
      <c r="L7" s="37" t="inlineStr">
        <is>
          <t>27-30</t>
        </is>
      </c>
      <c r="M7" s="37" t="n">
        <v>2028</v>
      </c>
      <c r="N7" s="37" t="inlineStr">
        <is>
          <t>40</t>
        </is>
      </c>
      <c r="O7" s="37" t="inlineStr">
        <is>
          <t>55</t>
        </is>
      </c>
      <c r="P7" s="37" t="inlineStr">
        <is>
          <t>66</t>
        </is>
      </c>
      <c r="Q7" s="37" t="inlineStr">
        <is>
          <t>12.4%</t>
        </is>
      </c>
      <c r="R7" s="38" t="inlineStr">
        <is>
          <t>Marca fuerte, ticket alto</t>
        </is>
      </c>
      <c r="S7" s="38" t="inlineStr">
        <is>
          <t>Commodities (aguacate/pollo/carne); riesgo reputacional</t>
        </is>
      </c>
      <c r="T7" s="38" t="inlineStr">
        <is>
          <t>Compra decente, no barata</t>
        </is>
      </c>
      <c r="U7" s="38" t="inlineStr">
        <is>
          <t>Posición abierta</t>
        </is>
      </c>
    </row>
    <row r="8">
      <c r="A8" s="37" t="n">
        <v>7</v>
      </c>
      <c r="B8" s="37" t="inlineStr">
        <is>
          <t>ADBE</t>
        </is>
      </c>
      <c r="C8" s="37" t="inlineStr">
        <is>
          <t>Adobe</t>
        </is>
      </c>
      <c r="D8" s="37" t="inlineStr">
        <is>
          <t>2025 (~Sep)</t>
        </is>
      </c>
      <c r="E8" s="37" t="inlineStr">
        <is>
          <t>Estándar</t>
        </is>
      </c>
      <c r="F8" s="37" t="inlineStr">
        <is>
          <t>350 USD</t>
        </is>
      </c>
      <c r="G8" s="37" t="inlineStr">
        <is>
          <t>P/E</t>
        </is>
      </c>
      <c r="H8" s="37" t="inlineStr">
        <is>
          <t>15-16x (proy.)</t>
        </is>
      </c>
      <c r="I8" s="37" t="inlineStr">
        <is>
          <t>33x proy./49x hist.</t>
        </is>
      </c>
      <c r="J8" s="37" t="inlineStr">
        <is>
          <t>335-355</t>
        </is>
      </c>
      <c r="K8" s="37" t="inlineStr">
        <is>
          <t>300-310</t>
        </is>
      </c>
      <c r="L8" s="37" t="inlineStr">
        <is>
          <t>260-280</t>
        </is>
      </c>
      <c r="M8" s="37" t="n">
        <v>2028</v>
      </c>
      <c r="N8" s="37" t="inlineStr">
        <is>
          <t>360</t>
        </is>
      </c>
      <c r="O8" s="37" t="inlineStr">
        <is>
          <t>540</t>
        </is>
      </c>
      <c r="P8" s="37" t="inlineStr">
        <is>
          <t>590</t>
        </is>
      </c>
      <c r="Q8" s="37" t="inlineStr">
        <is>
          <t>15.5%</t>
        </is>
      </c>
      <c r="R8" s="38" t="inlineStr">
        <is>
          <t>Cuasi-monopolio, suscripciones, switching costs altos</t>
        </is>
      </c>
      <c r="S8" s="38" t="inlineStr">
        <is>
          <t>Amenaza de IA (Canva); sin skin in the game</t>
        </is>
      </c>
      <c r="T8" s="38" t="inlineStr">
        <is>
          <t>Compra fuerte</t>
        </is>
      </c>
      <c r="U8" s="38" t="inlineStr">
        <is>
          <t>Posición abierta</t>
        </is>
      </c>
    </row>
    <row r="9">
      <c r="A9" s="37" t="n">
        <v>8</v>
      </c>
      <c r="B9" s="37" t="inlineStr">
        <is>
          <t>DLO</t>
        </is>
      </c>
      <c r="C9" s="37" t="inlineStr">
        <is>
          <t>dLocal</t>
        </is>
      </c>
      <c r="D9" s="37" t="inlineStr">
        <is>
          <t>2025-07-17</t>
        </is>
      </c>
      <c r="E9" s="37" t="inlineStr">
        <is>
          <t>Estándar</t>
        </is>
      </c>
      <c r="F9" s="37" t="inlineStr">
        <is>
          <t>11 USD</t>
        </is>
      </c>
      <c r="G9" s="37" t="inlineStr">
        <is>
          <t>P/E</t>
        </is>
      </c>
      <c r="H9" s="37" t="inlineStr">
        <is>
          <t>20x</t>
        </is>
      </c>
      <c r="I9" s="37" t="inlineStr">
        <is>
          <t>n/d</t>
        </is>
      </c>
      <c r="J9" s="37" t="inlineStr">
        <is>
          <t>10-11</t>
        </is>
      </c>
      <c r="K9" s="37" t="inlineStr">
        <is>
          <t>8.5-9.5</t>
        </is>
      </c>
      <c r="L9" s="37" t="inlineStr">
        <is>
          <t>7-8</t>
        </is>
      </c>
      <c r="M9" s="37" t="n">
        <v>2028</v>
      </c>
      <c r="N9" s="37" t="inlineStr">
        <is>
          <t>11.5</t>
        </is>
      </c>
      <c r="O9" s="37" t="inlineStr">
        <is>
          <t>16</t>
        </is>
      </c>
      <c r="P9" s="37" t="inlineStr">
        <is>
          <t>21</t>
        </is>
      </c>
      <c r="Q9" s="37" t="inlineStr">
        <is>
          <t>13.3%+4.5%div</t>
        </is>
      </c>
      <c r="R9" s="38" t="inlineStr">
        <is>
          <t>Peaje digital 40+ países, retención neta 106%</t>
        </is>
      </c>
      <c r="S9" s="38" t="inlineStr">
        <is>
          <t>Concentración de clientes; competencia (Adyen/PayPal); fraude/cortos activos</t>
        </is>
      </c>
      <c r="T9" s="38" t="inlineStr">
        <is>
          <t>Compra moderada, llegó algo tarde</t>
        </is>
      </c>
      <c r="U9" s="38" t="inlineStr">
        <is>
          <t>Posición abierta</t>
        </is>
      </c>
    </row>
    <row r="10">
      <c r="A10" s="37" t="n">
        <v>9</v>
      </c>
      <c r="B10" s="37" t="inlineStr">
        <is>
          <t>LVMUY/MC</t>
        </is>
      </c>
      <c r="C10" s="37" t="inlineStr">
        <is>
          <t>LVMH</t>
        </is>
      </c>
      <c r="D10" s="37" t="inlineStr">
        <is>
          <t>2025-05-27</t>
        </is>
      </c>
      <c r="E10" s="37" t="inlineStr">
        <is>
          <t>Estándar</t>
        </is>
      </c>
      <c r="F10" s="37" t="inlineStr">
        <is>
          <t>483 EUR / 109 USD</t>
        </is>
      </c>
      <c r="G10" s="37" t="inlineStr">
        <is>
          <t>P/E</t>
        </is>
      </c>
      <c r="H10" s="37" t="inlineStr">
        <is>
          <t>19x</t>
        </is>
      </c>
      <c r="I10" s="37" t="inlineStr">
        <is>
          <t>24x</t>
        </is>
      </c>
      <c r="J10" s="37" t="inlineStr">
        <is>
          <t>450-485</t>
        </is>
      </c>
      <c r="K10" s="37" t="inlineStr">
        <is>
          <t>400-420</t>
        </is>
      </c>
      <c r="L10" s="37" t="inlineStr">
        <is>
          <t>330-350</t>
        </is>
      </c>
      <c r="M10" s="37" t="n">
        <v>2028</v>
      </c>
      <c r="N10" s="37" t="inlineStr">
        <is>
          <t>540</t>
        </is>
      </c>
      <c r="O10" s="37" t="inlineStr">
        <is>
          <t>625</t>
        </is>
      </c>
      <c r="P10" s="37" t="inlineStr">
        <is>
          <t>750</t>
        </is>
      </c>
      <c r="Q10" s="37" t="inlineStr">
        <is>
          <t>9.2%+2.6%div</t>
        </is>
      </c>
      <c r="R10" s="38" t="inlineStr">
        <is>
          <t>Marca/herencia/exclusividad, savoir-faire artesanal</t>
        </is>
      </c>
      <c r="S10" s="38" t="inlineStr">
        <is>
          <t>Aranceles, desaceleración China, cambio preferencias consumo</t>
        </is>
      </c>
      <c r="T10" s="38" t="inlineStr">
        <is>
          <t>Posición mediana</t>
        </is>
      </c>
      <c r="U10" s="38" t="inlineStr">
        <is>
          <t>Posición abierta</t>
        </is>
      </c>
    </row>
    <row r="11">
      <c r="A11" s="37" t="n">
        <v>10</v>
      </c>
      <c r="B11" s="37" t="inlineStr">
        <is>
          <t>UNH</t>
        </is>
      </c>
      <c r="C11" s="37" t="inlineStr">
        <is>
          <t>UnitedHealth</t>
        </is>
      </c>
      <c r="D11" s="37" t="inlineStr">
        <is>
          <t>2025-05-14</t>
        </is>
      </c>
      <c r="E11" s="37" t="inlineStr">
        <is>
          <t>Estándar</t>
        </is>
      </c>
      <c r="F11" s="37" t="inlineStr">
        <is>
          <t>285 USD</t>
        </is>
      </c>
      <c r="G11" s="37" t="inlineStr">
        <is>
          <t>P/E</t>
        </is>
      </c>
      <c r="H11" s="37" t="inlineStr">
        <is>
          <t>10.8x (proy.)</t>
        </is>
      </c>
      <c r="I11" s="37" t="inlineStr">
        <is>
          <t>17.7x</t>
        </is>
      </c>
      <c r="J11" s="37" t="inlineStr">
        <is>
          <t>280-300</t>
        </is>
      </c>
      <c r="K11" s="37" t="inlineStr">
        <is>
          <t>245-265</t>
        </is>
      </c>
      <c r="L11" s="37" t="inlineStr">
        <is>
          <t>215-230</t>
        </is>
      </c>
      <c r="M11" s="37" t="n">
        <v>2028</v>
      </c>
      <c r="N11" s="37" t="inlineStr">
        <is>
          <t>320</t>
        </is>
      </c>
      <c r="O11" s="37" t="inlineStr">
        <is>
          <t>400</t>
        </is>
      </c>
      <c r="P11" s="37" t="inlineStr">
        <is>
          <t>460</t>
        </is>
      </c>
      <c r="Q11" s="37" t="inlineStr">
        <is>
          <t>12%+2.9%div</t>
        </is>
      </c>
      <c r="R11" s="38" t="inlineStr">
        <is>
          <t>Aseguramiento+servicios+tecnología, escala</t>
        </is>
      </c>
      <c r="S11" s="38" t="inlineStr">
        <is>
          <t>Investigación DOJ fraude; renuncia CEO; ciberataque; regulación PBM</t>
        </is>
      </c>
      <c r="T11" s="38" t="inlineStr">
        <is>
          <t>Entrada pequeña, riesgo altísimo</t>
        </is>
      </c>
      <c r="U11" s="38" t="inlineStr">
        <is>
          <t>Posición abierta</t>
        </is>
      </c>
    </row>
    <row r="12">
      <c r="A12" s="39" t="n">
        <v>11</v>
      </c>
      <c r="B12" s="39" t="inlineStr">
        <is>
          <t>AMD</t>
        </is>
      </c>
      <c r="C12" s="39" t="inlineStr">
        <is>
          <t>AMD</t>
        </is>
      </c>
      <c r="D12" s="39" t="inlineStr">
        <is>
          <t>2025-02-20</t>
        </is>
      </c>
      <c r="E12" s="39" t="inlineStr">
        <is>
          <t>Especulativa</t>
        </is>
      </c>
      <c r="F12" s="39" t="inlineStr">
        <is>
          <t>99.51 USD</t>
        </is>
      </c>
      <c r="G12" s="39" t="inlineStr">
        <is>
          <t>P/E</t>
        </is>
      </c>
      <c r="H12" s="39" t="inlineStr">
        <is>
          <t>21x (proy.)</t>
        </is>
      </c>
      <c r="I12" s="39" t="inlineStr">
        <is>
          <t>37x</t>
        </is>
      </c>
      <c r="J12" s="39" t="inlineStr">
        <is>
          <t>95-105</t>
        </is>
      </c>
      <c r="K12" s="39" t="inlineStr">
        <is>
          <t>80-85</t>
        </is>
      </c>
      <c r="L12" s="39" t="inlineStr">
        <is>
          <t>60-65</t>
        </is>
      </c>
      <c r="M12" s="39" t="n">
        <v>2028</v>
      </c>
      <c r="N12" s="39" t="inlineStr">
        <is>
          <t>110</t>
        </is>
      </c>
      <c r="O12" s="39" t="inlineStr">
        <is>
          <t>155</t>
        </is>
      </c>
      <c r="P12" s="39" t="inlineStr">
        <is>
          <t>179</t>
        </is>
      </c>
      <c r="Q12" s="39" t="inlineStr">
        <is>
          <t>16.1%</t>
        </is>
      </c>
      <c r="R12" s="40" t="inlineStr">
        <is>
          <t>Chiplets, liderazgo Ryzen/EPYC, cultura Lisa Su</t>
        </is>
      </c>
      <c r="S12" s="40" t="inlineStr">
        <is>
          <t>Casi toda la valoración depende de expectativas, no realidades</t>
        </is>
      </c>
      <c r="T12" s="40" t="inlineStr">
        <is>
          <t>Especulativa/alto riesgo</t>
        </is>
      </c>
      <c r="U12" s="40" t="inlineStr">
        <is>
          <t>Cierre parcial 35% en 215 (+145%) 07-Oct-2025</t>
        </is>
      </c>
    </row>
    <row r="13">
      <c r="A13" s="39" t="n">
        <v>12</v>
      </c>
      <c r="B13" s="39" t="inlineStr">
        <is>
          <t>NVO</t>
        </is>
      </c>
      <c r="C13" s="39" t="inlineStr">
        <is>
          <t>Novo Nordisk</t>
        </is>
      </c>
      <c r="D13" s="39" t="inlineStr">
        <is>
          <t>2025-02-20</t>
        </is>
      </c>
      <c r="E13" s="39" t="inlineStr">
        <is>
          <t>Especulativa</t>
        </is>
      </c>
      <c r="F13" s="39" t="inlineStr">
        <is>
          <t>82 USD</t>
        </is>
      </c>
      <c r="G13" s="39" t="inlineStr">
        <is>
          <t>P/E</t>
        </is>
      </c>
      <c r="H13" s="39" t="inlineStr">
        <is>
          <t>21.5x (proy.)</t>
        </is>
      </c>
      <c r="I13" s="39" t="inlineStr">
        <is>
          <t>28x</t>
        </is>
      </c>
      <c r="J13" s="39" t="inlineStr">
        <is>
          <t>77-83</t>
        </is>
      </c>
      <c r="K13" s="39" t="inlineStr">
        <is>
          <t>67-72</t>
        </is>
      </c>
      <c r="L13" s="39" t="inlineStr">
        <is>
          <t>60-63</t>
        </is>
      </c>
      <c r="M13" s="39" t="n">
        <v>2028</v>
      </c>
      <c r="N13" s="39" t="inlineStr">
        <is>
          <t>100</t>
        </is>
      </c>
      <c r="O13" s="39" t="inlineStr">
        <is>
          <t>116</t>
        </is>
      </c>
      <c r="P13" s="39" t="inlineStr">
        <is>
          <t>140</t>
        </is>
      </c>
      <c r="Q13" s="39" t="inlineStr">
        <is>
          <t>11.8%+2%div</t>
        </is>
      </c>
      <c r="R13" s="40" t="inlineStr">
        <is>
          <t>Liderazgo GLP-1, pipeline de fármacos</t>
        </is>
      </c>
      <c r="S13" s="40" t="inlineStr">
        <is>
          <t>CagriSema decepcionó; demanda por fraude; competencia Eli Lilly; aranceles</t>
        </is>
      </c>
      <c r="T13" s="40" t="inlineStr">
        <is>
          <t>Especulativa, compra</t>
        </is>
      </c>
      <c r="U13" s="40" t="inlineStr">
        <is>
          <t>Tocó 43 (24-Nov-2025), entra al TOP del portafolio</t>
        </is>
      </c>
    </row>
    <row r="14">
      <c r="A14" s="37" t="n">
        <v>13</v>
      </c>
      <c r="B14" s="37" t="inlineStr">
        <is>
          <t>BLD</t>
        </is>
      </c>
      <c r="C14" s="37" t="inlineStr">
        <is>
          <t>TopBuild</t>
        </is>
      </c>
      <c r="D14" s="37" t="inlineStr">
        <is>
          <t>2025-02-13</t>
        </is>
      </c>
      <c r="E14" s="37" t="inlineStr">
        <is>
          <t>Estándar</t>
        </is>
      </c>
      <c r="F14" s="37" t="inlineStr">
        <is>
          <t>325 USD</t>
        </is>
      </c>
      <c r="G14" s="37" t="inlineStr">
        <is>
          <t>EV/EBITDA</t>
        </is>
      </c>
      <c r="H14" s="37" t="inlineStr">
        <is>
          <t>10x</t>
        </is>
      </c>
      <c r="I14" s="37" t="inlineStr">
        <is>
          <t>13x</t>
        </is>
      </c>
      <c r="J14" s="37" t="inlineStr">
        <is>
          <t>310-330</t>
        </is>
      </c>
      <c r="K14" s="37" t="inlineStr">
        <is>
          <t>255-270</t>
        </is>
      </c>
      <c r="L14" s="37" t="inlineStr">
        <is>
          <t>220-230</t>
        </is>
      </c>
      <c r="M14" s="37" t="n">
        <v>2028</v>
      </c>
      <c r="N14" s="37" t="inlineStr">
        <is>
          <t>350</t>
        </is>
      </c>
      <c r="O14" s="37" t="inlineStr">
        <is>
          <t>410</t>
        </is>
      </c>
      <c r="P14" s="37" t="inlineStr">
        <is>
          <t>450</t>
        </is>
      </c>
      <c r="Q14" s="37" t="inlineStr">
        <is>
          <t>7.95%</t>
        </is>
      </c>
      <c r="R14" s="38" t="inlineStr">
        <is>
          <t>Red de distribución 410+, 1300+ proveedores, 130+ patentes</t>
        </is>
      </c>
      <c r="S14" s="38" t="inlineStr">
        <is>
          <t>Regulación HUD en duda legal; ciclo de construcción; materias primas</t>
        </is>
      </c>
      <c r="T14" s="38" t="inlineStr">
        <is>
          <t>Buen negocio, precio justo (no ganga)</t>
        </is>
      </c>
      <c r="U14" s="38" t="inlineStr">
        <is>
          <t>Cierre parcial 35% en 443 (+50%) 13-Ago-2025</t>
        </is>
      </c>
    </row>
    <row r="15">
      <c r="A15" s="39" t="n">
        <v>14</v>
      </c>
      <c r="B15" s="39" t="inlineStr">
        <is>
          <t>EWZ/EWZS</t>
        </is>
      </c>
      <c r="C15" s="39" t="inlineStr">
        <is>
          <t>Especial Brasileiro</t>
        </is>
      </c>
      <c r="D15" s="39" t="inlineStr">
        <is>
          <t>2025-01-07</t>
        </is>
      </c>
      <c r="E15" s="39" t="inlineStr">
        <is>
          <t>Especulativa</t>
        </is>
      </c>
      <c r="F15" s="39" t="inlineStr">
        <is>
          <t>n/d (ETF)</t>
        </is>
      </c>
      <c r="G15" s="39" t="inlineStr">
        <is>
          <t>P/E</t>
        </is>
      </c>
      <c r="H15" s="39" t="inlineStr">
        <is>
          <t>6-7x (mercado)</t>
        </is>
      </c>
      <c r="I15" s="39" t="inlineStr">
        <is>
          <t>~10x</t>
        </is>
      </c>
      <c r="J15" s="39" t="inlineStr">
        <is>
          <t>n/d</t>
        </is>
      </c>
      <c r="K15" s="39" t="inlineStr">
        <is>
          <t>n/d</t>
        </is>
      </c>
      <c r="L15" s="39" t="inlineStr">
        <is>
          <t>n/d</t>
        </is>
      </c>
      <c r="M15" s="39" t="inlineStr">
        <is>
          <t>-</t>
        </is>
      </c>
      <c r="N15" s="39" t="inlineStr">
        <is>
          <t>-</t>
        </is>
      </c>
      <c r="O15" s="39" t="inlineStr">
        <is>
          <t>-</t>
        </is>
      </c>
      <c r="P15" s="39" t="inlineStr">
        <is>
          <t>-</t>
        </is>
      </c>
      <c r="Q15" s="39" t="inlineStr">
        <is>
          <t>-</t>
        </is>
      </c>
      <c r="R15" s="40" t="inlineStr">
        <is>
          <t>Diversificación Brasil (PBR/NU/VALE/ITAU/WEG en EWZ; small caps en EWZS)</t>
        </is>
      </c>
      <c r="S15" s="40" t="inlineStr">
        <is>
          <t>Riesgo político (Lula), real brasilero débil</t>
        </is>
      </c>
      <c r="T15" s="40" t="inlineStr">
        <is>
          <t>Oportunidad histórica, horizonte 1-2 años</t>
        </is>
      </c>
      <c r="U15" s="40" t="inlineStr">
        <is>
          <t>Sin actualización registrada</t>
        </is>
      </c>
    </row>
    <row r="16">
      <c r="A16" s="37" t="n">
        <v>15</v>
      </c>
      <c r="B16" s="37" t="inlineStr">
        <is>
          <t>CROX</t>
        </is>
      </c>
      <c r="C16" s="37" t="inlineStr">
        <is>
          <t>Crocs</t>
        </is>
      </c>
      <c r="D16" s="37" t="inlineStr">
        <is>
          <t>2024-11-08</t>
        </is>
      </c>
      <c r="E16" s="37" t="inlineStr">
        <is>
          <t>Estándar</t>
        </is>
      </c>
      <c r="F16" s="37" t="inlineStr">
        <is>
          <t>102 USD</t>
        </is>
      </c>
      <c r="G16" s="37" t="inlineStr">
        <is>
          <t>P/E</t>
        </is>
      </c>
      <c r="H16" s="37" t="inlineStr">
        <is>
          <t>7.7x</t>
        </is>
      </c>
      <c r="I16" s="37" t="inlineStr">
        <is>
          <t>14x</t>
        </is>
      </c>
      <c r="J16" s="37" t="inlineStr">
        <is>
          <t>100-104</t>
        </is>
      </c>
      <c r="K16" s="37" t="inlineStr">
        <is>
          <t>80-85</t>
        </is>
      </c>
      <c r="L16" s="37" t="inlineStr">
        <is>
          <t>65-70</t>
        </is>
      </c>
      <c r="M16" s="37" t="n">
        <v>2027</v>
      </c>
      <c r="N16" s="37" t="inlineStr">
        <is>
          <t>130</t>
        </is>
      </c>
      <c r="O16" s="37" t="inlineStr">
        <is>
          <t>154</t>
        </is>
      </c>
      <c r="P16" s="37" t="inlineStr">
        <is>
          <t>175</t>
        </is>
      </c>
      <c r="Q16" s="37" t="inlineStr">
        <is>
          <t>14.7%</t>
        </is>
      </c>
      <c r="R16" s="38" t="inlineStr">
        <is>
          <t>Marca, jibbitz, DTC con márgenes elevados</t>
        </is>
      </c>
      <c r="S16" s="38" t="inlineStr">
        <is>
          <t>HeyDude en declive; prohibiciones escolares; sin skin in the game</t>
        </is>
      </c>
      <c r="T16" s="38" t="inlineStr">
        <is>
          <t>Compra fuerte - ganga</t>
        </is>
      </c>
      <c r="U16" s="38" t="inlineStr">
        <is>
          <t>Posición abierta</t>
        </is>
      </c>
    </row>
    <row r="17">
      <c r="A17" s="37" t="n">
        <v>16</v>
      </c>
      <c r="B17" s="37" t="inlineStr">
        <is>
          <t>AAD</t>
        </is>
      </c>
      <c r="C17" s="37" t="inlineStr">
        <is>
          <t>Amadeus Fire</t>
        </is>
      </c>
      <c r="D17" s="37" t="inlineStr">
        <is>
          <t>2024-09-18</t>
        </is>
      </c>
      <c r="E17" s="37" t="inlineStr">
        <is>
          <t>Estándar</t>
        </is>
      </c>
      <c r="F17" s="37" t="inlineStr">
        <is>
          <t>92 EUR</t>
        </is>
      </c>
      <c r="G17" s="37" t="inlineStr">
        <is>
          <t>P/E</t>
        </is>
      </c>
      <c r="H17" s="37" t="inlineStr">
        <is>
          <t>12x</t>
        </is>
      </c>
      <c r="I17" s="37" t="inlineStr">
        <is>
          <t>17x</t>
        </is>
      </c>
      <c r="J17" s="37" t="inlineStr">
        <is>
          <t>89-93</t>
        </is>
      </c>
      <c r="K17" s="37" t="inlineStr">
        <is>
          <t>80-83</t>
        </is>
      </c>
      <c r="L17" s="37" t="inlineStr">
        <is>
          <t>70-73</t>
        </is>
      </c>
      <c r="M17" s="37" t="n">
        <v>2027</v>
      </c>
      <c r="N17" s="37" t="inlineStr">
        <is>
          <t>110</t>
        </is>
      </c>
      <c r="O17" s="37" t="inlineStr">
        <is>
          <t>135</t>
        </is>
      </c>
      <c r="P17" s="37" t="inlineStr">
        <is>
          <t>159</t>
        </is>
      </c>
      <c r="Q17" s="37" t="inlineStr">
        <is>
          <t>13.6%+5.4%div</t>
        </is>
      </c>
      <c r="R17" s="38" t="inlineStr">
        <is>
          <t>Especialización de nicho (débil)</t>
        </is>
      </c>
      <c r="S17" s="38" t="inlineStr">
        <is>
          <t>Baja caja vs. deuda; sin skin in the game institucional</t>
        </is>
      </c>
      <c r="T17" s="38" t="inlineStr">
        <is>
          <t>Compra posición baja-media</t>
        </is>
      </c>
      <c r="U17" s="38" t="inlineStr">
        <is>
          <t>Posición abierta</t>
        </is>
      </c>
    </row>
    <row r="18">
      <c r="A18" s="37" t="n">
        <v>17</v>
      </c>
      <c r="B18" s="37" t="inlineStr">
        <is>
          <t>YUMC</t>
        </is>
      </c>
      <c r="C18" s="37" t="inlineStr">
        <is>
          <t>Yum China</t>
        </is>
      </c>
      <c r="D18" s="37" t="inlineStr">
        <is>
          <t>2024-09-12</t>
        </is>
      </c>
      <c r="E18" s="37" t="inlineStr">
        <is>
          <t>Estándar</t>
        </is>
      </c>
      <c r="F18" s="37" t="inlineStr">
        <is>
          <t>34 USD</t>
        </is>
      </c>
      <c r="G18" s="37" t="inlineStr">
        <is>
          <t>P/E</t>
        </is>
      </c>
      <c r="H18" s="37" t="inlineStr">
        <is>
          <t>14x (proy.)</t>
        </is>
      </c>
      <c r="I18" s="37" t="inlineStr">
        <is>
          <t>27x</t>
        </is>
      </c>
      <c r="J18" s="37" t="inlineStr">
        <is>
          <t>32-35</t>
        </is>
      </c>
      <c r="K18" s="37" t="inlineStr">
        <is>
          <t>28-30</t>
        </is>
      </c>
      <c r="L18" s="37" t="inlineStr">
        <is>
          <t>25-26</t>
        </is>
      </c>
      <c r="M18" s="37" t="n">
        <v>2026</v>
      </c>
      <c r="N18" s="37" t="inlineStr">
        <is>
          <t>40</t>
        </is>
      </c>
      <c r="O18" s="37" t="inlineStr">
        <is>
          <t>59</t>
        </is>
      </c>
      <c r="P18" s="37" t="inlineStr">
        <is>
          <t>65</t>
        </is>
      </c>
      <c r="Q18" s="37" t="inlineStr">
        <is>
          <t>20.1%+2%div</t>
        </is>
      </c>
      <c r="R18" s="38" t="inlineStr">
        <is>
          <t>Líder en pollo (63%) y pizza (45%) en China</t>
        </is>
      </c>
      <c r="S18" s="38" t="inlineStr">
        <is>
          <t>Riesgo país China; DADA bajo investigación de fraude</t>
        </is>
      </c>
      <c r="T18" s="38" t="inlineStr">
        <is>
          <t>Posición media, defensiva</t>
        </is>
      </c>
      <c r="U18" s="38" t="inlineStr">
        <is>
          <t>Posición abierta</t>
        </is>
      </c>
    </row>
    <row r="19">
      <c r="A19" s="37" t="n">
        <v>18</v>
      </c>
      <c r="B19" s="37" t="inlineStr">
        <is>
          <t>KER</t>
        </is>
      </c>
      <c r="C19" s="37" t="inlineStr">
        <is>
          <t>Kering</t>
        </is>
      </c>
      <c r="D19" s="37" t="inlineStr">
        <is>
          <t>2024-07-25</t>
        </is>
      </c>
      <c r="E19" s="37" t="inlineStr">
        <is>
          <t>Estándar</t>
        </is>
      </c>
      <c r="F19" s="37" t="inlineStr">
        <is>
          <t>276 EUR</t>
        </is>
      </c>
      <c r="G19" s="37" t="inlineStr">
        <is>
          <t>P/E</t>
        </is>
      </c>
      <c r="H19" s="37" t="inlineStr">
        <is>
          <t>15x</t>
        </is>
      </c>
      <c r="I19" s="37" t="inlineStr">
        <is>
          <t>24x</t>
        </is>
      </c>
      <c r="J19" s="37" t="inlineStr">
        <is>
          <t>258-276</t>
        </is>
      </c>
      <c r="K19" s="37" t="inlineStr">
        <is>
          <t>230-235</t>
        </is>
      </c>
      <c r="L19" s="37" t="inlineStr">
        <is>
          <t>205-215</t>
        </is>
      </c>
      <c r="M19" s="37" t="n">
        <v>2027</v>
      </c>
      <c r="N19" s="37" t="inlineStr">
        <is>
          <t>300</t>
        </is>
      </c>
      <c r="O19" s="37" t="inlineStr">
        <is>
          <t>390</t>
        </is>
      </c>
      <c r="P19" s="37" t="inlineStr">
        <is>
          <t>430</t>
        </is>
      </c>
      <c r="Q19" s="37" t="inlineStr">
        <is>
          <t>14.7%+5.4%div</t>
        </is>
      </c>
      <c r="R19" s="38" t="inlineStr">
        <is>
          <t>Poder de precio del lujo (menor que MC)</t>
        </is>
      </c>
      <c r="S19" s="38" t="inlineStr">
        <is>
          <t>Desaceleración global; deuda alta (2.77x); cambio de preferencias</t>
        </is>
      </c>
      <c r="T19" s="38" t="inlineStr">
        <is>
          <t>Posición mediana, acumulando</t>
        </is>
      </c>
      <c r="U19" s="38" t="inlineStr">
        <is>
          <t>Cayó a 150 EUR, recuperó a 310, cierre 40% (+36%+div) 07-Oct-2025</t>
        </is>
      </c>
    </row>
    <row r="20">
      <c r="A20" s="37" t="n">
        <v>19</v>
      </c>
      <c r="B20" s="37" t="inlineStr">
        <is>
          <t>LULU</t>
        </is>
      </c>
      <c r="C20" s="37" t="inlineStr">
        <is>
          <t>Lululemon</t>
        </is>
      </c>
      <c r="D20" s="37" t="inlineStr">
        <is>
          <t>2024-07-25</t>
        </is>
      </c>
      <c r="E20" s="37" t="inlineStr">
        <is>
          <t>Estándar</t>
        </is>
      </c>
      <c r="F20" s="37" t="inlineStr">
        <is>
          <t>252 USD</t>
        </is>
      </c>
      <c r="G20" s="37" t="inlineStr">
        <is>
          <t>P/E</t>
        </is>
      </c>
      <c r="H20" s="37" t="inlineStr">
        <is>
          <t>18.6x</t>
        </is>
      </c>
      <c r="I20" s="37" t="inlineStr">
        <is>
          <t>35x</t>
        </is>
      </c>
      <c r="J20" s="37" t="inlineStr">
        <is>
          <t>250-260</t>
        </is>
      </c>
      <c r="K20" s="37" t="inlineStr">
        <is>
          <t>210-220</t>
        </is>
      </c>
      <c r="L20" s="37" t="inlineStr">
        <is>
          <t>160-180</t>
        </is>
      </c>
      <c r="M20" s="37" t="n">
        <v>2027</v>
      </c>
      <c r="N20" s="37" t="inlineStr">
        <is>
          <t>290</t>
        </is>
      </c>
      <c r="O20" s="37" t="inlineStr">
        <is>
          <t>360</t>
        </is>
      </c>
      <c r="P20" s="37" t="inlineStr">
        <is>
          <t>440</t>
        </is>
      </c>
      <c r="Q20" s="37" t="inlineStr">
        <is>
          <t>12.6%</t>
        </is>
      </c>
      <c r="R20" s="38" t="inlineStr">
        <is>
          <t>Marca premium/tecnología en telas, poder de precio ~20%</t>
        </is>
      </c>
      <c r="S20" s="38" t="inlineStr">
        <is>
          <t>Sin ventaja competitiva estructural fuerte; competencia Alo/NKE/UAA</t>
        </is>
      </c>
      <c r="T20" s="38" t="inlineStr">
        <is>
          <t>Compra fuerte</t>
        </is>
      </c>
      <c r="U20" s="38" t="inlineStr">
        <is>
          <t>Subió a 404 (cierre 25%), cayó a 167, entra al TOP 05-Sep-2025</t>
        </is>
      </c>
    </row>
    <row r="21">
      <c r="A21" s="39" t="n">
        <v>20</v>
      </c>
      <c r="B21" s="39" t="inlineStr">
        <is>
          <t>MNST</t>
        </is>
      </c>
      <c r="C21" s="39" t="inlineStr">
        <is>
          <t>Monster Beverage</t>
        </is>
      </c>
      <c r="D21" s="39" t="inlineStr">
        <is>
          <t>2024-06-25</t>
        </is>
      </c>
      <c r="E21" s="39" t="inlineStr">
        <is>
          <t>Especulativa</t>
        </is>
      </c>
      <c r="F21" s="39" t="inlineStr">
        <is>
          <t>50 USD</t>
        </is>
      </c>
      <c r="G21" s="39" t="inlineStr">
        <is>
          <t>P/E</t>
        </is>
      </c>
      <c r="H21" s="39" t="inlineStr">
        <is>
          <t>31x/21x (proy.)</t>
        </is>
      </c>
      <c r="I21" s="39" t="inlineStr">
        <is>
          <t>35x</t>
        </is>
      </c>
      <c r="J21" s="39" t="inlineStr">
        <is>
          <t>42-45 (VALUE)</t>
        </is>
      </c>
      <c r="K21" s="39" t="inlineStr">
        <is>
          <t>n/d</t>
        </is>
      </c>
      <c r="L21" s="39" t="inlineStr">
        <is>
          <t>n/d</t>
        </is>
      </c>
      <c r="M21" s="39" t="n">
        <v>2027</v>
      </c>
      <c r="N21" s="39" t="inlineStr">
        <is>
          <t>n/d</t>
        </is>
      </c>
      <c r="O21" s="39" t="inlineStr">
        <is>
          <t>63</t>
        </is>
      </c>
      <c r="P21" s="39" t="inlineStr">
        <is>
          <t>n/d</t>
        </is>
      </c>
      <c r="Q21" s="39" t="inlineStr">
        <is>
          <t>8%</t>
        </is>
      </c>
      <c r="R21" s="40" t="inlineStr">
        <is>
          <t>Líder mundial 23% mercado bebidas energéticas</t>
        </is>
      </c>
      <c r="S21" s="40" t="inlineStr">
        <is>
          <t>Red flag: tender offer con participación del Co-CEO</t>
        </is>
      </c>
      <c r="T21" s="40" t="inlineStr">
        <is>
          <t>No comprar aún (especulativa a este precio)</t>
        </is>
      </c>
      <c r="U21" s="40" t="inlineStr">
        <is>
          <t>Alcanzó 63 (base), cierre 50% (+34%) 26-Jun-2025</t>
        </is>
      </c>
    </row>
    <row r="22">
      <c r="A22" s="39" t="n">
        <v>21</v>
      </c>
      <c r="B22" s="39" t="inlineStr">
        <is>
          <t>CELH</t>
        </is>
      </c>
      <c r="C22" s="39" t="inlineStr">
        <is>
          <t>Celsius</t>
        </is>
      </c>
      <c r="D22" s="39" t="inlineStr">
        <is>
          <t>2024-06-25</t>
        </is>
      </c>
      <c r="E22" s="39" t="inlineStr">
        <is>
          <t>Especulativa</t>
        </is>
      </c>
      <c r="F22" s="39" t="inlineStr">
        <is>
          <t>55.75 USD</t>
        </is>
      </c>
      <c r="G22" s="39" t="inlineStr">
        <is>
          <t>P/E</t>
        </is>
      </c>
      <c r="H22" s="39" t="inlineStr">
        <is>
          <t>49x/27x (proy.)</t>
        </is>
      </c>
      <c r="I22" s="39" t="inlineStr">
        <is>
          <t>89x</t>
        </is>
      </c>
      <c r="J22" s="39" t="inlineStr">
        <is>
          <t>51-56</t>
        </is>
      </c>
      <c r="K22" s="39" t="inlineStr">
        <is>
          <t>45-48</t>
        </is>
      </c>
      <c r="L22" s="39" t="inlineStr">
        <is>
          <t>36-40</t>
        </is>
      </c>
      <c r="M22" s="39" t="n">
        <v>2027</v>
      </c>
      <c r="N22" s="39" t="inlineStr">
        <is>
          <t>50</t>
        </is>
      </c>
      <c r="O22" s="39" t="inlineStr">
        <is>
          <t>70</t>
        </is>
      </c>
      <c r="P22" s="39" t="inlineStr">
        <is>
          <t>85</t>
        </is>
      </c>
      <c r="Q22" s="39" t="inlineStr">
        <is>
          <t>7.9%</t>
        </is>
      </c>
      <c r="R22" s="40" t="inlineStr">
        <is>
          <t>Bebidas energéticas 'saludables' sin azúcar</t>
        </is>
      </c>
      <c r="S22" s="40" t="inlineStr">
        <is>
          <t>Sin barreras de entrada; ciclicidad del consumo</t>
        </is>
      </c>
      <c r="T22" s="40" t="inlineStr">
        <is>
          <t>Compra pequeña, riesgo alto</t>
        </is>
      </c>
      <c r="U22" s="40" t="inlineStr">
        <is>
          <t>Cayó -68% a 32.8, subió a 56 (+180% desde mín.), cierre 30% 13-Ago-2025</t>
        </is>
      </c>
    </row>
    <row r="23">
      <c r="A23" s="37" t="n">
        <v>22</v>
      </c>
      <c r="B23" s="37" t="inlineStr">
        <is>
          <t>ULTA</t>
        </is>
      </c>
      <c r="C23" s="37" t="inlineStr">
        <is>
          <t>Ulta Beauty</t>
        </is>
      </c>
      <c r="D23" s="37" t="inlineStr">
        <is>
          <t>2024-05-08</t>
        </is>
      </c>
      <c r="E23" s="37" t="inlineStr">
        <is>
          <t>Estándar</t>
        </is>
      </c>
      <c r="F23" s="37" t="inlineStr">
        <is>
          <t>388 USD</t>
        </is>
      </c>
      <c r="G23" s="37" t="inlineStr">
        <is>
          <t>P/E</t>
        </is>
      </c>
      <c r="H23" s="37" t="inlineStr">
        <is>
          <t>14.6x</t>
        </is>
      </c>
      <c r="I23" s="37" t="inlineStr">
        <is>
          <t>27x</t>
        </is>
      </c>
      <c r="J23" s="37" t="inlineStr">
        <is>
          <t>375-395</t>
        </is>
      </c>
      <c r="K23" s="37" t="inlineStr">
        <is>
          <t>320-340</t>
        </is>
      </c>
      <c r="L23" s="37" t="inlineStr">
        <is>
          <t>270-290</t>
        </is>
      </c>
      <c r="M23" s="37" t="n">
        <v>2027</v>
      </c>
      <c r="N23" s="37" t="inlineStr">
        <is>
          <t>550</t>
        </is>
      </c>
      <c r="O23" s="37" t="inlineStr">
        <is>
          <t>640</t>
        </is>
      </c>
      <c r="P23" s="37" t="inlineStr">
        <is>
          <t>750</t>
        </is>
      </c>
      <c r="Q23" s="37" t="inlineStr">
        <is>
          <t>18.15%</t>
        </is>
      </c>
      <c r="R23" s="38" t="inlineStr">
        <is>
          <t>Programa de lealtad 95% ventas (fácilmente desarmable)</t>
        </is>
      </c>
      <c r="S23" s="38" t="inlineStr">
        <is>
          <t>Sin moat cualitativo fuerte; sin skin in the game</t>
        </is>
      </c>
      <c r="T23" s="38" t="inlineStr">
        <is>
          <t>Compra grande, con convicción</t>
        </is>
      </c>
      <c r="U23" s="38" t="inlineStr">
        <is>
          <t>Bajó a 318 (Deep Value), rebote fuerte con entrada de Buffett</t>
        </is>
      </c>
    </row>
    <row r="24">
      <c r="A24" s="37" t="n">
        <v>23</v>
      </c>
      <c r="B24" s="37" t="inlineStr">
        <is>
          <t>SBUX</t>
        </is>
      </c>
      <c r="C24" s="37" t="inlineStr">
        <is>
          <t>Starbucks</t>
        </is>
      </c>
      <c r="D24" s="37" t="inlineStr">
        <is>
          <t>2024-05-07</t>
        </is>
      </c>
      <c r="E24" s="37" t="inlineStr">
        <is>
          <t>Estándar</t>
        </is>
      </c>
      <c r="F24" s="37" t="inlineStr">
        <is>
          <t>71.9 USD</t>
        </is>
      </c>
      <c r="G24" s="37" t="inlineStr">
        <is>
          <t>P/E</t>
        </is>
      </c>
      <c r="H24" s="37" t="inlineStr">
        <is>
          <t>19.2x (adj.)</t>
        </is>
      </c>
      <c r="I24" s="37" t="inlineStr">
        <is>
          <t>28x</t>
        </is>
      </c>
      <c r="J24" s="37" t="inlineStr">
        <is>
          <t>70-73</t>
        </is>
      </c>
      <c r="K24" s="37" t="inlineStr">
        <is>
          <t>55-60</t>
        </is>
      </c>
      <c r="L24" s="37" t="inlineStr">
        <is>
          <t>45-50</t>
        </is>
      </c>
      <c r="M24" s="37" t="n">
        <v>2027</v>
      </c>
      <c r="N24" s="37" t="inlineStr">
        <is>
          <t>90</t>
        </is>
      </c>
      <c r="O24" s="37" t="inlineStr">
        <is>
          <t>105</t>
        </is>
      </c>
      <c r="P24" s="37" t="inlineStr">
        <is>
          <t>130</t>
        </is>
      </c>
      <c r="Q24" s="37" t="inlineStr">
        <is>
          <t>13.4%+3.1%div</t>
        </is>
      </c>
      <c r="R24" s="38" t="inlineStr">
        <is>
          <t>Marca (moat 'Wide'), lealtad, poder de precio</t>
        </is>
      </c>
      <c r="S24" s="38" t="inlineStr">
        <is>
          <t>China (Luckin Coffee); inflación laboral/materias primas; ciclicidad</t>
        </is>
      </c>
      <c r="T24" s="38" t="inlineStr">
        <is>
          <t>Compra, empezando a acumular</t>
        </is>
      </c>
      <c r="U24" s="38" t="inlineStr">
        <is>
          <t>Posición abierta</t>
        </is>
      </c>
    </row>
    <row r="25">
      <c r="A25" s="37" t="n">
        <v>24</v>
      </c>
      <c r="B25" s="37" t="inlineStr">
        <is>
          <t>LW</t>
        </is>
      </c>
      <c r="C25" s="37" t="inlineStr">
        <is>
          <t>Lamb Weston</t>
        </is>
      </c>
      <c r="D25" s="37" t="inlineStr">
        <is>
          <t>2024-04-04</t>
        </is>
      </c>
      <c r="E25" s="37" t="inlineStr">
        <is>
          <t>Estándar</t>
        </is>
      </c>
      <c r="F25" s="37" t="inlineStr">
        <is>
          <t>81.8 USD</t>
        </is>
      </c>
      <c r="G25" s="37" t="inlineStr">
        <is>
          <t>P/E</t>
        </is>
      </c>
      <c r="H25" s="37" t="inlineStr">
        <is>
          <t>12.8x/14.8x</t>
        </is>
      </c>
      <c r="I25" s="37" t="inlineStr">
        <is>
          <t>23.6x</t>
        </is>
      </c>
      <c r="J25" s="37" t="inlineStr">
        <is>
          <t>80-82</t>
        </is>
      </c>
      <c r="K25" s="37" t="inlineStr">
        <is>
          <t>70-72</t>
        </is>
      </c>
      <c r="L25" s="37" t="inlineStr">
        <is>
          <t>60-62</t>
        </is>
      </c>
      <c r="M25" s="37" t="n">
        <v>2027</v>
      </c>
      <c r="N25" s="37" t="inlineStr">
        <is>
          <t>90</t>
        </is>
      </c>
      <c r="O25" s="37" t="inlineStr">
        <is>
          <t>110</t>
        </is>
      </c>
      <c r="P25" s="37" t="inlineStr">
        <is>
          <t>130</t>
        </is>
      </c>
      <c r="Q25" s="37" t="inlineStr">
        <is>
          <t>11.2%+1.8%div</t>
        </is>
      </c>
      <c r="R25" s="38" t="inlineStr">
        <is>
          <t>Liderazgo en restaurantes, ubicación de cultivo ventajosa</t>
        </is>
      </c>
      <c r="S25" s="38" t="inlineStr">
        <is>
          <t>Deuda creciente (2.8x); negocio poco diversificado (100% papa)</t>
        </is>
      </c>
      <c r="T25" s="38" t="inlineStr">
        <is>
          <t>Posición controlada</t>
        </is>
      </c>
      <c r="U25" s="38" t="inlineStr">
        <is>
          <t>Cayó a 53 (31-Mar-2025); nuevo objetivo 2028 Base 95 (21.5%+2.8%)</t>
        </is>
      </c>
    </row>
    <row r="26">
      <c r="A26" s="37" t="n">
        <v>25</v>
      </c>
      <c r="B26" s="37" t="inlineStr">
        <is>
          <t>NESN/NSRGY</t>
        </is>
      </c>
      <c r="C26" s="37" t="inlineStr">
        <is>
          <t>Nestlé</t>
        </is>
      </c>
      <c r="D26" s="37" t="inlineStr">
        <is>
          <t>2024-03</t>
        </is>
      </c>
      <c r="E26" s="37" t="inlineStr">
        <is>
          <t>Estándar</t>
        </is>
      </c>
      <c r="F26" s="37" t="inlineStr">
        <is>
          <t>91.2 CHF / 102.7 USD</t>
        </is>
      </c>
      <c r="G26" s="37" t="inlineStr">
        <is>
          <t>P/E</t>
        </is>
      </c>
      <c r="H26" s="37" t="inlineStr">
        <is>
          <t>18.3x (proy.)</t>
        </is>
      </c>
      <c r="I26" s="37" t="inlineStr">
        <is>
          <t>20x</t>
        </is>
      </c>
      <c r="J26" s="37" t="inlineStr">
        <is>
          <t>89-92</t>
        </is>
      </c>
      <c r="K26" s="37" t="inlineStr">
        <is>
          <t>82-86</t>
        </is>
      </c>
      <c r="L26" s="37" t="inlineStr">
        <is>
          <t>71-76</t>
        </is>
      </c>
      <c r="M26" s="37" t="n">
        <v>2026</v>
      </c>
      <c r="N26" s="37" t="inlineStr">
        <is>
          <t>110</t>
        </is>
      </c>
      <c r="O26" s="37" t="inlineStr">
        <is>
          <t>115</t>
        </is>
      </c>
      <c r="P26" s="37" t="inlineStr">
        <is>
          <t>125</t>
        </is>
      </c>
      <c r="Q26" s="37" t="inlineStr">
        <is>
          <t>8.2%+3.2%div</t>
        </is>
      </c>
      <c r="R26" s="38" t="inlineStr">
        <is>
          <t>Marca, poder de precio, escala, diversificación</t>
        </is>
      </c>
      <c r="S26" s="38" t="inlineStr">
        <is>
          <t>Inflación; tamaño limita crecimiento; controversias históricas</t>
        </is>
      </c>
      <c r="T26" s="38" t="inlineStr">
        <is>
          <t>Posición media-baja, mejor valoración en 10 años</t>
        </is>
      </c>
      <c r="U26" s="38" t="inlineStr">
        <is>
          <t>Bajó a 83 CHF (Deep Value) 15-Oct-2024</t>
        </is>
      </c>
    </row>
    <row r="27">
      <c r="A27" s="37" t="n">
        <v>26</v>
      </c>
      <c r="B27" s="37" t="inlineStr">
        <is>
          <t>PUM</t>
        </is>
      </c>
      <c r="C27" s="37" t="inlineStr">
        <is>
          <t>Puma</t>
        </is>
      </c>
      <c r="D27" s="37" t="inlineStr">
        <is>
          <t>2024-02-01</t>
        </is>
      </c>
      <c r="E27" s="37" t="inlineStr">
        <is>
          <t>Estándar</t>
        </is>
      </c>
      <c r="F27" s="37" t="inlineStr">
        <is>
          <t>37 EUR</t>
        </is>
      </c>
      <c r="G27" s="37" t="inlineStr">
        <is>
          <t>P/E</t>
        </is>
      </c>
      <c r="H27" s="37" t="inlineStr">
        <is>
          <t>16.3x (proy.)</t>
        </is>
      </c>
      <c r="I27" s="37" t="inlineStr">
        <is>
          <t>30x</t>
        </is>
      </c>
      <c r="J27" s="37" t="inlineStr">
        <is>
          <t>36-38</t>
        </is>
      </c>
      <c r="K27" s="37" t="inlineStr">
        <is>
          <t>31-33</t>
        </is>
      </c>
      <c r="L27" s="37" t="inlineStr">
        <is>
          <t>27-28</t>
        </is>
      </c>
      <c r="M27" s="37" t="n">
        <v>2026</v>
      </c>
      <c r="N27" s="37" t="inlineStr">
        <is>
          <t>48</t>
        </is>
      </c>
      <c r="O27" s="37" t="inlineStr">
        <is>
          <t>60</t>
        </is>
      </c>
      <c r="P27" s="37" t="inlineStr">
        <is>
          <t>72</t>
        </is>
      </c>
      <c r="Q27" s="37" t="inlineStr">
        <is>
          <t>17.4%+2.1%div</t>
        </is>
      </c>
      <c r="R27" s="38" t="inlineStr">
        <is>
          <t>Marca/reconocimiento débil, sin fuerte poder de precio</t>
        </is>
      </c>
      <c r="S27" s="38" t="inlineStr">
        <is>
          <t>CEO robado por Adidas; caja operativa negativa; sin moat fuerte</t>
        </is>
      </c>
      <c r="T27" s="38" t="inlineStr">
        <is>
          <t>Posición intermedia</t>
        </is>
      </c>
      <c r="U27" s="38" t="inlineStr">
        <is>
          <t>Cayó a 22.4 EUR (bajo histórica); nuevo objetivo 2028 Base 50 (30.8%+2.7%)</t>
        </is>
      </c>
    </row>
    <row r="28">
      <c r="A28" s="39" t="n">
        <v>27</v>
      </c>
      <c r="B28" s="39" t="inlineStr">
        <is>
          <t>JD</t>
        </is>
      </c>
      <c r="C28" s="39" t="inlineStr">
        <is>
          <t>JD.com</t>
        </is>
      </c>
      <c r="D28" s="39" t="inlineStr">
        <is>
          <t>2024-01-12</t>
        </is>
      </c>
      <c r="E28" s="39" t="inlineStr">
        <is>
          <t>Especulativa</t>
        </is>
      </c>
      <c r="F28" s="39" t="inlineStr">
        <is>
          <t>24.7 USD</t>
        </is>
      </c>
      <c r="G28" s="39" t="inlineStr">
        <is>
          <t>P/E</t>
        </is>
      </c>
      <c r="H28" s="39" t="inlineStr">
        <is>
          <t>7.8x (proy.)</t>
        </is>
      </c>
      <c r="I28" s="39" t="inlineStr">
        <is>
          <t>n/d</t>
        </is>
      </c>
      <c r="J28" s="39" t="inlineStr">
        <is>
          <t>24-25</t>
        </is>
      </c>
      <c r="K28" s="39" t="inlineStr">
        <is>
          <t>20-21</t>
        </is>
      </c>
      <c r="L28" s="39" t="inlineStr">
        <is>
          <t>18</t>
        </is>
      </c>
      <c r="M28" s="39" t="n">
        <v>2026</v>
      </c>
      <c r="N28" s="39" t="inlineStr">
        <is>
          <t>37</t>
        </is>
      </c>
      <c r="O28" s="39" t="inlineStr">
        <is>
          <t>50</t>
        </is>
      </c>
      <c r="P28" s="39" t="inlineStr">
        <is>
          <t>58</t>
        </is>
      </c>
      <c r="Q28" s="39" t="inlineStr">
        <is>
          <t>27.7%</t>
        </is>
      </c>
      <c r="R28" s="40" t="inlineStr">
        <is>
          <t>Prácticamente ninguna (márgenes bajos)</t>
        </is>
      </c>
      <c r="S28" s="40" t="inlineStr">
        <is>
          <t>Riesgo país China total; posible fraude vía DADA; competencia PDD</t>
        </is>
      </c>
      <c r="T28" s="40" t="inlineStr">
        <is>
          <t>Absolutamente especulativo, máx. 3% del portafolio</t>
        </is>
      </c>
      <c r="U28" s="40" t="inlineStr">
        <is>
          <t>Posición abierta</t>
        </is>
      </c>
    </row>
    <row r="29">
      <c r="A29" s="37" t="n">
        <v>28</v>
      </c>
      <c r="B29" s="37" t="inlineStr">
        <is>
          <t>PFE</t>
        </is>
      </c>
      <c r="C29" s="37" t="inlineStr">
        <is>
          <t>Pfizer</t>
        </is>
      </c>
      <c r="D29" s="37" t="inlineStr">
        <is>
          <t>2023-10-27</t>
        </is>
      </c>
      <c r="E29" s="37" t="inlineStr">
        <is>
          <t>Estándar</t>
        </is>
      </c>
      <c r="F29" s="37" t="inlineStr">
        <is>
          <t>30 USD</t>
        </is>
      </c>
      <c r="G29" s="37" t="inlineStr">
        <is>
          <t>P/E</t>
        </is>
      </c>
      <c r="H29" s="37" t="inlineStr">
        <is>
          <t>9x (guidance)</t>
        </is>
      </c>
      <c r="I29" s="37" t="inlineStr">
        <is>
          <t>18x</t>
        </is>
      </c>
      <c r="J29" s="37" t="inlineStr">
        <is>
          <t>29-31</t>
        </is>
      </c>
      <c r="K29" s="37" t="inlineStr">
        <is>
          <t>27-28</t>
        </is>
      </c>
      <c r="L29" s="37" t="inlineStr">
        <is>
          <t>24-25</t>
        </is>
      </c>
      <c r="M29" s="37" t="n">
        <v>2026</v>
      </c>
      <c r="N29" s="37" t="inlineStr">
        <is>
          <t>35</t>
        </is>
      </c>
      <c r="O29" s="37" t="inlineStr">
        <is>
          <t>44</t>
        </is>
      </c>
      <c r="P29" s="37" t="inlineStr">
        <is>
          <t>50</t>
        </is>
      </c>
      <c r="Q29" s="37" t="inlineStr">
        <is>
          <t>13.6%+5.4%div</t>
        </is>
      </c>
      <c r="R29" s="38" t="inlineStr">
        <is>
          <t>No explícito (servicio esencial de salud)</t>
        </is>
      </c>
      <c r="S29" s="38" t="inlineStr">
        <is>
          <t>Desinfle post-COVID; complejidad del negocio farmacéutico</t>
        </is>
      </c>
      <c r="T29" s="38" t="inlineStr">
        <is>
          <t>Compra, acumulando</t>
        </is>
      </c>
      <c r="U29" s="38" t="inlineStr">
        <is>
          <t>Guidance no cumplido, cayó a 27.74; nuevo objetivo 2027 Base 42 (15.1%+6%div)</t>
        </is>
      </c>
    </row>
    <row r="30">
      <c r="A30" s="37" t="n">
        <v>29</v>
      </c>
      <c r="B30" s="37" t="inlineStr">
        <is>
          <t>BMY</t>
        </is>
      </c>
      <c r="C30" s="37" t="inlineStr">
        <is>
          <t>Bristol Myers Squibb</t>
        </is>
      </c>
      <c r="D30" s="37" t="inlineStr">
        <is>
          <t>2023-10-27</t>
        </is>
      </c>
      <c r="E30" s="37" t="inlineStr">
        <is>
          <t>Estándar</t>
        </is>
      </c>
      <c r="F30" s="37" t="inlineStr">
        <is>
          <t>51 USD</t>
        </is>
      </c>
      <c r="G30" s="37" t="inlineStr">
        <is>
          <t>P/E</t>
        </is>
      </c>
      <c r="H30" s="37" t="inlineStr">
        <is>
          <t>13x (GAAP)</t>
        </is>
      </c>
      <c r="I30" s="37" t="inlineStr">
        <is>
          <t>n/d</t>
        </is>
      </c>
      <c r="J30" s="37" t="inlineStr">
        <is>
          <t>50-51</t>
        </is>
      </c>
      <c r="K30" s="37" t="inlineStr">
        <is>
          <t>43-45</t>
        </is>
      </c>
      <c r="L30" s="37" t="inlineStr">
        <is>
          <t>40-41</t>
        </is>
      </c>
      <c r="M30" s="37" t="n">
        <v>2026</v>
      </c>
      <c r="N30" s="37" t="inlineStr">
        <is>
          <t>57</t>
        </is>
      </c>
      <c r="O30" s="37" t="inlineStr">
        <is>
          <t>63</t>
        </is>
      </c>
      <c r="P30" s="37" t="inlineStr">
        <is>
          <t>70</t>
        </is>
      </c>
      <c r="Q30" s="37" t="inlineStr">
        <is>
          <t>7.3%+4.3%div</t>
        </is>
      </c>
      <c r="R30" s="38" t="inlineStr">
        <is>
          <t>No explícito</t>
        </is>
      </c>
      <c r="S30" s="38" t="inlineStr">
        <is>
          <t>Pérdida de patentes; competencia de genéricos</t>
        </is>
      </c>
      <c r="T30" s="38" t="inlineStr">
        <is>
          <t>Posición menor que PFE</t>
        </is>
      </c>
      <c r="U30" s="38" t="inlineStr">
        <is>
          <t>Alcanzó 62 (base); redujo 30% (+36%) 11-Nov-2024</t>
        </is>
      </c>
    </row>
    <row r="31">
      <c r="A31" s="37" t="n">
        <v>30</v>
      </c>
      <c r="B31" s="37" t="inlineStr">
        <is>
          <t>DG</t>
        </is>
      </c>
      <c r="C31" s="37" t="inlineStr">
        <is>
          <t>Dollar General</t>
        </is>
      </c>
      <c r="D31" s="37" t="inlineStr">
        <is>
          <t>2023-10-04</t>
        </is>
      </c>
      <c r="E31" s="37" t="inlineStr">
        <is>
          <t>Estándar</t>
        </is>
      </c>
      <c r="F31" s="37" t="inlineStr">
        <is>
          <t>103.7 USD</t>
        </is>
      </c>
      <c r="G31" s="37" t="inlineStr">
        <is>
          <t>P/E</t>
        </is>
      </c>
      <c r="H31" s="37" t="inlineStr">
        <is>
          <t>10.8x/13.5x</t>
        </is>
      </c>
      <c r="I31" s="37" t="inlineStr">
        <is>
          <t>17x</t>
        </is>
      </c>
      <c r="J31" s="37" t="inlineStr">
        <is>
          <t>100-105</t>
        </is>
      </c>
      <c r="K31" s="37" t="inlineStr">
        <is>
          <t>85-90</t>
        </is>
      </c>
      <c r="L31" s="37" t="inlineStr">
        <is>
          <t>75-80</t>
        </is>
      </c>
      <c r="M31" s="37" t="n">
        <v>2026</v>
      </c>
      <c r="N31" s="37" t="inlineStr">
        <is>
          <t>90</t>
        </is>
      </c>
      <c r="O31" s="37" t="inlineStr">
        <is>
          <t>140</t>
        </is>
      </c>
      <c r="P31" s="37" t="inlineStr">
        <is>
          <t>160</t>
        </is>
      </c>
      <c r="Q31" s="37" t="inlineStr">
        <is>
          <t>10.7%+2.6%div</t>
        </is>
      </c>
      <c r="R31" s="38" t="inlineStr">
        <is>
          <t>Débil - red rural, bajo costo</t>
        </is>
      </c>
      <c r="S31" s="38" t="inlineStr">
        <is>
          <t>Manejo de deuda irresponsable (recompras con deuda); recesión</t>
        </is>
      </c>
      <c r="T31" s="38" t="inlineStr">
        <is>
          <t>Compra moderada - caso de qué NO hacer con deuda</t>
        </is>
      </c>
      <c r="U31" s="38" t="inlineStr">
        <is>
          <t>Subió a 153 (+53%, cierre 35%), cayó a 84; se retoma la posición</t>
        </is>
      </c>
    </row>
    <row r="32">
      <c r="A32" s="39" t="n">
        <v>31</v>
      </c>
      <c r="B32" s="39" t="inlineStr">
        <is>
          <t>SE</t>
        </is>
      </c>
      <c r="C32" s="39" t="inlineStr">
        <is>
          <t>Sea Limited</t>
        </is>
      </c>
      <c r="D32" s="39" t="inlineStr">
        <is>
          <t>2023-08-22</t>
        </is>
      </c>
      <c r="E32" s="39" t="inlineStr">
        <is>
          <t>Especulativa</t>
        </is>
      </c>
      <c r="F32" s="39" t="inlineStr">
        <is>
          <t>36.7 USD</t>
        </is>
      </c>
      <c r="G32" s="39" t="inlineStr">
        <is>
          <t>P/S</t>
        </is>
      </c>
      <c r="H32" s="39" t="inlineStr">
        <is>
          <t>1.76x</t>
        </is>
      </c>
      <c r="I32" s="39" t="inlineStr">
        <is>
          <t>13x</t>
        </is>
      </c>
      <c r="J32" s="39" t="inlineStr">
        <is>
          <t>35-38</t>
        </is>
      </c>
      <c r="K32" s="39" t="inlineStr">
        <is>
          <t>29-32</t>
        </is>
      </c>
      <c r="L32" s="39" t="inlineStr">
        <is>
          <t>25-27</t>
        </is>
      </c>
      <c r="M32" s="39" t="n">
        <v>2026</v>
      </c>
      <c r="N32" s="39" t="inlineStr">
        <is>
          <t>50</t>
        </is>
      </c>
      <c r="O32" s="39" t="inlineStr">
        <is>
          <t>70</t>
        </is>
      </c>
      <c r="P32" s="39" t="inlineStr">
        <is>
          <t>110</t>
        </is>
      </c>
      <c r="Q32" s="39" t="inlineStr">
        <is>
          <t>24.24%</t>
        </is>
      </c>
      <c r="R32" s="40" t="inlineStr">
        <is>
          <t>Free Fire (líder mobile gaming), Shopee líder en el sudeste asiático</t>
        </is>
      </c>
      <c r="S32" s="40" t="inlineStr">
        <is>
          <t>Sin utilidades/caja consistente; alta volatilidad</t>
        </is>
      </c>
      <c r="T32" s="40" t="inlineStr">
        <is>
          <t>Compra fuerte (especulativa)</t>
        </is>
      </c>
      <c r="U32" s="40" t="inlineStr">
        <is>
          <t>Alcanzó 164 (+345%), cierre acumulado 65% 26-May-2025</t>
        </is>
      </c>
    </row>
    <row r="33">
      <c r="A33" s="37" t="n">
        <v>32</v>
      </c>
      <c r="B33" s="37" t="inlineStr">
        <is>
          <t>IMXI</t>
        </is>
      </c>
      <c r="C33" s="37" t="inlineStr">
        <is>
          <t>Intermex</t>
        </is>
      </c>
      <c r="D33" s="37" t="inlineStr">
        <is>
          <t>2023-08-02</t>
        </is>
      </c>
      <c r="E33" s="37" t="inlineStr">
        <is>
          <t>Estándar</t>
        </is>
      </c>
      <c r="F33" s="37" t="inlineStr">
        <is>
          <t>19.14 USD</t>
        </is>
      </c>
      <c r="G33" s="37" t="inlineStr">
        <is>
          <t>P/E</t>
        </is>
      </c>
      <c r="H33" s="37" t="inlineStr">
        <is>
          <t>8.5x (fwd)</t>
        </is>
      </c>
      <c r="I33" s="37" t="inlineStr">
        <is>
          <t>12.9x</t>
        </is>
      </c>
      <c r="J33" s="37" t="inlineStr">
        <is>
          <t>19-20</t>
        </is>
      </c>
      <c r="K33" s="37" t="inlineStr">
        <is>
          <t>17-18</t>
        </is>
      </c>
      <c r="L33" s="37" t="inlineStr">
        <is>
          <t>15-16</t>
        </is>
      </c>
      <c r="M33" s="37" t="n">
        <v>2026</v>
      </c>
      <c r="N33" s="37" t="inlineStr">
        <is>
          <t>25</t>
        </is>
      </c>
      <c r="O33" s="37" t="inlineStr">
        <is>
          <t>35</t>
        </is>
      </c>
      <c r="P33" s="37" t="inlineStr">
        <is>
          <t>45</t>
        </is>
      </c>
      <c r="Q33" s="37" t="inlineStr">
        <is>
          <t>22.3%</t>
        </is>
      </c>
      <c r="R33" s="38" t="inlineStr">
        <is>
          <t>Débiles - red de agentes fácilmente replicable</t>
        </is>
      </c>
      <c r="S33" s="38" t="inlineStr">
        <is>
          <t>Small cap volátil; sin skin in the game; competencia; regulación multi-país</t>
        </is>
      </c>
      <c r="T33" s="38" t="inlineStr">
        <is>
          <t>Compra en la caída - gran oportunidad</t>
        </is>
      </c>
      <c r="U33" s="38" t="inlineStr">
        <is>
          <t>Posición abierta</t>
        </is>
      </c>
    </row>
    <row r="34">
      <c r="A34" s="37" t="n">
        <v>33</v>
      </c>
      <c r="B34" s="37" t="inlineStr">
        <is>
          <t>EPAM</t>
        </is>
      </c>
      <c r="C34" s="37" t="inlineStr">
        <is>
          <t>EPAM Systems</t>
        </is>
      </c>
      <c r="D34" s="37" t="inlineStr">
        <is>
          <t>2023-06-06</t>
        </is>
      </c>
      <c r="E34" s="37" t="inlineStr">
        <is>
          <t>Estándar</t>
        </is>
      </c>
      <c r="F34" s="37" t="inlineStr">
        <is>
          <t>208 USD</t>
        </is>
      </c>
      <c r="G34" s="37" t="inlineStr">
        <is>
          <t>P/E</t>
        </is>
      </c>
      <c r="H34" s="37" t="inlineStr">
        <is>
          <t>19x (proy.)</t>
        </is>
      </c>
      <c r="I34" s="37" t="inlineStr">
        <is>
          <t>29x</t>
        </is>
      </c>
      <c r="J34" s="37" t="inlineStr">
        <is>
          <t>200-215</t>
        </is>
      </c>
      <c r="K34" s="37" t="inlineStr">
        <is>
          <t>180-190</t>
        </is>
      </c>
      <c r="L34" s="37" t="inlineStr">
        <is>
          <t>160-170</t>
        </is>
      </c>
      <c r="M34" s="37" t="n">
        <v>2025</v>
      </c>
      <c r="N34" s="37" t="inlineStr">
        <is>
          <t>260</t>
        </is>
      </c>
      <c r="O34" s="37" t="inlineStr">
        <is>
          <t>390</t>
        </is>
      </c>
      <c r="P34" s="37" t="inlineStr">
        <is>
          <t>460</t>
        </is>
      </c>
      <c r="Q34" s="37" t="inlineStr">
        <is>
          <t>23.3%</t>
        </is>
      </c>
      <c r="R34" s="38" t="inlineStr">
        <is>
          <t>Débil - nombre/cobertura global, talento replicable</t>
        </is>
      </c>
      <c r="S34" s="38" t="inlineStr">
        <is>
          <t>Guidance reducido; desaceleración de crecimiento</t>
        </is>
      </c>
      <c r="T34" s="38" t="inlineStr">
        <is>
          <t>Compra fuerte, casi TOP del portafolio</t>
        </is>
      </c>
      <c r="U34" s="38" t="inlineStr">
        <is>
          <t>Cayó -27% a 180 (Deep Value), luego a 146; nuevo objetivo 2028 Base 290 (25.7%)</t>
        </is>
      </c>
    </row>
    <row r="35">
      <c r="A35" s="39" t="n">
        <v>34</v>
      </c>
      <c r="B35" s="39" t="inlineStr">
        <is>
          <t>UAA</t>
        </is>
      </c>
      <c r="C35" s="39" t="inlineStr">
        <is>
          <t>Under Armour</t>
        </is>
      </c>
      <c r="D35" s="39" t="inlineStr">
        <is>
          <t>2023-05-24</t>
        </is>
      </c>
      <c r="E35" s="39" t="inlineStr">
        <is>
          <t>Especulativa</t>
        </is>
      </c>
      <c r="F35" s="39" t="inlineStr">
        <is>
          <t>7.07 USD</t>
        </is>
      </c>
      <c r="G35" s="39" t="inlineStr">
        <is>
          <t>P/E</t>
        </is>
      </c>
      <c r="H35" s="39" t="inlineStr">
        <is>
          <t>8.8x</t>
        </is>
      </c>
      <c r="I35" s="39" t="inlineStr">
        <is>
          <t>n/c (57x hist. no comparable)</t>
        </is>
      </c>
      <c r="J35" s="39" t="inlineStr">
        <is>
          <t>6.6-7.1</t>
        </is>
      </c>
      <c r="K35" s="39" t="inlineStr">
        <is>
          <t>5-5.5</t>
        </is>
      </c>
      <c r="L35" s="39" t="inlineStr">
        <is>
          <t>4.5</t>
        </is>
      </c>
      <c r="M35" s="39" t="n">
        <v>2025</v>
      </c>
      <c r="N35" s="39" t="inlineStr">
        <is>
          <t>6</t>
        </is>
      </c>
      <c r="O35" s="39" t="inlineStr">
        <is>
          <t>9.5</t>
        </is>
      </c>
      <c r="P35" s="39" t="inlineStr">
        <is>
          <t>13</t>
        </is>
      </c>
      <c r="Q35" s="39" t="inlineStr">
        <is>
          <t>10.7%</t>
        </is>
      </c>
      <c r="R35" s="40" t="inlineStr">
        <is>
          <t>Débil - sin poder de precio equivalente a NKE</t>
        </is>
      </c>
      <c r="S35" s="40" t="inlineStr">
        <is>
          <t>Inventarios crecientes; incertidumbre estructural vs. coyuntural</t>
        </is>
      </c>
      <c r="T35" s="40" t="inlineStr">
        <is>
          <t>Turnaround especulativo pequeño</t>
        </is>
      </c>
      <c r="U35" s="40" t="inlineStr">
        <is>
          <t>Alcanzó 10.8 (+59%), cierre 65% 07-Nov-2024</t>
        </is>
      </c>
    </row>
    <row r="36">
      <c r="A36" s="37" t="n">
        <v>35</v>
      </c>
      <c r="B36" s="37" t="inlineStr">
        <is>
          <t>TEP</t>
        </is>
      </c>
      <c r="C36" s="37" t="inlineStr">
        <is>
          <t>Teleperformance</t>
        </is>
      </c>
      <c r="D36" s="37" t="inlineStr">
        <is>
          <t>2023-05-25</t>
        </is>
      </c>
      <c r="E36" s="37" t="inlineStr">
        <is>
          <t>Estándar</t>
        </is>
      </c>
      <c r="F36" s="37" t="inlineStr">
        <is>
          <t>148 EUR</t>
        </is>
      </c>
      <c r="G36" s="37" t="inlineStr">
        <is>
          <t>P/E</t>
        </is>
      </c>
      <c r="H36" s="37" t="inlineStr">
        <is>
          <t>14.4x</t>
        </is>
      </c>
      <c r="I36" s="37" t="inlineStr">
        <is>
          <t>23x</t>
        </is>
      </c>
      <c r="J36" s="37" t="inlineStr">
        <is>
          <t>145-155</t>
        </is>
      </c>
      <c r="K36" s="37" t="inlineStr">
        <is>
          <t>130-135</t>
        </is>
      </c>
      <c r="L36" s="37" t="inlineStr">
        <is>
          <t>110-115</t>
        </is>
      </c>
      <c r="M36" s="37" t="n">
        <v>2025</v>
      </c>
      <c r="N36" s="37" t="inlineStr">
        <is>
          <t>190</t>
        </is>
      </c>
      <c r="O36" s="37" t="inlineStr">
        <is>
          <t>260</t>
        </is>
      </c>
      <c r="P36" s="37" t="inlineStr">
        <is>
          <t>290</t>
        </is>
      </c>
      <c r="Q36" s="37" t="inlineStr">
        <is>
          <t>20.66%+2.6%div</t>
        </is>
      </c>
      <c r="R36" s="38" t="inlineStr">
        <is>
          <t>Escala/efecto red en call centers, contratos recurrentes largos</t>
        </is>
      </c>
      <c r="S36" s="38" t="inlineStr">
        <is>
          <t>Narrativa de reemplazo por IA; demandas laborales; deuda por Majorel</t>
        </is>
      </c>
      <c r="T36" s="38" t="inlineStr">
        <is>
          <t>Compra</t>
        </is>
      </c>
      <c r="U36" s="38" t="inlineStr">
        <is>
          <t>Se desplomó -25% a 84 EUR; nuevo objetivo (castigo -15%) Base 220 (37.8%+4.6%)</t>
        </is>
      </c>
    </row>
    <row r="37">
      <c r="A37" s="37" t="n">
        <v>36</v>
      </c>
      <c r="B37" s="37" t="inlineStr">
        <is>
          <t>CVS</t>
        </is>
      </c>
      <c r="C37" s="37" t="inlineStr">
        <is>
          <t>CVS Health</t>
        </is>
      </c>
      <c r="D37" s="37" t="inlineStr">
        <is>
          <t>2023-03-31</t>
        </is>
      </c>
      <c r="E37" s="37" t="inlineStr">
        <is>
          <t>Estándar</t>
        </is>
      </c>
      <c r="F37" s="37" t="inlineStr">
        <is>
          <t>72 USD</t>
        </is>
      </c>
      <c r="G37" s="37" t="inlineStr">
        <is>
          <t>P/E</t>
        </is>
      </c>
      <c r="H37" s="37" t="inlineStr">
        <is>
          <t>8.18x (fwd)</t>
        </is>
      </c>
      <c r="I37" s="37" t="inlineStr">
        <is>
          <t>n/d</t>
        </is>
      </c>
      <c r="J37" s="37" t="inlineStr">
        <is>
          <t>70-75</t>
        </is>
      </c>
      <c r="K37" s="37" t="inlineStr">
        <is>
          <t>63-65</t>
        </is>
      </c>
      <c r="L37" s="37" t="inlineStr">
        <is>
          <t>56-60</t>
        </is>
      </c>
      <c r="M37" s="37" t="n">
        <v>2025</v>
      </c>
      <c r="N37" s="37" t="inlineStr">
        <is>
          <t>90</t>
        </is>
      </c>
      <c r="O37" s="37" t="inlineStr">
        <is>
          <t>96</t>
        </is>
      </c>
      <c r="P37" s="37" t="inlineStr">
        <is>
          <t>109</t>
        </is>
      </c>
      <c r="Q37" s="37" t="inlineStr">
        <is>
          <t>10.5%+2%div</t>
        </is>
      </c>
      <c r="R37" s="38" t="inlineStr">
        <is>
          <t>Fuerte - servicio esencial, base leal, ingresos recurrentes</t>
        </is>
      </c>
      <c r="S37" s="38" t="inlineStr">
        <is>
          <t>Regulación del sector salud; sobrepago en adquisiciones; alta deuda</t>
        </is>
      </c>
      <c r="T37" s="38" t="inlineStr">
        <is>
          <t>Compra decente, no top</t>
        </is>
      </c>
      <c r="U37" s="38" t="inlineStr">
        <is>
          <t>Alcanzó 80.6, cierre 45% (+30% con dividendos) 29-Oct-2025</t>
        </is>
      </c>
    </row>
    <row r="38">
      <c r="A38" s="37" t="n">
        <v>37</v>
      </c>
      <c r="B38" s="37" t="inlineStr">
        <is>
          <t>AFYA</t>
        </is>
      </c>
      <c r="C38" s="37" t="inlineStr">
        <is>
          <t>Afya</t>
        </is>
      </c>
      <c r="D38" s="37" t="inlineStr">
        <is>
          <t>2023-02-21</t>
        </is>
      </c>
      <c r="E38" s="37" t="inlineStr">
        <is>
          <t>Estándar</t>
        </is>
      </c>
      <c r="F38" s="37" t="inlineStr">
        <is>
          <t>12.9 USD</t>
        </is>
      </c>
      <c r="G38" s="37" t="inlineStr">
        <is>
          <t>P/E</t>
        </is>
      </c>
      <c r="H38" s="37" t="inlineStr">
        <is>
          <t>17x</t>
        </is>
      </c>
      <c r="I38" s="37" t="inlineStr">
        <is>
          <t>29x</t>
        </is>
      </c>
      <c r="J38" s="37" t="inlineStr">
        <is>
          <t>12-13</t>
        </is>
      </c>
      <c r="K38" s="37" t="inlineStr">
        <is>
          <t>10.5-11</t>
        </is>
      </c>
      <c r="L38" s="37" t="inlineStr">
        <is>
          <t>9</t>
        </is>
      </c>
      <c r="M38" s="37" t="n">
        <v>2025</v>
      </c>
      <c r="N38" s="37" t="inlineStr">
        <is>
          <t>17</t>
        </is>
      </c>
      <c r="O38" s="37" t="inlineStr">
        <is>
          <t>21</t>
        </is>
      </c>
      <c r="P38" s="37" t="inlineStr">
        <is>
          <t>25</t>
        </is>
      </c>
      <c r="Q38" s="37" t="inlineStr">
        <is>
          <t>17.3%/25%</t>
        </is>
      </c>
      <c r="R38" s="38" t="inlineStr">
        <is>
          <t>No explícito</t>
        </is>
      </c>
      <c r="S38" s="38" t="inlineStr">
        <is>
          <t>Small cap brasilera, alto riesgo país</t>
        </is>
      </c>
      <c r="T38" s="38" t="inlineStr">
        <is>
          <t>Una de las posiciones principales del autor</t>
        </is>
      </c>
      <c r="U38" s="38" t="inlineStr">
        <is>
          <t>Alcanzó 20.6 (+93% con div), cierre 30% 29-Nov-2023</t>
        </is>
      </c>
    </row>
    <row r="39">
      <c r="A39" s="37" t="n">
        <v>38</v>
      </c>
      <c r="B39" s="37" t="inlineStr">
        <is>
          <t>WGO</t>
        </is>
      </c>
      <c r="C39" s="37" t="inlineStr">
        <is>
          <t>Winnebago Industries</t>
        </is>
      </c>
      <c r="D39" s="37" t="inlineStr">
        <is>
          <t>2023-02-08</t>
        </is>
      </c>
      <c r="E39" s="37" t="inlineStr">
        <is>
          <t>Estándar</t>
        </is>
      </c>
      <c r="F39" s="37" t="inlineStr">
        <is>
          <t>65 USD</t>
        </is>
      </c>
      <c r="G39" s="37" t="inlineStr">
        <is>
          <t>P/E</t>
        </is>
      </c>
      <c r="H39" s="37" t="inlineStr">
        <is>
          <t>9.18x</t>
        </is>
      </c>
      <c r="I39" s="37" t="inlineStr">
        <is>
          <t>14x</t>
        </is>
      </c>
      <c r="J39" s="37" t="inlineStr">
        <is>
          <t>60-65</t>
        </is>
      </c>
      <c r="K39" s="37" t="inlineStr">
        <is>
          <t>50-55</t>
        </is>
      </c>
      <c r="L39" s="37" t="inlineStr">
        <is>
          <t>45</t>
        </is>
      </c>
      <c r="M39" s="37" t="n">
        <v>2025</v>
      </c>
      <c r="N39" s="37" t="inlineStr">
        <is>
          <t>80</t>
        </is>
      </c>
      <c r="O39" s="37" t="inlineStr">
        <is>
          <t>95</t>
        </is>
      </c>
      <c r="P39" s="37" t="inlineStr">
        <is>
          <t>130</t>
        </is>
      </c>
      <c r="Q39" s="37" t="inlineStr">
        <is>
          <t>13.4%</t>
        </is>
      </c>
      <c r="R39" s="38" t="inlineStr">
        <is>
          <t>Ganancia sostenida de market share (3.3%→12.7%)</t>
        </is>
      </c>
      <c r="S39" s="38" t="inlineStr">
        <is>
          <t>Alta sensibilidad a recesión; sostenibilidad de márgenes incierta</t>
        </is>
      </c>
      <c r="T39" s="38" t="inlineStr">
        <is>
          <t>Compra - pasó todos los filtros</t>
        </is>
      </c>
      <c r="U39" s="38" t="inlineStr">
        <is>
          <t>Posición abierta</t>
        </is>
      </c>
    </row>
    <row r="40">
      <c r="A40" s="37" t="n">
        <v>39</v>
      </c>
      <c r="B40" s="37" t="inlineStr">
        <is>
          <t>ABEV</t>
        </is>
      </c>
      <c r="C40" s="37" t="inlineStr">
        <is>
          <t>Ambev</t>
        </is>
      </c>
      <c r="D40" s="37" t="inlineStr">
        <is>
          <t>2023-01-11</t>
        </is>
      </c>
      <c r="E40" s="37" t="inlineStr">
        <is>
          <t>Estándar</t>
        </is>
      </c>
      <c r="F40" s="37" t="inlineStr">
        <is>
          <t>2.7 USD</t>
        </is>
      </c>
      <c r="G40" s="37" t="inlineStr">
        <is>
          <t>EV/EBITDA</t>
        </is>
      </c>
      <c r="H40" s="37" t="inlineStr">
        <is>
          <t>10x</t>
        </is>
      </c>
      <c r="I40" s="37" t="inlineStr">
        <is>
          <t>13.5x</t>
        </is>
      </c>
      <c r="J40" s="37" t="inlineStr">
        <is>
          <t>2.65-2.75</t>
        </is>
      </c>
      <c r="K40" s="37" t="inlineStr">
        <is>
          <t>2.3-2.4</t>
        </is>
      </c>
      <c r="L40" s="37" t="inlineStr">
        <is>
          <t>2.1</t>
        </is>
      </c>
      <c r="M40" s="37" t="n">
        <v>2025</v>
      </c>
      <c r="N40" s="37" t="inlineStr">
        <is>
          <t>3.5</t>
        </is>
      </c>
      <c r="O40" s="37" t="inlineStr">
        <is>
          <t>3.9</t>
        </is>
      </c>
      <c r="P40" s="37" t="inlineStr">
        <is>
          <t>4.5</t>
        </is>
      </c>
      <c r="Q40" s="37" t="inlineStr">
        <is>
          <t>13%+4.1%div</t>
        </is>
      </c>
      <c r="R40" s="38" t="inlineStr">
        <is>
          <t>No explícito</t>
        </is>
      </c>
      <c r="S40" s="38" t="inlineStr">
        <is>
          <t>Riesgo político (Lula)</t>
        </is>
      </c>
      <c r="T40" s="38" t="inlineStr">
        <is>
          <t>Compra para perfil conservador</t>
        </is>
      </c>
      <c r="U40" s="38" t="inlineStr">
        <is>
          <t>Posición abierta</t>
        </is>
      </c>
    </row>
    <row r="41">
      <c r="A41" s="37" t="n">
        <v>40</v>
      </c>
      <c r="B41" s="37" t="inlineStr">
        <is>
          <t>XP</t>
        </is>
      </c>
      <c r="C41" s="37" t="inlineStr">
        <is>
          <t>XP Inc</t>
        </is>
      </c>
      <c r="D41" s="37" t="inlineStr">
        <is>
          <t>2022-12-16</t>
        </is>
      </c>
      <c r="E41" s="37" t="inlineStr">
        <is>
          <t>Estándar</t>
        </is>
      </c>
      <c r="F41" s="37" t="inlineStr">
        <is>
          <t>13.99 USD</t>
        </is>
      </c>
      <c r="G41" s="37" t="inlineStr">
        <is>
          <t>P/E</t>
        </is>
      </c>
      <c r="H41" s="37" t="inlineStr">
        <is>
          <t>10x (proy.)</t>
        </is>
      </c>
      <c r="I41" s="37" t="inlineStr">
        <is>
          <t>n/c (IPO ~75x)</t>
        </is>
      </c>
      <c r="J41" s="37" t="inlineStr">
        <is>
          <t>n/d</t>
        </is>
      </c>
      <c r="K41" s="37" t="inlineStr">
        <is>
          <t>n/d</t>
        </is>
      </c>
      <c r="L41" s="37" t="inlineStr">
        <is>
          <t>n/d</t>
        </is>
      </c>
      <c r="M41" s="37" t="n">
        <v>2025</v>
      </c>
      <c r="N41" s="37" t="inlineStr">
        <is>
          <t>22</t>
        </is>
      </c>
      <c r="O41" s="37" t="inlineStr">
        <is>
          <t>30</t>
        </is>
      </c>
      <c r="P41" s="37" t="inlineStr">
        <is>
          <t>35</t>
        </is>
      </c>
      <c r="Q41" s="37" t="inlineStr">
        <is>
          <t>28.9%</t>
        </is>
      </c>
      <c r="R41" s="38" t="inlineStr">
        <is>
          <t>No explícito</t>
        </is>
      </c>
      <c r="S41" s="38" t="inlineStr">
        <is>
          <t>Riesgo político Lula/Brasil</t>
        </is>
      </c>
      <c r="T41" s="38" t="inlineStr">
        <is>
          <t>Compra, no será posición principal (máx. 5%)</t>
        </is>
      </c>
      <c r="U41" s="38" t="inlineStr">
        <is>
          <t>Alcanzó 26.8 (+91%); retomó en 11.54; nuevo objetivo 2027 Base 24 (44%+5.6%)</t>
        </is>
      </c>
    </row>
    <row r="42">
      <c r="A42" s="37" t="n">
        <v>41</v>
      </c>
      <c r="B42" s="37" t="inlineStr">
        <is>
          <t>PAGS</t>
        </is>
      </c>
      <c r="C42" s="37" t="inlineStr">
        <is>
          <t>PagSeguro</t>
        </is>
      </c>
      <c r="D42" s="37" t="inlineStr">
        <is>
          <t>2022-11-23</t>
        </is>
      </c>
      <c r="E42" s="37" t="inlineStr">
        <is>
          <t>Estándar</t>
        </is>
      </c>
      <c r="F42" s="37" t="inlineStr">
        <is>
          <t>9.75 USD</t>
        </is>
      </c>
      <c r="G42" s="37" t="inlineStr">
        <is>
          <t>P/E</t>
        </is>
      </c>
      <c r="H42" s="37" t="inlineStr">
        <is>
          <t>12x (mín. hist.)</t>
        </is>
      </c>
      <c r="I42" s="37" t="inlineStr">
        <is>
          <t>n/d</t>
        </is>
      </c>
      <c r="J42" s="37" t="inlineStr">
        <is>
          <t>11-12</t>
        </is>
      </c>
      <c r="K42" s="37" t="inlineStr">
        <is>
          <t>9.5-10.5</t>
        </is>
      </c>
      <c r="L42" s="37" t="inlineStr">
        <is>
          <t>8.5-9</t>
        </is>
      </c>
      <c r="M42" s="37" t="n">
        <v>2025</v>
      </c>
      <c r="N42" s="37" t="inlineStr">
        <is>
          <t>15</t>
        </is>
      </c>
      <c r="O42" s="37" t="inlineStr">
        <is>
          <t>19</t>
        </is>
      </c>
      <c r="P42" s="37" t="inlineStr">
        <is>
          <t>24</t>
        </is>
      </c>
      <c r="Q42" s="37" t="inlineStr">
        <is>
          <t>24.9%</t>
        </is>
      </c>
      <c r="R42" s="38" t="inlineStr">
        <is>
          <t>No explícito</t>
        </is>
      </c>
      <c r="S42" s="38" t="inlineStr">
        <is>
          <t>Sin skin in the game; riesgo político Brasil</t>
        </is>
      </c>
      <c r="T42" s="38" t="inlineStr">
        <is>
          <t>Posición principal, alto riesgo</t>
        </is>
      </c>
      <c r="U42" s="38" t="inlineStr">
        <is>
          <t>Cayó a 6.32 (desplome Lula), P/E 5.5x (mín. histórico)</t>
        </is>
      </c>
    </row>
    <row r="43">
      <c r="A43" s="39" t="n">
        <v>42</v>
      </c>
      <c r="B43" s="39" t="inlineStr">
        <is>
          <t>TCEHY/BABA/BIDU</t>
        </is>
      </c>
      <c r="C43" s="39" t="inlineStr">
        <is>
          <t>China (grupo)</t>
        </is>
      </c>
      <c r="D43" s="39" t="inlineStr">
        <is>
          <t>2022-11-04</t>
        </is>
      </c>
      <c r="E43" s="39" t="inlineStr">
        <is>
          <t>Especulativa</t>
        </is>
      </c>
      <c r="F43" s="39" t="inlineStr">
        <is>
          <t>TCEHY~30 / BABA~65-68 / BIDU 75-106</t>
        </is>
      </c>
      <c r="G43" s="39" t="inlineStr">
        <is>
          <t>P/E</t>
        </is>
      </c>
      <c r="H43" s="39" t="inlineStr">
        <is>
          <t>TCEHY 11x / BABA 29x / BIDU 9.45x</t>
        </is>
      </c>
      <c r="I43" s="39" t="inlineStr">
        <is>
          <t>TCEHY 40x / BABA 10x / BIDU 27x</t>
        </is>
      </c>
      <c r="J43" s="39" t="inlineStr">
        <is>
          <t>n/d</t>
        </is>
      </c>
      <c r="K43" s="39" t="inlineStr">
        <is>
          <t>n/d</t>
        </is>
      </c>
      <c r="L43" s="39" t="inlineStr">
        <is>
          <t>n/d</t>
        </is>
      </c>
      <c r="M43" s="39" t="n">
        <v>2026</v>
      </c>
      <c r="N43" s="39" t="inlineStr">
        <is>
          <t>n/d</t>
        </is>
      </c>
      <c r="O43" s="39" t="inlineStr">
        <is>
          <t>TCEHY 450 / BABA 135 / BIDU 180</t>
        </is>
      </c>
      <c r="P43" s="39" t="inlineStr">
        <is>
          <t>n/d</t>
        </is>
      </c>
      <c r="Q43" s="39" t="inlineStr">
        <is>
          <t>18-23%</t>
        </is>
      </c>
      <c r="R43" s="40" t="inlineStr">
        <is>
          <t>Escala/red (Tencent), ecommerce dominante (Alibaba), buscador líder (Baidu)</t>
        </is>
      </c>
      <c r="S43" s="40" t="inlineStr">
        <is>
          <t>Riesgo país extremo; posible deslistado en US; invasión a Taiwán</t>
        </is>
      </c>
      <c r="T43" s="40" t="inlineStr">
        <is>
          <t>Especulativa, 3-5% máx. del portafolio</t>
        </is>
      </c>
      <c r="U43" s="40" t="inlineStr">
        <is>
          <t>Cierres parciales 07-Oct-2025: KWEB +91%, BABA +177%, BIDU +45%</t>
        </is>
      </c>
    </row>
    <row r="44">
      <c r="A44" s="37" t="n">
        <v>43</v>
      </c>
      <c r="B44" s="37" t="inlineStr">
        <is>
          <t>GPN</t>
        </is>
      </c>
      <c r="C44" s="37" t="inlineStr">
        <is>
          <t>Global Payments</t>
        </is>
      </c>
      <c r="D44" s="37" t="inlineStr">
        <is>
          <t>2022-11-03</t>
        </is>
      </c>
      <c r="E44" s="37" t="inlineStr">
        <is>
          <t>Estándar</t>
        </is>
      </c>
      <c r="F44" s="37" t="inlineStr">
        <is>
          <t>94 USD</t>
        </is>
      </c>
      <c r="G44" s="37" t="inlineStr">
        <is>
          <t>P/E</t>
        </is>
      </c>
      <c r="H44" s="37" t="inlineStr">
        <is>
          <t>9.3x (normalizado)</t>
        </is>
      </c>
      <c r="I44" s="37" t="inlineStr">
        <is>
          <t>18.5x</t>
        </is>
      </c>
      <c r="J44" s="37" t="inlineStr">
        <is>
          <t>94-99</t>
        </is>
      </c>
      <c r="K44" s="37" t="inlineStr">
        <is>
          <t>80-85</t>
        </is>
      </c>
      <c r="L44" s="37" t="inlineStr">
        <is>
          <t>70-75</t>
        </is>
      </c>
      <c r="M44" s="37" t="n">
        <v>2025</v>
      </c>
      <c r="N44" s="37" t="inlineStr">
        <is>
          <t>105</t>
        </is>
      </c>
      <c r="O44" s="37" t="inlineStr">
        <is>
          <t>150</t>
        </is>
      </c>
      <c r="P44" s="37" t="inlineStr">
        <is>
          <t>175</t>
        </is>
      </c>
      <c r="Q44" s="37" t="inlineStr">
        <is>
          <t>16.8%</t>
        </is>
      </c>
      <c r="R44" s="38" t="inlineStr">
        <is>
          <t>No explícito (similar a PAGS/STNE, mayor escala)</t>
        </is>
      </c>
      <c r="S44" s="38" t="inlineStr">
        <is>
          <t>Deuda alta (3.1x); incertidumbre sobre sostenibilidad de utilidades</t>
        </is>
      </c>
      <c r="T44" s="38" t="inlineStr">
        <is>
          <t>Compra, posición al 50% del objetivo</t>
        </is>
      </c>
      <c r="U44" s="38" t="inlineStr">
        <is>
          <t>Posición abierta</t>
        </is>
      </c>
    </row>
    <row r="45">
      <c r="A45" s="39" t="n">
        <v>44</v>
      </c>
      <c r="B45" s="39" t="inlineStr">
        <is>
          <t>TLT</t>
        </is>
      </c>
      <c r="C45" s="39" t="inlineStr">
        <is>
          <t>ETF renta fija (bonos US)</t>
        </is>
      </c>
      <c r="D45" s="39" t="inlineStr">
        <is>
          <t>~2022-11</t>
        </is>
      </c>
      <c r="E45" s="39" t="inlineStr">
        <is>
          <t>Especulativa</t>
        </is>
      </c>
      <c r="F45" s="39" t="inlineStr">
        <is>
          <t>92 USD</t>
        </is>
      </c>
      <c r="G45" s="39" t="inlineStr">
        <is>
          <t>n/a (basado en tasas FED)</t>
        </is>
      </c>
      <c r="H45" s="39" t="inlineStr">
        <is>
          <t>n/a</t>
        </is>
      </c>
      <c r="I45" s="39" t="inlineStr">
        <is>
          <t>n/a</t>
        </is>
      </c>
      <c r="J45" s="39" t="inlineStr">
        <is>
          <t>n/d</t>
        </is>
      </c>
      <c r="K45" s="39" t="inlineStr">
        <is>
          <t>n/d</t>
        </is>
      </c>
      <c r="L45" s="39" t="inlineStr">
        <is>
          <t>n/d</t>
        </is>
      </c>
      <c r="M45" s="39" t="inlineStr">
        <is>
          <t>-</t>
        </is>
      </c>
      <c r="N45" s="39" t="inlineStr">
        <is>
          <t>80</t>
        </is>
      </c>
      <c r="O45" s="39" t="inlineStr">
        <is>
          <t>-</t>
        </is>
      </c>
      <c r="P45" s="39" t="inlineStr">
        <is>
          <t>-</t>
        </is>
      </c>
      <c r="Q45" s="39" t="inlineStr">
        <is>
          <t>-</t>
        </is>
      </c>
      <c r="R45" s="40" t="inlineStr">
        <is>
          <t>No aplica (ETF de bonos, no equity)</t>
        </is>
      </c>
      <c r="S45" s="40" t="inlineStr">
        <is>
          <t>Dirección de tasas de la FED</t>
        </is>
      </c>
      <c r="T45" s="40" t="inlineStr">
        <is>
          <t>Compra acumulada, entradas escalonadas</t>
        </is>
      </c>
      <c r="U45" s="40" t="inlineStr">
        <is>
          <t>Posición abierta</t>
        </is>
      </c>
    </row>
    <row r="46">
      <c r="A46" s="37" t="n">
        <v>45</v>
      </c>
      <c r="B46" s="37" t="inlineStr">
        <is>
          <t>TSM</t>
        </is>
      </c>
      <c r="C46" s="37" t="inlineStr">
        <is>
          <t>Taiwan Semiconductor</t>
        </is>
      </c>
      <c r="D46" s="37" t="inlineStr">
        <is>
          <t>2022-10-12</t>
        </is>
      </c>
      <c r="E46" s="37" t="inlineStr">
        <is>
          <t>Estándar</t>
        </is>
      </c>
      <c r="F46" s="37" t="inlineStr">
        <is>
          <t>63 USD</t>
        </is>
      </c>
      <c r="G46" s="37" t="inlineStr">
        <is>
          <t>P/E</t>
        </is>
      </c>
      <c r="H46" s="37" t="inlineStr">
        <is>
          <t>11x (proy.)</t>
        </is>
      </c>
      <c r="I46" s="37" t="inlineStr">
        <is>
          <t>17x</t>
        </is>
      </c>
      <c r="J46" s="37" t="inlineStr">
        <is>
          <t>60-64</t>
        </is>
      </c>
      <c r="K46" s="37" t="inlineStr">
        <is>
          <t>50-53</t>
        </is>
      </c>
      <c r="L46" s="37" t="inlineStr">
        <is>
          <t>46</t>
        </is>
      </c>
      <c r="M46" s="37" t="n">
        <v>2025</v>
      </c>
      <c r="N46" s="37" t="inlineStr">
        <is>
          <t>95</t>
        </is>
      </c>
      <c r="O46" s="37" t="inlineStr">
        <is>
          <t>115</t>
        </is>
      </c>
      <c r="P46" s="37" t="inlineStr">
        <is>
          <t>140</t>
        </is>
      </c>
      <c r="Q46" s="37" t="inlineStr">
        <is>
          <t>22%</t>
        </is>
      </c>
      <c r="R46" s="38" t="inlineStr">
        <is>
          <t>Costo de reemplazo altísimo de fabs, escala</t>
        </is>
      </c>
      <c r="S46" s="38" t="inlineStr">
        <is>
          <t>Conflicto China-Taiwán; restricciones de exportación de EE.UU.</t>
        </is>
      </c>
      <c r="T46" s="38" t="inlineStr">
        <is>
          <t>Compra 30% inicial</t>
        </is>
      </c>
      <c r="U46" s="38" t="inlineStr">
        <is>
          <t>Alcanzó 182.5 (+194%), cierre 60% total 03-Jul-2024</t>
        </is>
      </c>
    </row>
    <row r="47">
      <c r="A47" s="37" t="n">
        <v>46</v>
      </c>
      <c r="B47" s="37" t="inlineStr">
        <is>
          <t>NAGARRO</t>
        </is>
      </c>
      <c r="C47" s="37" t="inlineStr">
        <is>
          <t>Nagarro</t>
        </is>
      </c>
      <c r="D47" s="37" t="inlineStr">
        <is>
          <t>2022-09-26</t>
        </is>
      </c>
      <c r="E47" s="37" t="inlineStr">
        <is>
          <t>Estándar</t>
        </is>
      </c>
      <c r="F47" s="37" t="inlineStr">
        <is>
          <t>91 EUR</t>
        </is>
      </c>
      <c r="G47" s="37" t="inlineStr">
        <is>
          <t>P/E</t>
        </is>
      </c>
      <c r="H47" s="37" t="inlineStr">
        <is>
          <t>21x (mín. hist.)</t>
        </is>
      </c>
      <c r="I47" s="37" t="inlineStr">
        <is>
          <t>47x</t>
        </is>
      </c>
      <c r="J47" s="37" t="inlineStr">
        <is>
          <t>90-100</t>
        </is>
      </c>
      <c r="K47" s="37" t="inlineStr">
        <is>
          <t>80-90</t>
        </is>
      </c>
      <c r="L47" s="37" t="inlineStr">
        <is>
          <t>75-80</t>
        </is>
      </c>
      <c r="M47" s="37" t="n">
        <v>2025</v>
      </c>
      <c r="N47" s="37" t="inlineStr">
        <is>
          <t>135</t>
        </is>
      </c>
      <c r="O47" s="37" t="inlineStr">
        <is>
          <t>165</t>
        </is>
      </c>
      <c r="P47" s="37" t="inlineStr">
        <is>
          <t>190</t>
        </is>
      </c>
      <c r="Q47" s="37" t="inlineStr">
        <is>
          <t>22%</t>
        </is>
      </c>
      <c r="R47" s="38" t="inlineStr">
        <is>
          <t>No explícito (similar a EPAM)</t>
        </is>
      </c>
      <c r="S47" s="38" t="inlineStr">
        <is>
          <t>Small cap volátil; recesión global; contratación de IT difícil</t>
        </is>
      </c>
      <c r="T47" s="38" t="inlineStr">
        <is>
          <t>Compra fuerte, reemplazo de IRBT en Favoritas</t>
        </is>
      </c>
      <c r="U47" s="38" t="inlineStr">
        <is>
          <t>Posición abierta</t>
        </is>
      </c>
    </row>
    <row r="48">
      <c r="A48" s="37" t="n">
        <v>47</v>
      </c>
      <c r="B48" s="37" t="inlineStr">
        <is>
          <t>QRVO</t>
        </is>
      </c>
      <c r="C48" s="37" t="inlineStr">
        <is>
          <t>Qorvo</t>
        </is>
      </c>
      <c r="D48" s="37" t="inlineStr">
        <is>
          <t>2022-09-01</t>
        </is>
      </c>
      <c r="E48" s="37" t="inlineStr">
        <is>
          <t>Estándar</t>
        </is>
      </c>
      <c r="F48" s="37" t="inlineStr">
        <is>
          <t>90 USD</t>
        </is>
      </c>
      <c r="G48" s="37" t="inlineStr">
        <is>
          <t>P/E</t>
        </is>
      </c>
      <c r="H48" s="37" t="inlineStr">
        <is>
          <t>11x</t>
        </is>
      </c>
      <c r="I48" s="37" t="inlineStr">
        <is>
          <t>n/d</t>
        </is>
      </c>
      <c r="J48" s="37" t="inlineStr">
        <is>
          <t>90-92</t>
        </is>
      </c>
      <c r="K48" s="37" t="inlineStr">
        <is>
          <t>80-85</t>
        </is>
      </c>
      <c r="L48" s="37" t="inlineStr">
        <is>
          <t>72-75</t>
        </is>
      </c>
      <c r="M48" s="37" t="n">
        <v>2025</v>
      </c>
      <c r="N48" s="37" t="inlineStr">
        <is>
          <t>135</t>
        </is>
      </c>
      <c r="O48" s="37" t="inlineStr">
        <is>
          <t>n/d</t>
        </is>
      </c>
      <c r="P48" s="37" t="inlineStr">
        <is>
          <t>160</t>
        </is>
      </c>
      <c r="Q48" s="37" t="inlineStr">
        <is>
          <t>0.8%</t>
        </is>
      </c>
      <c r="R48" s="38" t="inlineStr">
        <is>
          <t>No explícito</t>
        </is>
      </c>
      <c r="S48" s="38" t="inlineStr">
        <is>
          <t>Concentración Apple (33%)/Samsung (11%); exposición a China</t>
        </is>
      </c>
      <c r="T48" s="38" t="inlineStr">
        <is>
          <t>Compra escalonada pequeña</t>
        </is>
      </c>
      <c r="U48" s="38" t="inlineStr">
        <is>
          <t>Subió a 129 (+54%), cierre 30%; nuevo objetivo 2027 Base 132 (0.8%)</t>
        </is>
      </c>
    </row>
    <row r="49">
      <c r="A49" s="37" t="n">
        <v>48</v>
      </c>
      <c r="B49" s="37" t="inlineStr">
        <is>
          <t>NKE</t>
        </is>
      </c>
      <c r="C49" s="37" t="inlineStr">
        <is>
          <t>Nike</t>
        </is>
      </c>
      <c r="D49" s="37" t="inlineStr">
        <is>
          <t>2022-07-13</t>
        </is>
      </c>
      <c r="E49" s="37" t="inlineStr">
        <is>
          <t>Estándar</t>
        </is>
      </c>
      <c r="F49" s="37" t="inlineStr">
        <is>
          <t>103 USD</t>
        </is>
      </c>
      <c r="G49" s="37" t="inlineStr">
        <is>
          <t>P/E</t>
        </is>
      </c>
      <c r="H49" s="37" t="inlineStr">
        <is>
          <t>27x</t>
        </is>
      </c>
      <c r="I49" s="37" t="inlineStr">
        <is>
          <t>29x</t>
        </is>
      </c>
      <c r="J49" s="37" t="inlineStr">
        <is>
          <t>80-90</t>
        </is>
      </c>
      <c r="K49" s="37" t="inlineStr">
        <is>
          <t>70</t>
        </is>
      </c>
      <c r="L49" s="37" t="inlineStr">
        <is>
          <t>60</t>
        </is>
      </c>
      <c r="M49" s="37" t="inlineStr">
        <is>
          <t>-</t>
        </is>
      </c>
      <c r="N49" s="37" t="inlineStr">
        <is>
          <t>n/d</t>
        </is>
      </c>
      <c r="O49" s="37" t="inlineStr">
        <is>
          <t>n/d</t>
        </is>
      </c>
      <c r="P49" s="37" t="inlineStr">
        <is>
          <t>n/d</t>
        </is>
      </c>
      <c r="Q49" s="37" t="inlineStr">
        <is>
          <t>n/d</t>
        </is>
      </c>
      <c r="R49" s="38" t="inlineStr">
        <is>
          <t>Marca aspiracional, escala (el mayor moat del sector)</t>
        </is>
      </c>
      <c r="S49" s="38" t="inlineStr">
        <is>
          <t>Competencia de HOKA/ON; ciclos de moda</t>
        </is>
      </c>
      <c r="T49" s="38" t="inlineStr">
        <is>
          <t>Entrada pequeña, apuesta técnica más que fundamental</t>
        </is>
      </c>
      <c r="U49" s="38" t="inlineStr">
        <is>
          <t>Se desplomó a 75 (-20%, 28-Jun-2024); P/E 20x, mejor valoración desde 2012</t>
        </is>
      </c>
    </row>
    <row r="50">
      <c r="A50" s="39" t="n">
        <v>49</v>
      </c>
      <c r="B50" s="39" t="inlineStr">
        <is>
          <t>NU</t>
        </is>
      </c>
      <c r="C50" s="39" t="inlineStr">
        <is>
          <t>Nubank</t>
        </is>
      </c>
      <c r="D50" s="39" t="inlineStr">
        <is>
          <t>2022-05-25</t>
        </is>
      </c>
      <c r="E50" s="39" t="inlineStr">
        <is>
          <t>Especulativa</t>
        </is>
      </c>
      <c r="F50" s="39" t="inlineStr">
        <is>
          <t>3.4 USD</t>
        </is>
      </c>
      <c r="G50" s="39" t="inlineStr">
        <is>
          <t>P/S</t>
        </is>
      </c>
      <c r="H50" s="39" t="inlineStr">
        <is>
          <t>4.4x ingresos</t>
        </is>
      </c>
      <c r="I50" s="39" t="inlineStr">
        <is>
          <t>n/c (IPO 33x ingresos)</t>
        </is>
      </c>
      <c r="J50" s="39" t="inlineStr">
        <is>
          <t>3.5-3.6</t>
        </is>
      </c>
      <c r="K50" s="39" t="inlineStr">
        <is>
          <t>3-3.2</t>
        </is>
      </c>
      <c r="L50" s="39" t="inlineStr">
        <is>
          <t>2.5-2.6</t>
        </is>
      </c>
      <c r="M50" s="39" t="inlineStr">
        <is>
          <t>-</t>
        </is>
      </c>
      <c r="N50" s="39" t="inlineStr">
        <is>
          <t>n/d</t>
        </is>
      </c>
      <c r="O50" s="39" t="inlineStr">
        <is>
          <t>n/d</t>
        </is>
      </c>
      <c r="P50" s="39" t="inlineStr">
        <is>
          <t>n/d</t>
        </is>
      </c>
      <c r="Q50" s="39" t="inlineStr">
        <is>
          <t>n/d</t>
        </is>
      </c>
      <c r="R50" s="40" t="inlineStr">
        <is>
          <t>No explícito</t>
        </is>
      </c>
      <c r="S50" s="40" t="inlineStr">
        <is>
          <t>Sensibilidad a tasas de interés; riesgo Brasil</t>
        </is>
      </c>
      <c r="T50" s="40" t="inlineStr">
        <is>
          <t>Compra, acumulando</t>
        </is>
      </c>
      <c r="U50" s="40" t="inlineStr">
        <is>
          <t>Alcanzó 12.05 (+258%), cierre 60% total 05-Abr-2024</t>
        </is>
      </c>
    </row>
    <row r="51">
      <c r="A51" s="39" t="n">
        <v>50</v>
      </c>
      <c r="B51" s="39" t="inlineStr">
        <is>
          <t>MELI</t>
        </is>
      </c>
      <c r="C51" s="39" t="inlineStr">
        <is>
          <t>Mercado Libre</t>
        </is>
      </c>
      <c r="D51" s="39" t="inlineStr">
        <is>
          <t>2022-05-18</t>
        </is>
      </c>
      <c r="E51" s="39" t="inlineStr">
        <is>
          <t>Especulativa</t>
        </is>
      </c>
      <c r="F51" s="39" t="inlineStr">
        <is>
          <t>750 USD</t>
        </is>
      </c>
      <c r="G51" s="39" t="inlineStr">
        <is>
          <t>P/S</t>
        </is>
      </c>
      <c r="H51" s="39" t="inlineStr">
        <is>
          <t>mín. desde 2008-09</t>
        </is>
      </c>
      <c r="I51" s="39" t="inlineStr">
        <is>
          <t>n/d</t>
        </is>
      </c>
      <c r="J51" s="39" t="inlineStr">
        <is>
          <t>730-780</t>
        </is>
      </c>
      <c r="K51" s="39" t="inlineStr">
        <is>
          <t>550-600</t>
        </is>
      </c>
      <c r="L51" s="39" t="inlineStr">
        <is>
          <t>450-500</t>
        </is>
      </c>
      <c r="M51" s="39" t="inlineStr">
        <is>
          <t>-</t>
        </is>
      </c>
      <c r="N51" s="39" t="inlineStr">
        <is>
          <t>n/d</t>
        </is>
      </c>
      <c r="O51" s="39" t="inlineStr">
        <is>
          <t>n/d</t>
        </is>
      </c>
      <c r="P51" s="39" t="inlineStr">
        <is>
          <t>n/d</t>
        </is>
      </c>
      <c r="Q51" s="39" t="inlineStr">
        <is>
          <t>n/d</t>
        </is>
      </c>
      <c r="R51" s="40" t="inlineStr">
        <is>
          <t>Líder ecommerce en Latinoamérica</t>
        </is>
      </c>
      <c r="S51" s="40" t="inlineStr">
        <is>
          <t>Sin utilidades/FCF significativo (todo a crecimiento)</t>
        </is>
      </c>
      <c r="T51" s="40" t="inlineStr">
        <is>
          <t>Compra pequeña inicial</t>
        </is>
      </c>
      <c r="U51" s="40" t="inlineStr">
        <is>
          <t>Alcanzó 1800 (+160%), cierre 75% total 26-Ene-2024</t>
        </is>
      </c>
    </row>
    <row r="52">
      <c r="A52" s="37" t="n">
        <v>51</v>
      </c>
      <c r="B52" s="37" t="inlineStr">
        <is>
          <t>DIS</t>
        </is>
      </c>
      <c r="C52" s="37" t="inlineStr">
        <is>
          <t>Disney</t>
        </is>
      </c>
      <c r="D52" s="37" t="inlineStr">
        <is>
          <t>2022-05-10</t>
        </is>
      </c>
      <c r="E52" s="37" t="inlineStr">
        <is>
          <t>Estándar</t>
        </is>
      </c>
      <c r="F52" s="37" t="inlineStr">
        <is>
          <t>115 USD</t>
        </is>
      </c>
      <c r="G52" s="37" t="inlineStr">
        <is>
          <t>P/S</t>
        </is>
      </c>
      <c r="H52" s="37" t="inlineStr">
        <is>
          <t>2.67x</t>
        </is>
      </c>
      <c r="I52" s="37" t="inlineStr">
        <is>
          <t>2.67x (= promedio)</t>
        </is>
      </c>
      <c r="J52" s="37" t="inlineStr">
        <is>
          <t>105-110</t>
        </is>
      </c>
      <c r="K52" s="37" t="inlineStr">
        <is>
          <t>80-85</t>
        </is>
      </c>
      <c r="L52" s="37" t="inlineStr">
        <is>
          <t>65-75</t>
        </is>
      </c>
      <c r="M52" s="37" t="n">
        <v>2025</v>
      </c>
      <c r="N52" s="37" t="inlineStr">
        <is>
          <t>n/d</t>
        </is>
      </c>
      <c r="O52" s="37" t="inlineStr">
        <is>
          <t>n/d</t>
        </is>
      </c>
      <c r="P52" s="37" t="inlineStr">
        <is>
          <t>n/d</t>
        </is>
      </c>
      <c r="Q52" s="37" t="inlineStr">
        <is>
          <t>n/d</t>
        </is>
      </c>
      <c r="R52" s="38" t="inlineStr">
        <is>
          <t>No explícito</t>
        </is>
      </c>
      <c r="S52" s="38" t="inlineStr">
        <is>
          <t>Rentabilidad de streaming/ESPN no resuelta</t>
        </is>
      </c>
      <c r="T52" s="38" t="inlineStr">
        <is>
          <t>Posición pequeña, sentimientos encontrados</t>
        </is>
      </c>
      <c r="U52" s="38" t="inlineStr">
        <is>
          <t>Cayó a 88.9 (Deep Value); nuevo objetivo 2026 Base 135 (15%)</t>
        </is>
      </c>
    </row>
    <row r="53">
      <c r="A53" s="37" t="n">
        <v>52</v>
      </c>
      <c r="B53" s="37" t="inlineStr">
        <is>
          <t>GOOG</t>
        </is>
      </c>
      <c r="C53" s="37" t="inlineStr">
        <is>
          <t>Alphabet</t>
        </is>
      </c>
      <c r="D53" s="37" t="inlineStr">
        <is>
          <t>2022</t>
        </is>
      </c>
      <c r="E53" s="37" t="inlineStr">
        <is>
          <t>Estándar</t>
        </is>
      </c>
      <c r="F53" s="37" t="inlineStr">
        <is>
          <t>2280 USD (pre-split)</t>
        </is>
      </c>
      <c r="G53" s="37" t="inlineStr">
        <is>
          <t>P/E</t>
        </is>
      </c>
      <c r="H53" s="37" t="inlineStr">
        <is>
          <t>21.5x</t>
        </is>
      </c>
      <c r="I53" s="37" t="inlineStr">
        <is>
          <t>32x</t>
        </is>
      </c>
      <c r="J53" s="37" t="inlineStr">
        <is>
          <t>100-105</t>
        </is>
      </c>
      <c r="K53" s="37" t="inlineStr">
        <is>
          <t>87.5-92.5</t>
        </is>
      </c>
      <c r="L53" s="37" t="inlineStr">
        <is>
          <t>75-80</t>
        </is>
      </c>
      <c r="M53" s="37" t="n">
        <v>2025</v>
      </c>
      <c r="N53" s="37" t="inlineStr">
        <is>
          <t>120</t>
        </is>
      </c>
      <c r="O53" s="37" t="inlineStr">
        <is>
          <t>140</t>
        </is>
      </c>
      <c r="P53" s="37" t="inlineStr">
        <is>
          <t>165</t>
        </is>
      </c>
      <c r="Q53" s="37" t="inlineStr">
        <is>
          <t>15.4%</t>
        </is>
      </c>
      <c r="R53" s="38" t="inlineStr">
        <is>
          <t>No explícito</t>
        </is>
      </c>
      <c r="S53" s="38" t="inlineStr">
        <is>
          <t>No explícito</t>
        </is>
      </c>
      <c r="T53" s="38" t="inlineStr">
        <is>
          <t>Compra, una de mis posiciones TOP</t>
        </is>
      </c>
      <c r="U53" s="38" t="inlineStr">
        <is>
          <t>Alcanzó 297-300 (+240% con div), cierre 80% total 19-Nov-2025</t>
        </is>
      </c>
    </row>
    <row r="54">
      <c r="A54" s="37" t="n">
        <v>53</v>
      </c>
      <c r="B54" s="37" t="inlineStr">
        <is>
          <t>SHAK</t>
        </is>
      </c>
      <c r="C54" s="37" t="inlineStr">
        <is>
          <t>Shake Shack</t>
        </is>
      </c>
      <c r="D54" s="37" t="inlineStr">
        <is>
          <t>'Oportunidad Tech'</t>
        </is>
      </c>
      <c r="E54" s="37" t="inlineStr">
        <is>
          <t>Estándar</t>
        </is>
      </c>
      <c r="F54" s="37" t="inlineStr">
        <is>
          <t>n/d (llegó a 55, Deep Value)</t>
        </is>
      </c>
      <c r="G54" s="37" t="inlineStr">
        <is>
          <t>n/d</t>
        </is>
      </c>
      <c r="H54" s="37" t="inlineStr">
        <is>
          <t>n/d</t>
        </is>
      </c>
      <c r="I54" s="37" t="inlineStr">
        <is>
          <t>n/d</t>
        </is>
      </c>
      <c r="J54" s="37" t="inlineStr">
        <is>
          <t>n/d</t>
        </is>
      </c>
      <c r="K54" s="37" t="inlineStr">
        <is>
          <t>n/d</t>
        </is>
      </c>
      <c r="L54" s="37" t="inlineStr">
        <is>
          <t>n/d</t>
        </is>
      </c>
      <c r="M54" s="37" t="n">
        <v>2028</v>
      </c>
      <c r="N54" s="37" t="inlineStr">
        <is>
          <t>110</t>
        </is>
      </c>
      <c r="O54" s="37" t="inlineStr">
        <is>
          <t>130</t>
        </is>
      </c>
      <c r="P54" s="37" t="inlineStr">
        <is>
          <t>150</t>
        </is>
      </c>
      <c r="Q54" s="37" t="inlineStr">
        <is>
          <t>-2.2%</t>
        </is>
      </c>
      <c r="R54" s="38" t="inlineStr">
        <is>
          <t>No explícito</t>
        </is>
      </c>
      <c r="S54" s="38" t="inlineStr">
        <is>
          <t>No explícito</t>
        </is>
      </c>
      <c r="T54" s="38" t="inlineStr">
        <is>
          <t>Favorito personal, mantenido a largo plazo</t>
        </is>
      </c>
      <c r="U54" s="38" t="inlineStr">
        <is>
          <t>Cierre 50% en 139 (+208% desde mín. 37), cayó a 88.5 (-36%) 10-Mar-2025</t>
        </is>
      </c>
    </row>
    <row r="55">
      <c r="A55" s="37" t="n">
        <v>54</v>
      </c>
      <c r="B55" s="37" t="inlineStr">
        <is>
          <t>PYPL</t>
        </is>
      </c>
      <c r="C55" s="37" t="inlineStr">
        <is>
          <t>PayPal</t>
        </is>
      </c>
      <c r="D55" s="37" t="inlineStr">
        <is>
          <t>'Oportunidad Tech'</t>
        </is>
      </c>
      <c r="E55" s="37" t="inlineStr">
        <is>
          <t>Estándar</t>
        </is>
      </c>
      <c r="F55" s="37" t="inlineStr">
        <is>
          <t>84 (orig.) / 42 (últ. act.)</t>
        </is>
      </c>
      <c r="G55" s="37" t="inlineStr">
        <is>
          <t>P/E</t>
        </is>
      </c>
      <c r="H55" s="37" t="inlineStr">
        <is>
          <t>8x (2026)</t>
        </is>
      </c>
      <c r="I55" s="37" t="inlineStr">
        <is>
          <t>32x</t>
        </is>
      </c>
      <c r="J55" s="37" t="inlineStr">
        <is>
          <t>80-90</t>
        </is>
      </c>
      <c r="K55" s="37" t="inlineStr">
        <is>
          <t>70-80</t>
        </is>
      </c>
      <c r="L55" s="37" t="inlineStr">
        <is>
          <t>60-70</t>
        </is>
      </c>
      <c r="M55" s="37" t="n">
        <v>2028</v>
      </c>
      <c r="N55" s="37" t="inlineStr">
        <is>
          <t>55</t>
        </is>
      </c>
      <c r="O55" s="37" t="inlineStr">
        <is>
          <t>75</t>
        </is>
      </c>
      <c r="P55" s="37" t="inlineStr">
        <is>
          <t>90</t>
        </is>
      </c>
      <c r="Q55" s="37" t="inlineStr">
        <is>
          <t>21%</t>
        </is>
      </c>
      <c r="R55" s="38" t="inlineStr">
        <is>
          <t>Pagos digitales, líder histórico</t>
        </is>
      </c>
      <c r="S55" s="38" t="inlineStr">
        <is>
          <t>Competencia Apple Pay/Amazon; nuevo CEO enfocado en costos</t>
        </is>
      </c>
      <c r="T55" s="38" t="inlineStr">
        <is>
          <t>Compra fuerte en 40-42</t>
        </is>
      </c>
      <c r="U55" s="38" t="inlineStr">
        <is>
          <t>Posición abierta</t>
        </is>
      </c>
    </row>
    <row r="56">
      <c r="A56" s="37" t="n">
        <v>55</v>
      </c>
      <c r="B56" s="37" t="inlineStr">
        <is>
          <t>AMZN</t>
        </is>
      </c>
      <c r="C56" s="37" t="inlineStr">
        <is>
          <t>Amazon</t>
        </is>
      </c>
      <c r="D56" s="37" t="inlineStr">
        <is>
          <t>'Oportunidad Tech'</t>
        </is>
      </c>
      <c r="E56" s="37" t="inlineStr">
        <is>
          <t>Estándar</t>
        </is>
      </c>
      <c r="F56" s="37" t="inlineStr">
        <is>
          <t>90 USD</t>
        </is>
      </c>
      <c r="G56" s="37" t="inlineStr">
        <is>
          <t>P/S</t>
        </is>
      </c>
      <c r="H56" s="37" t="inlineStr">
        <is>
          <t>1.8x</t>
        </is>
      </c>
      <c r="I56" s="37" t="inlineStr">
        <is>
          <t>2.7x</t>
        </is>
      </c>
      <c r="J56" s="37" t="inlineStr">
        <is>
          <t>100</t>
        </is>
      </c>
      <c r="K56" s="37" t="inlineStr">
        <is>
          <t>87-92</t>
        </is>
      </c>
      <c r="L56" s="37" t="inlineStr">
        <is>
          <t>76-80</t>
        </is>
      </c>
      <c r="M56" s="37" t="n">
        <v>2025</v>
      </c>
      <c r="N56" s="37" t="inlineStr">
        <is>
          <t>115</t>
        </is>
      </c>
      <c r="O56" s="37" t="inlineStr">
        <is>
          <t>140</t>
        </is>
      </c>
      <c r="P56" s="37" t="inlineStr">
        <is>
          <t>160</t>
        </is>
      </c>
      <c r="Q56" s="37" t="inlineStr">
        <is>
          <t>15.8%</t>
        </is>
      </c>
      <c r="R56" s="38" t="inlineStr">
        <is>
          <t>No explícito</t>
        </is>
      </c>
      <c r="S56" s="38" t="inlineStr">
        <is>
          <t>No explícito (autor nunca antes la había recomendado)</t>
        </is>
      </c>
      <c r="T56" s="38" t="inlineStr">
        <is>
          <t>Compra</t>
        </is>
      </c>
      <c r="U56" s="38" t="inlineStr">
        <is>
          <t>Alcanzó 197.6 (+114%), cierre 70% total 03-Jul-2024</t>
        </is>
      </c>
    </row>
  </sheetData>
  <autoFilter ref="A1:U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2026-08-28T19:37:36Z</dcterms:created>
  <dcterms:modified xsi:type="dcterms:W3CDTF">2026-08-28T20:11:05Z</dcterms:modified>
</cp:coreProperties>
</file>