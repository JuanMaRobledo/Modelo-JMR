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ntación" sheetId="1" r:id="rId5"/>
    <sheet state="visible" name="Resumen de Valoración" sheetId="2" r:id="rId6"/>
    <sheet state="visible" name="Tesis de Inversión y Supuestos" sheetId="3" r:id="rId7"/>
    <sheet state="visible" name="EVFCFF" sheetId="4" r:id="rId8"/>
    <sheet state="visible" name="POCF" sheetId="5" r:id="rId9"/>
    <sheet state="visible" name="PE" sheetId="6" r:id="rId10"/>
    <sheet state="visible" name="PFCFE" sheetId="7" r:id="rId11"/>
    <sheet state="visible" name="EVEBITDA" sheetId="8" r:id="rId12"/>
    <sheet state="visible" name="Financials Multiples" sheetId="9" r:id="rId13"/>
    <sheet state="visible" name="Input sheet" sheetId="10" r:id="rId14"/>
    <sheet state="visible" name="Valuation output" sheetId="11" r:id="rId15"/>
    <sheet state="visible" name="Cualitativo" sheetId="12" r:id="rId16"/>
    <sheet state="visible" name="Estadísticas" sheetId="13" r:id="rId17"/>
    <sheet state="visible" name="Income Statement" sheetId="14" r:id="rId18"/>
    <sheet state="visible" name="Balance Sheet" sheetId="15" r:id="rId19"/>
    <sheet state="visible" name="Cash Flow Statement" sheetId="16" r:id="rId20"/>
    <sheet state="visible" name="Trailing Valuation" sheetId="17" r:id="rId21"/>
    <sheet state="visible" name="Forward Valuation" sheetId="18" r:id="rId22"/>
    <sheet state="visible" name="Dividendos" sheetId="19" r:id="rId23"/>
    <sheet state="visible" name="Márgenes" sheetId="20" r:id="rId24"/>
    <sheet state="visible" name="Eficiencia de capital" sheetId="21" r:id="rId25"/>
    <sheet state="visible" name="Salud Financiera" sheetId="22" r:id="rId26"/>
    <sheet state="visible" name="Por acción" sheetId="23" r:id="rId27"/>
    <sheet state="hidden" name="Read this disclaimer" sheetId="24" r:id="rId28"/>
    <sheet state="hidden" name="!Copy the sheet to the left.." sheetId="25" r:id="rId29"/>
    <sheet state="hidden" name="Stories to Numbers" sheetId="26" r:id="rId30"/>
    <sheet state="hidden" name="Valuation as picture" sheetId="27" r:id="rId31"/>
    <sheet state="visible" name="Diagnostics" sheetId="28" r:id="rId32"/>
    <sheet state="hidden" name="Option value" sheetId="29" r:id="rId33"/>
    <sheet state="hidden" name="Synthetic rating" sheetId="30" r:id="rId34"/>
    <sheet state="visible" name="R&amp; D converter" sheetId="31" r:id="rId35"/>
    <sheet state="hidden" name="Operating lease converter" sheetId="32" r:id="rId36"/>
    <sheet state="visible" name="Cost of capital worksheet" sheetId="33" r:id="rId37"/>
    <sheet state="visible" name="Sector" sheetId="34" r:id="rId38"/>
    <sheet state="hidden" name="Failure Rate worksheet" sheetId="35" r:id="rId39"/>
    <sheet state="hidden" name="Country equity risk premiums" sheetId="36" r:id="rId40"/>
    <sheet state="hidden" name="Industry Averages(US)" sheetId="37" r:id="rId41"/>
    <sheet state="hidden" name="Industry Averages (Global)" sheetId="38" r:id="rId42"/>
    <sheet state="hidden" name="Input Stat Distributioons" sheetId="39" r:id="rId43"/>
    <sheet state="hidden" name="Trailing 12 month Worskheet" sheetId="40" r:id="rId44"/>
    <sheet state="hidden" name="Answer keys" sheetId="41" r:id="rId45"/>
    <sheet state="visible" name="Crecimiento y Márgenes" sheetId="42" r:id="rId46"/>
    <sheet state="visible" name="Supuestos Recomendados" sheetId="43" r:id="rId47"/>
    <sheet state="visible" name="Supuestos de los Múltiplos" sheetId="44" r:id="rId48"/>
  </sheets>
  <definedNames/>
  <calcPr/>
</workbook>
</file>

<file path=xl/sharedStrings.xml><?xml version="1.0" encoding="utf-8"?>
<sst xmlns="http://schemas.openxmlformats.org/spreadsheetml/2006/main" count="2987" uniqueCount="1555">
  <si>
    <t>[TICKER] ([Nombre completo de la empresa]) — Tesis de Inversión: De la Historia a los Números</t>
  </si>
  <si>
    <t>Metodología Damodaran (NYU Stern) | Precio al día del análisis: [$XX,XX] ([mes-año]) | WACC: [X,XX%]</t>
  </si>
  <si>
    <t>1. LA HISTORIA</t>
  </si>
  <si>
    <t>[Un párrafo con la tensión central de la tesis: qué mejora/deterioro ya está demostrado en los datos reales (últimos trimestres/años) vs. cuál es la apuesta o el riesgo hacia adelante. Específico a esta empresa — no genérico.]</t>
  </si>
  <si>
    <t>Caso alcista (Bull)</t>
  </si>
  <si>
    <t>Caso bajista (Bear)</t>
  </si>
  <si>
    <t>[Argumento alcista #1, con un dato real citado — cifra y período.]</t>
  </si>
  <si>
    <t>[Argumento bajista #1, con un dato real citado — cifra y período.]</t>
  </si>
  <si>
    <t>[Argumento alcista #2, con dato real.]</t>
  </si>
  <si>
    <t>[Argumento bajista #2, con dato real.]</t>
  </si>
  <si>
    <t>[Argumento alcista #3, con dato real.]</t>
  </si>
  <si>
    <t>[Argumento bajista #3, con dato real.]</t>
  </si>
  <si>
    <t>[Argumento alcista #4, con dato real.]</t>
  </si>
  <si>
    <t>[Argumento bajista #4, con dato real.]</t>
  </si>
  <si>
    <t>2. DE LA HISTORIA A LOS NÚMEROS — LOS TRES ESCENARIOS</t>
  </si>
  <si>
    <t>Supuesto</t>
  </si>
  <si>
    <t>Conservador</t>
  </si>
  <si>
    <t>Base</t>
  </si>
  <si>
    <t>Optimista</t>
  </si>
  <si>
    <t>Justificación (dato real)</t>
  </si>
  <si>
    <t>Crecimiento Ingresos — Año 1</t>
  </si>
  <si>
    <t>[X%]</t>
  </si>
  <si>
    <t>[Ancla cada valor a un dato real: crecimiento reciente reportado, guía de la empresa, o tesis de riesgo/upside concreta — no un número arbitrario.]</t>
  </si>
  <si>
    <t>Crecimiento Ingresos — Años 2-5</t>
  </si>
  <si>
    <t>[Justificación.]</t>
  </si>
  <si>
    <t>Margen Operativo — Año 1</t>
  </si>
  <si>
    <t>[Debe compararse contra el nivel actual AJUSTADO de 'Valuation output'!B6 (con R&amp;D capitalizado si aplica), no el margen GAAP crudo.]</t>
  </si>
  <si>
    <t>Margen Objetivo (convergencia)</t>
  </si>
  <si>
    <t>[Ancla en comparables de negocio maduro del mismo tipo de modelo, no en el promedio de una industria genérica que puede estar distorsionado.]</t>
  </si>
  <si>
    <t>Años de convergencia de margen</t>
  </si>
  <si>
    <t>[N]</t>
  </si>
  <si>
    <t>[Más corto si la mejora de margen YA está en marcha y demostrada en los últimos resultados; más largo si es una promesa todavía no evidenciada.]</t>
  </si>
  <si>
    <t>Sales-to-Capital (años 1-5 / 6-10)</t>
  </si>
  <si>
    <t>[X,Xx]</t>
  </si>
  <si>
    <t>[Más bajo (más intensivo en capital) si la empresa está invirtiendo fuerte en activos propios; más alto (asset-light) si el modelo es de plataforma/software puro.]</t>
  </si>
  <si>
    <t>Costo de Capital (WACC)</t>
  </si>
  <si>
    <t>[X,XX%]</t>
  </si>
  <si>
    <t>[De 'Cost of capital worksheet'. Verificar Direct Input vs. Synthetic Rating según si la empresa tiene deuda real con cobertura de intereses relevante.]</t>
  </si>
  <si>
    <t>3. RESULTADO DEL DCF POR ESCENARIO</t>
  </si>
  <si>
    <t>Escenario</t>
  </si>
  <si>
    <t>Valor DCF / acción</t>
  </si>
  <si>
    <t>Precio Objetivo Ponderado*</t>
  </si>
  <si>
    <t>vs. Precio Actual ([$XX,XX])</t>
  </si>
  <si>
    <t>[$XX,XX]</t>
  </si>
  <si>
    <t>*Precio Objetivo Ponderado combina el DCF ([XX]%) con 5 múltiplos de mercado derivados de forma consistente con cada escenario del DCF, usando la ponderación de la categoría "[categoría elegida en Resumen de Valoración!G3]" — justificar por qué esa categoría calza con el perfil de la empresa.</t>
  </si>
  <si>
    <t>4. AJUSTES METODOLÓGICOS APLICADOS (sobre la plantilla ya corregida)</t>
  </si>
  <si>
    <t>#</t>
  </si>
  <si>
    <t>Ajuste</t>
  </si>
  <si>
    <t>Razón</t>
  </si>
  <si>
    <t>[Ej.: Costo de deuda de "Direct Input" a "Synthetic Rating".]</t>
  </si>
  <si>
    <t>[Razón basada en un dato real de la empresa — p. ej. cobertura de intereses.]</t>
  </si>
  <si>
    <t>[Ej.: Categoría de ponderación en Resumen de Valoración!G3.]</t>
  </si>
  <si>
    <t>[Razón — perfil de rentabilidad/madurez de la empresa.]</t>
  </si>
  <si>
    <t>[Cualquier supuesto de crecimiento/margen recalibrado desde el valor heredado de la plantilla.]</t>
  </si>
  <si>
    <t>[Razón basada en dato real.]</t>
  </si>
  <si>
    <t>5. CONCLUSIÓN</t>
  </si>
  <si>
    <t>[Un párrafo: al precio actual, qué sugiere el modelo en cada escenario (margen de seguridad/potencial), y cuál es la variable clave a monitorear hacia adelante — la que decidiría entre el caso bull y el caso bear.]</t>
  </si>
  <si>
    <t>Precio</t>
  </si>
  <si>
    <t>⚠️ Advertencia: Las celdas en VERDE, AMARILLO y ROJO son para entrada manual de datos.</t>
  </si>
  <si>
    <t>Price today:</t>
  </si>
  <si>
    <t>--- FORECASTED SUMMARY ---</t>
  </si>
  <si>
    <t>CONSERVADOR</t>
  </si>
  <si>
    <t>Realized At</t>
  </si>
  <si>
    <t>Dec '22</t>
  </si>
  <si>
    <t>Dec '23</t>
  </si>
  <si>
    <t>Nov '24</t>
  </si>
  <si>
    <t>Nov '25</t>
  </si>
  <si>
    <t>FY+1 (Estimate)</t>
  </si>
  <si>
    <t>FY+2 (Estimate)</t>
  </si>
  <si>
    <t>FY+3 (Estimate)</t>
  </si>
  <si>
    <t>Enterprise Value</t>
  </si>
  <si>
    <t>Market Cap</t>
  </si>
  <si>
    <t>TICKER</t>
  </si>
  <si>
    <t>Cambiar múltiplo</t>
  </si>
  <si>
    <t>NTM EV/FCFF Multiple</t>
  </si>
  <si>
    <t>NTM P/OCF Multiple</t>
  </si>
  <si>
    <t>Resumen de Inversión y Beneficios</t>
  </si>
  <si>
    <t>PRECIO ACTUAL</t>
  </si>
  <si>
    <t>PRECIO OBJETIVO (BASE)</t>
  </si>
  <si>
    <t>BENEFICIO ESPERADO (CAGR 3A)</t>
  </si>
  <si>
    <t>OCF</t>
  </si>
  <si>
    <t>FCFF</t>
  </si>
  <si>
    <t>Fecha del análisis</t>
  </si>
  <si>
    <t>Implied Target Stock Price</t>
  </si>
  <si>
    <t>Precio al día del análisis</t>
  </si>
  <si>
    <t>Cumulative Dividends/Share</t>
  </si>
  <si>
    <t>Tipo de Empresa</t>
  </si>
  <si>
    <t>Total Target Price + Dividends</t>
  </si>
  <si>
    <t>Genérico</t>
  </si>
  <si>
    <t>Total Return</t>
  </si>
  <si>
    <t>Margen de Seguridad (MOS)</t>
  </si>
  <si>
    <t>Método</t>
  </si>
  <si>
    <t>Peso</t>
  </si>
  <si>
    <t>Total IRR (Annualized Return)</t>
  </si>
  <si>
    <t>Crecimiento</t>
  </si>
  <si>
    <t>Madura</t>
  </si>
  <si>
    <t>Defensiva</t>
  </si>
  <si>
    <t>Cíclica/Commodity</t>
  </si>
  <si>
    <t>Intensiva en Capital</t>
  </si>
  <si>
    <t>Financiera</t>
  </si>
  <si>
    <t>Infraestructura</t>
  </si>
  <si>
    <t>REIT/Inmobiliaria</t>
  </si>
  <si>
    <t>Software</t>
  </si>
  <si>
    <t>Hyper-Crecimiento / Pre-Rentable</t>
  </si>
  <si>
    <t>Biotech/Farma</t>
  </si>
  <si>
    <t>DCF Damodaran</t>
  </si>
  <si>
    <t>BASE</t>
  </si>
  <si>
    <t>EV/EBITDA</t>
  </si>
  <si>
    <t>EV/FCFF</t>
  </si>
  <si>
    <t>P/E</t>
  </si>
  <si>
    <t>P/FCFE</t>
  </si>
  <si>
    <t>P/OCF</t>
  </si>
  <si>
    <t>Precio Objetivo Ponderado</t>
  </si>
  <si>
    <t>OPTIMISTA</t>
  </si>
  <si>
    <t>Total</t>
  </si>
  <si>
    <t>CAGR a 3 años</t>
  </si>
  <si>
    <t>MOS vs Precio Actual</t>
  </si>
  <si>
    <t>Valores de compra</t>
  </si>
  <si>
    <t>Max</t>
  </si>
  <si>
    <t>Min</t>
  </si>
  <si>
    <t>CAGR Max</t>
  </si>
  <si>
    <t>CAGR Min</t>
  </si>
  <si>
    <t>Value</t>
  </si>
  <si>
    <t>Deep Value</t>
  </si>
  <si>
    <t>Valoración histórica</t>
  </si>
  <si>
    <t>Precio con MOS</t>
  </si>
  <si>
    <t>P/OCF Last 10Y</t>
  </si>
  <si>
    <t>P/OCF Last 5Y</t>
  </si>
  <si>
    <t>RESUMEN RÁPIDO</t>
  </si>
  <si>
    <t>P/OCF Last 3Y</t>
  </si>
  <si>
    <t>Precio Objetivo (Base)</t>
  </si>
  <si>
    <t>P/OCF TTM</t>
  </si>
  <si>
    <t>Rango Objetivo (Conservador – Optimista)</t>
  </si>
  <si>
    <t>Matriz de Sensibilidad: Precio Objetivo Implícito (FY+3)</t>
  </si>
  <si>
    <t>Precio de Hoy</t>
  </si>
  <si>
    <t>P/OCF \ OCF</t>
  </si>
  <si>
    <t>Potencial vs. Precio Objetivo Base</t>
  </si>
  <si>
    <t>NTM P/E Multiple</t>
  </si>
  <si>
    <t>Net Income</t>
  </si>
  <si>
    <t>EV/FCFF Last 10Y</t>
  </si>
  <si>
    <t>EV/FCFF Last 5Y</t>
  </si>
  <si>
    <t>EV/FCFF Last 3Y</t>
  </si>
  <si>
    <t>EV/FCFF TTM</t>
  </si>
  <si>
    <t>EV/FCFF \ FCFF</t>
  </si>
  <si>
    <t>NTM P/FCFE Multiple</t>
  </si>
  <si>
    <t>FCFE</t>
  </si>
  <si>
    <t>NTM EV/EBITDA Multiple</t>
  </si>
  <si>
    <t>EBITDA</t>
  </si>
  <si>
    <t>P/E Last 10Y</t>
  </si>
  <si>
    <t>P/E Last 5Y</t>
  </si>
  <si>
    <t>P/E Last 3Y</t>
  </si>
  <si>
    <t>P/FCFE Last 10Y</t>
  </si>
  <si>
    <t>P/FCFE Last 5Y</t>
  </si>
  <si>
    <t>Operating Data</t>
  </si>
  <si>
    <t>P/E TTM</t>
  </si>
  <si>
    <t>P/FCFE Last 3Y</t>
  </si>
  <si>
    <t>FY+4 (Estimate)</t>
  </si>
  <si>
    <t>P/FCFE TTM</t>
  </si>
  <si>
    <t>Revenues</t>
  </si>
  <si>
    <t>P/FCFE \ FCFE</t>
  </si>
  <si>
    <t>Cambiar crecimiento</t>
  </si>
  <si>
    <t>% Change YoY</t>
  </si>
  <si>
    <t>EBIT</t>
  </si>
  <si>
    <t>P/E \ Net Income</t>
  </si>
  <si>
    <t>Cambiar EBIT margen</t>
  </si>
  <si>
    <t>% Margin</t>
  </si>
  <si>
    <t>% Incremental Margin</t>
  </si>
  <si>
    <t>Interest / Other</t>
  </si>
  <si>
    <t>% of EBIT</t>
  </si>
  <si>
    <t>EBT</t>
  </si>
  <si>
    <t>Taxes / Other</t>
  </si>
  <si>
    <t>Cambiar Tax rate</t>
  </si>
  <si>
    <t>% of EBT</t>
  </si>
  <si>
    <t>Net Income Normalized</t>
  </si>
  <si>
    <t>Cambiar EBITDA margen</t>
  </si>
  <si>
    <t>D&amp;A</t>
  </si>
  <si>
    <t>CapEx</t>
  </si>
  <si>
    <t>Change in NWC</t>
  </si>
  <si>
    <t>Interest (Net of Tax)</t>
  </si>
  <si>
    <t>FCFF per Share</t>
  </si>
  <si>
    <t>OCF per Share</t>
  </si>
  <si>
    <t>Input cell</t>
  </si>
  <si>
    <t>Net Borrowing</t>
  </si>
  <si>
    <t>Calculated cell</t>
  </si>
  <si>
    <t>EV/EBITDA Last 10Y</t>
  </si>
  <si>
    <t>Date of valuation</t>
  </si>
  <si>
    <t>Important: Before you run this spreadsheet, go into preferences in Excel and check under Calculation options</t>
  </si>
  <si>
    <t>Company name</t>
  </si>
  <si>
    <t>There should be a check against the iteration box. If there is not, you will get circular reasoning errors.</t>
  </si>
  <si>
    <t>EV/EBITDA Last 5Y</t>
  </si>
  <si>
    <t>Numbers from your base year below ( in consistent units, i.e., if you enter numbers in millions, stay with millions all the way through, including on share count.</t>
  </si>
  <si>
    <t>If you don't understand an input, turn on comemnts and you should see my suggestions on that input.</t>
  </si>
  <si>
    <t>Country of incorporation</t>
  </si>
  <si>
    <t>EV/EBITDA Last 3Y</t>
  </si>
  <si>
    <t xml:space="preserve">If you want a guide through this spreadsheet, try this YouTube video that takes you through each input cell: https://youtu.be/kyKfJ_7-mdg?si=FIeHhnLH2_2brag3 </t>
  </si>
  <si>
    <t>Industry (US)</t>
  </si>
  <si>
    <t>Industry (Global)</t>
  </si>
  <si>
    <t>FCFE per Share</t>
  </si>
  <si>
    <t>Most Recent 12 months</t>
  </si>
  <si>
    <t>Last 10K before LTM</t>
  </si>
  <si>
    <t>Years since last 10K</t>
  </si>
  <si>
    <t>EV/EBITDA TTM</t>
  </si>
  <si>
    <t>Diluted Shares Outstanding</t>
  </si>
  <si>
    <t>Operating income or EBIT</t>
  </si>
  <si>
    <t>EPS Normalized</t>
  </si>
  <si>
    <t>EV/EBITDA \ EBITDA</t>
  </si>
  <si>
    <t>Interest expense</t>
  </si>
  <si>
    <t>Book value of equity</t>
  </si>
  <si>
    <t>Dividends Per Share</t>
  </si>
  <si>
    <t>Book value of debt</t>
  </si>
  <si>
    <t>Do you have R&amp;D expenses to capitalize?</t>
  </si>
  <si>
    <t>Yes</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</si>
  <si>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</si>
  <si>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</si>
  <si>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</si>
  <si>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</si>
  <si>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</si>
  <si>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</si>
  <si>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 Payout Ratio</t>
  </si>
  <si>
    <t>Modelo Base</t>
  </si>
  <si>
    <t>Minority interests</t>
  </si>
  <si>
    <t>Base year</t>
  </si>
  <si>
    <t>Number of shares outstanding =</t>
  </si>
  <si>
    <t>Terminal year</t>
  </si>
  <si>
    <t>Computed numbers: Here is what your company's numbers look like, relative to industry.</t>
  </si>
  <si>
    <t>Revenue growth rate</t>
  </si>
  <si>
    <t>Current stock price =</t>
  </si>
  <si>
    <t>If you are not working in US dollars, you should add the inflation differential to the industry averages.</t>
  </si>
  <si>
    <t>Effective tax rate =</t>
  </si>
  <si>
    <t>Global Distribution Stats</t>
  </si>
  <si>
    <t>Marginal tax rate =</t>
  </si>
  <si>
    <t>Company</t>
  </si>
  <si>
    <t>Average</t>
  </si>
  <si>
    <t>1st Quartile</t>
  </si>
  <si>
    <t>Median</t>
  </si>
  <si>
    <t>3rd Quartile</t>
  </si>
  <si>
    <t>The value drivers below:</t>
  </si>
  <si>
    <t>Revenue growth in the most recent year =</t>
  </si>
  <si>
    <t>EBIT (Operating) margin</t>
  </si>
  <si>
    <t xml:space="preserve">Revenue growth rate for next year </t>
  </si>
  <si>
    <t>Growth Lever - Next year</t>
  </si>
  <si>
    <t>Pre-tax operating margin in the most recent year =</t>
  </si>
  <si>
    <t>Operating Margin for next year</t>
  </si>
  <si>
    <t>Profitability Lever - Next year</t>
  </si>
  <si>
    <t>Sales to capital ratio in most recent year =</t>
  </si>
  <si>
    <t>Compounded annual revenue growth rate - years 2-5 =</t>
  </si>
  <si>
    <t>EBIT (Operating income)</t>
  </si>
  <si>
    <t>Growth Lever - Long term</t>
  </si>
  <si>
    <t>Marginal sales to capital ratio  =</t>
  </si>
  <si>
    <t>Target pre-tax operating margin =</t>
  </si>
  <si>
    <t>Tax rate</t>
  </si>
  <si>
    <t>Profitability Lever - Long term</t>
  </si>
  <si>
    <t>Return on invested capital in most recent year=</t>
  </si>
  <si>
    <t>Year of convergence for margin</t>
  </si>
  <si>
    <t>Speed of convergence level</t>
  </si>
  <si>
    <t>Standard deviation in stock prices =</t>
  </si>
  <si>
    <t>EBIT(1-t)</t>
  </si>
  <si>
    <t>Sales to capital ratio  (for years 1-5)</t>
  </si>
  <si>
    <t>Efficency of Growth Lever (first 5 years)</t>
  </si>
  <si>
    <t>Cost of capital =</t>
  </si>
  <si>
    <t xml:space="preserve"> - Reinvestment</t>
  </si>
  <si>
    <t>Sales to capital ratio (for years 6-10)</t>
  </si>
  <si>
    <t>Efficency of Growth Lever (years 6-10)</t>
  </si>
  <si>
    <t xml:space="preserve">Market numbers </t>
  </si>
  <si>
    <t>Valuation Output Feedback (for you to use to fine tune your inputs, if you want)</t>
  </si>
  <si>
    <t>Riskfree rate</t>
  </si>
  <si>
    <t>Revenues in year 10, based on your revenue growth =</t>
  </si>
  <si>
    <t>Initial cost of capital =</t>
  </si>
  <si>
    <t>Do not input. Go to cost of capital sheet.</t>
  </si>
  <si>
    <t>Pre-tax Operating Income in year 10, based on your operating margin =</t>
  </si>
  <si>
    <t>Other inputs</t>
  </si>
  <si>
    <t>Return on invested capital in year 10, based on your sales/capital ratio =</t>
  </si>
  <si>
    <t>Do you have employee options outstanding?</t>
  </si>
  <si>
    <t>Check the Diagnostics worksheet for more details.</t>
  </si>
  <si>
    <t>Number of options outstanding =</t>
  </si>
  <si>
    <t>Average strike price =</t>
  </si>
  <si>
    <t>Average maturity =</t>
  </si>
  <si>
    <t>Standard deviation on stock price =</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</si>
  <si>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</si>
  <si>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</si>
  <si>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</si>
  <si>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</si>
  <si>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</si>
  <si>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</si>
  <si>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</si>
  <si>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</si>
  <si>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</si>
  <si>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</si>
  <si>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</si>
  <si>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</si>
  <si>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</si>
  <si>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</si>
  <si>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</si>
  <si>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</si>
  <si>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</si>
  <si>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</si>
  <si>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</si>
  <si>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</si>
  <si>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</si>
  <si>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</si>
  <si>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</si>
  <si>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</si>
  <si>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</si>
  <si>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</si>
  <si>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</si>
  <si>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</si>
  <si>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</si>
  <si>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</si>
  <si>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</si>
  <si>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</si>
  <si>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</si>
  <si>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</si>
  <si>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</si>
  <si>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</si>
  <si>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</si>
  <si>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</si>
  <si>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</si>
  <si>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</si>
  <si>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</si>
  <si>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NOL</t>
  </si>
  <si>
    <t>Cost of capital</t>
  </si>
  <si>
    <t>Cumulated discount factor</t>
  </si>
  <si>
    <t>PV(FCFF)</t>
  </si>
  <si>
    <t>Terminal cash flow</t>
  </si>
  <si>
    <t>Terminal cost of capital</t>
  </si>
  <si>
    <t>Terminal value</t>
  </si>
  <si>
    <t>PV(Terminal value)</t>
  </si>
  <si>
    <t>PV (CF over next 10 years)</t>
  </si>
  <si>
    <t>Sum of PV</t>
  </si>
  <si>
    <t>Probability of failure =</t>
  </si>
  <si>
    <t>Proceeds if firm fails =</t>
  </si>
  <si>
    <t>Value of operating assets =</t>
  </si>
  <si>
    <t>PERFIL CORPORATIVO &amp; RESUMEN DE NEGOCIO</t>
  </si>
  <si>
    <t xml:space="preserve"> - Debt</t>
  </si>
  <si>
    <t xml:space="preserve">  1. DATOS GENERALES DE LA EMPRESA</t>
  </si>
  <si>
    <t>Nombre de la Empresa</t>
  </si>
  <si>
    <t xml:space="preserve"> - Minority interests</t>
  </si>
  <si>
    <t>Director Ejecutivo (CEO)</t>
  </si>
  <si>
    <t>Sector Industrial</t>
  </si>
  <si>
    <t xml:space="preserve"> +  Cash</t>
  </si>
  <si>
    <t>Sitio Web Oficial</t>
  </si>
  <si>
    <t>Ticker</t>
  </si>
  <si>
    <t xml:space="preserve">  2. DESCRIPCIÓN OPERATIVA Y SEGMENTOS DE NEGOCIO</t>
  </si>
  <si>
    <t>If you get Value Errors all over, it is usually because your option worksheet has gone haywire. The fix is very low tech. Go into the option value worksheet, and in cell B17 of that worksheet (adjusted S), enter any number (say 5) and then undo what you did. Voila!</t>
  </si>
  <si>
    <t>Segmento / Área</t>
  </si>
  <si>
    <t xml:space="preserve"> + Non-operating assets</t>
  </si>
  <si>
    <t>Visión General de la Empresa</t>
  </si>
  <si>
    <t>Value of equity</t>
  </si>
  <si>
    <t>Medios Digitales
(Digital Media)</t>
  </si>
  <si>
    <t>Experiencia Digital
(Digital Experience)</t>
  </si>
  <si>
    <t xml:space="preserve"> - Value of options</t>
  </si>
  <si>
    <t>Publicación y Publicidad
(Publishing &amp; Advertising)</t>
  </si>
  <si>
    <t>Estrategia de Distribución
y Comercialización</t>
  </si>
  <si>
    <t>ANÁLISIS DE PERSPECTIVAS: BULLS VS. BEARS</t>
  </si>
  <si>
    <t>Value of equity in common stock</t>
  </si>
  <si>
    <t>PERSPECTIVA ALCISTA (BULLS SAY) - ARGUMENTOS A FAVOR</t>
  </si>
  <si>
    <t>Number of shares</t>
  </si>
  <si>
    <t>Pilar / Tema</t>
  </si>
  <si>
    <t>Estimated value /share</t>
  </si>
  <si>
    <t>Estándar de la Industria y Dominio</t>
  </si>
  <si>
    <t>Price</t>
  </si>
  <si>
    <t>Innovación y Foso Económico (Moat)</t>
  </si>
  <si>
    <t>Price as % of value</t>
  </si>
  <si>
    <t>Expansión del Ecosistema Creativo</t>
  </si>
  <si>
    <t>PERSPECTIVA BAJISTA (BEARS SAY) - RIESGOS Y DESAFÍOS</t>
  </si>
  <si>
    <t>Implied variables</t>
  </si>
  <si>
    <t>Pilar de Riesgo</t>
  </si>
  <si>
    <t>After year 10</t>
  </si>
  <si>
    <t>Sales to capital ratio</t>
  </si>
  <si>
    <t>Intensificación de la Competencia</t>
  </si>
  <si>
    <t>Incertidumbre en Experiencia Digital</t>
  </si>
  <si>
    <t>Disrupción por IA Generativa y Desaceleración</t>
  </si>
  <si>
    <t>Fuente / Fuente original: Análisis de Morningstar – 12 de junio de 2026</t>
  </si>
  <si>
    <t>ACONTECIMIENTOS Y NOTICIAS RECIENTES</t>
  </si>
  <si>
    <t>Invested capital</t>
  </si>
  <si>
    <t>Periodo del Reporte: 23 de junio de 2026 – 21 de julio de 2026</t>
  </si>
  <si>
    <t>1. RESUMEN DE TITULARES Y NOTICIAS CLAVE</t>
  </si>
  <si>
    <t>Categoría / Tema</t>
  </si>
  <si>
    <t>Detalle Corto</t>
  </si>
  <si>
    <t>M&amp;A / Estratégico</t>
  </si>
  <si>
    <t>Ver sección detallada abajo</t>
  </si>
  <si>
    <t>Análisis de Wall St.</t>
  </si>
  <si>
    <t>ROIC</t>
  </si>
  <si>
    <t>Alianzas / Clientes</t>
  </si>
  <si>
    <t>Ciberseguridad</t>
  </si>
  <si>
    <t>Growth</t>
  </si>
  <si>
    <t>EBIT margin</t>
  </si>
  <si>
    <t>2. ANÁLISIS Y DESARROLLO DETALLADO DE LOS EVENTOS</t>
  </si>
  <si>
    <t>Evento / Noticia</t>
  </si>
  <si>
    <t>Adquisición de Topaz Labs</t>
  </si>
  <si>
    <t>Degradación de Morgan Stanley y BofA</t>
  </si>
  <si>
    <t>LTM</t>
  </si>
  <si>
    <t>Acuerdo Comercial con Disney</t>
  </si>
  <si>
    <t>Boletín de Ciberseguridad</t>
  </si>
  <si>
    <t>Promedio 3Y</t>
  </si>
  <si>
    <t>Promedio de 5Y</t>
  </si>
  <si>
    <t>PERFIL DE LA EMPRESA (PROFILE)</t>
  </si>
  <si>
    <t>VALORACIÓN TTM (VALUATION TTM)</t>
  </si>
  <si>
    <t>TASAS DE CRECIMIENTO ANUALIZADO (CAGR)</t>
  </si>
  <si>
    <t>CAGR 10Y</t>
  </si>
  <si>
    <t>Capitalización de Mercado (Market Cap)</t>
  </si>
  <si>
    <t>P/E (Precio / Utilidad TTM)</t>
  </si>
  <si>
    <t>Crec. Ingresos 3 Años (Rev 3Yr)</t>
  </si>
  <si>
    <t>Valor de Empresa (EV)</t>
  </si>
  <si>
    <t>Modelo Conservador</t>
  </si>
  <si>
    <t>P/B (Precio / Valor en Libros)</t>
  </si>
  <si>
    <t>Crec. Ingresos 5 Años (Rev 5Yr)</t>
  </si>
  <si>
    <t>Acciones en Circulación (Shares Out)</t>
  </si>
  <si>
    <t>EV/Sales (EV / Ventas TTM)</t>
  </si>
  <si>
    <t>Crec. Ingresos 10 Años (Rev 10Yr)</t>
  </si>
  <si>
    <t>Ingresos Totales (Revenue TTM)</t>
  </si>
  <si>
    <t>Crec. LPA Diluido 3 Años (Dil EPS 3Yr)</t>
  </si>
  <si>
    <t>Número de Empleados</t>
  </si>
  <si>
    <t>P/FCF (Precio / Flujo de Caja Libre)</t>
  </si>
  <si>
    <t>Crec. LPA Diluido 5 Años (Dil EPS 5Yr)</t>
  </si>
  <si>
    <t>EV/Gross Profit (EV / Utilidad Bruta)</t>
  </si>
  <si>
    <t>Crec. LPA Diluido 10 Años (Dil EPS 10Yr)</t>
  </si>
  <si>
    <t>MÁRGENES DE RENTABILIDAD (MARGINS)</t>
  </si>
  <si>
    <t>Crec. FCF 5 Años (FCF 5Yr)</t>
  </si>
  <si>
    <t>Margen Bruto (Gross)</t>
  </si>
  <si>
    <t>VALORACIÓN PROYECTADA (VALUATION NTM)</t>
  </si>
  <si>
    <t>Crec. Acciones 5 Años (Shares 5Yr)</t>
  </si>
  <si>
    <t>Margen EBITDA</t>
  </si>
  <si>
    <t>Precio Objetivo (Price Target)</t>
  </si>
  <si>
    <t>Crec. Ingresos Proyectado 2 Años (Rev Fwd 2Yr)</t>
  </si>
  <si>
    <t>Margen Operativo (Operating)</t>
  </si>
  <si>
    <t>P/E Estimado (NTM)</t>
  </si>
  <si>
    <t>Crec. EBITDA Proyectado 2 Años (EBITDA Fwd 2Yr)</t>
  </si>
  <si>
    <t>Margen Antes de Impuestos (Pre-Tax)</t>
  </si>
  <si>
    <t>PEG Ratio (P/E a Crecimiento)</t>
  </si>
  <si>
    <t>Crec. LPA Proyectado 2 Años (EPS Fwd 2Yr)</t>
  </si>
  <si>
    <t>Margen Neto (Net)</t>
  </si>
  <si>
    <t>EV/Sales Estimado (NTM)</t>
  </si>
  <si>
    <t>Est. Crec. LPA a Largo Plazo (EPS LT Growth Est)</t>
  </si>
  <si>
    <t>Margen Flujo de Caja Libre (FCF)</t>
  </si>
  <si>
    <t>EV/EBITDA Estimado (NTM)</t>
  </si>
  <si>
    <t>P/FCF Estimado (NTM)</t>
  </si>
  <si>
    <t>DIVIDENDOS (DIVIDENDS)</t>
  </si>
  <si>
    <t>RETORNOS PROMEDIO 5 AÑOS (RETURNS)</t>
  </si>
  <si>
    <t>Rendimiento por Dividendo (Yield)</t>
  </si>
  <si>
    <t>—</t>
  </si>
  <si>
    <t>Retorno s/ Activos (ROA)</t>
  </si>
  <si>
    <t>SALUD FINANCIERA (FINANCIAL HEALTH)</t>
  </si>
  <si>
    <t>Razón de Pago (Payout)</t>
  </si>
  <si>
    <t>Retorno s/ Activos Totales (ROTA)</t>
  </si>
  <si>
    <t>Efectivo y Equivalentes (Cash)</t>
  </si>
  <si>
    <t>Dividendo por Acción (DPS)</t>
  </si>
  <si>
    <t>Retorno s/ Patrimonio (ROE)</t>
  </si>
  <si>
    <t>Deuda Neta (Net Debt)</t>
  </si>
  <si>
    <t>Crec. DPS 3 Años</t>
  </si>
  <si>
    <t>Retorno s/ Capital Empleado (ROCE)</t>
  </si>
  <si>
    <t>Deuda / Patrimonio (Debt/Equity)</t>
  </si>
  <si>
    <t>Crec. DPS 5 Años</t>
  </si>
  <si>
    <t>Retorno s/ Capital Invertido (ROIC)</t>
  </si>
  <si>
    <t>Cobertura de Intereses (EBIT/Interest)</t>
  </si>
  <si>
    <t>Crec. DPS 10 Años</t>
  </si>
  <si>
    <t>Crec. DPS Proyectado 2 Años (DPS Growth Fwd 2Yr)</t>
  </si>
  <si>
    <t>EBIT Margin</t>
  </si>
  <si>
    <t>EBITDA Margin</t>
  </si>
  <si>
    <t>Promedio 3y</t>
  </si>
  <si>
    <t>Promedio 5y</t>
  </si>
  <si>
    <t>Assets</t>
  </si>
  <si>
    <t>Income Statement</t>
  </si>
  <si>
    <t>Dec '16</t>
  </si>
  <si>
    <t>Dec '17</t>
  </si>
  <si>
    <t>Nov '18</t>
  </si>
  <si>
    <t>Nov '19</t>
  </si>
  <si>
    <t>Nov '20</t>
  </si>
  <si>
    <t>Dec '21</t>
  </si>
  <si>
    <t>Nov '26 (E)</t>
  </si>
  <si>
    <t>Cash and Cash Equivalents</t>
  </si>
  <si>
    <t>Short-Term Investments</t>
  </si>
  <si>
    <t>Total Cash and Cash Equivalents</t>
  </si>
  <si>
    <t>Total Revenues</t>
  </si>
  <si>
    <t>Accounts Receivable</t>
  </si>
  <si>
    <t>Other Receivables</t>
  </si>
  <si>
    <t>Total Trade Receivables</t>
  </si>
  <si>
    <t>Other Current Assets</t>
  </si>
  <si>
    <t>Total Revenues %Chg</t>
  </si>
  <si>
    <t>Total Current Assets</t>
  </si>
  <si>
    <t>Net Property, Plant &amp; Equipment</t>
  </si>
  <si>
    <t>Net Intangible Assets</t>
  </si>
  <si>
    <t>Cost of Sales</t>
  </si>
  <si>
    <t>Goodwill</t>
  </si>
  <si>
    <t>Long-Term Investments</t>
  </si>
  <si>
    <t>Other Long-Term Assets</t>
  </si>
  <si>
    <t>Gross Profit</t>
  </si>
  <si>
    <t>Total Assets</t>
  </si>
  <si>
    <t>Liabilities</t>
  </si>
  <si>
    <t>Accounts Payable</t>
  </si>
  <si>
    <t>Gross Profit Margin</t>
  </si>
  <si>
    <t>Accrued Expenses</t>
  </si>
  <si>
    <t>Short-Term Debt</t>
  </si>
  <si>
    <t>Current Portion of Leases</t>
  </si>
  <si>
    <t>Selling, General &amp; Administrative Expenses</t>
  </si>
  <si>
    <t>Unearned Revenue</t>
  </si>
  <si>
    <t>Other Current Liabilities</t>
  </si>
  <si>
    <t>Total Current Liabilities</t>
  </si>
  <si>
    <t>Depreciation &amp; Amortization Expenses</t>
  </si>
  <si>
    <t>Long-Term Debt</t>
  </si>
  <si>
    <t>Leases</t>
  </si>
  <si>
    <t>Other Long-Term Liabilities</t>
  </si>
  <si>
    <t>Research &amp; Development Expenses</t>
  </si>
  <si>
    <t>Total Long-Term Liabilities</t>
  </si>
  <si>
    <t>Total Liabilities</t>
  </si>
  <si>
    <t>Equity</t>
  </si>
  <si>
    <t>Operating Activities</t>
  </si>
  <si>
    <t>Other Operating Expenses</t>
  </si>
  <si>
    <t>Dec '26 (E)</t>
  </si>
  <si>
    <t>Additional Paid-in Capital</t>
  </si>
  <si>
    <t>Accumulated Other Comprehensive Income</t>
  </si>
  <si>
    <t>Retained Earnings</t>
  </si>
  <si>
    <t>Operating Profit</t>
  </si>
  <si>
    <t>Total Common Shareholders' Equity</t>
  </si>
  <si>
    <t>Depreciation &amp; Amortization</t>
  </si>
  <si>
    <t>Total Shareholders' Equity</t>
  </si>
  <si>
    <t>Share-Based Compensation Expense</t>
  </si>
  <si>
    <t>Total Liabilities and Shareholders' Equity</t>
  </si>
  <si>
    <t>Other Adjustments</t>
  </si>
  <si>
    <t>Changes in Trade Receivables</t>
  </si>
  <si>
    <t>Changes in Accounts Payable</t>
  </si>
  <si>
    <t>Operating Margin</t>
  </si>
  <si>
    <t>Changes in Accrued Expenses</t>
  </si>
  <si>
    <t>Changes in Income Taxes Payable</t>
  </si>
  <si>
    <t>Changes in Unearned Revenue</t>
  </si>
  <si>
    <t>Changes in Other Operating Activities</t>
  </si>
  <si>
    <t>Cash from Operating Activities</t>
  </si>
  <si>
    <t>Interest and Investment Income</t>
  </si>
  <si>
    <t>Investing Activities</t>
  </si>
  <si>
    <t>Capital Expenditure</t>
  </si>
  <si>
    <t>Interest Expense</t>
  </si>
  <si>
    <t>Proceeds from Sale of Property, Plant &amp; Equipment</t>
  </si>
  <si>
    <t>Purchases of Investments</t>
  </si>
  <si>
    <t>Proceeds from Sale of Investments</t>
  </si>
  <si>
    <t>Interest Expense, Net</t>
  </si>
  <si>
    <t>Payments for Business Acquisitions</t>
  </si>
  <si>
    <t>Proceeds from Business Divestments</t>
  </si>
  <si>
    <t>Other Investing Activities</t>
  </si>
  <si>
    <t>Cash from Investing Activities</t>
  </si>
  <si>
    <t>Financing Activities</t>
  </si>
  <si>
    <t>Modelo Optimista</t>
  </si>
  <si>
    <t>Issuance of Short-Term Debt</t>
  </si>
  <si>
    <t>Non-Operating Income</t>
  </si>
  <si>
    <t>Net Issuance / (Repayments) of Short-Term Debt</t>
  </si>
  <si>
    <t>Issuance of Long-Term Debt</t>
  </si>
  <si>
    <t>Total Non-Operating Income</t>
  </si>
  <si>
    <t>Repayments of Long-Term Debt</t>
  </si>
  <si>
    <t>Net Issuance / (Repayments) of Long-Term Debt</t>
  </si>
  <si>
    <t>Issuance of Common Shares</t>
  </si>
  <si>
    <t>Repurchases of Common Shares</t>
  </si>
  <si>
    <t>Net Issuance / (Repurchases) of Common Shares</t>
  </si>
  <si>
    <t>Income Before Provision for Income Taxes</t>
  </si>
  <si>
    <t>Common Share Dividends Paid</t>
  </si>
  <si>
    <t>Other Financing Activities</t>
  </si>
  <si>
    <t>Cash from Financing Activities</t>
  </si>
  <si>
    <t>Free Cash Flow</t>
  </si>
  <si>
    <t>Provision for Income Taxes</t>
  </si>
  <si>
    <t>NOPAT</t>
  </si>
  <si>
    <t>Levered Free Cash Flow</t>
  </si>
  <si>
    <t>Unlevered Free Cash Flow</t>
  </si>
  <si>
    <t>Consolidated Net Income</t>
  </si>
  <si>
    <t>Net Change in Cash</t>
  </si>
  <si>
    <t>Net Income Attributable to Common Shareholders</t>
  </si>
  <si>
    <t>Basic EPS</t>
  </si>
  <si>
    <t>Diluted EPS</t>
  </si>
  <si>
    <t>Basic Weighted Average Shares Outstanding</t>
  </si>
  <si>
    <t>Diluted Weighted Average Shares Outstanding</t>
  </si>
  <si>
    <t>Shares Outstanding</t>
  </si>
  <si>
    <t>Effective Tax Rate</t>
  </si>
  <si>
    <t>Trailing Valuation</t>
  </si>
  <si>
    <t>orward Valuation</t>
  </si>
  <si>
    <t>Stock Price</t>
  </si>
  <si>
    <t>NTM</t>
  </si>
  <si>
    <t>FY2027</t>
  </si>
  <si>
    <t>FY2028</t>
  </si>
  <si>
    <t>Forward P/S</t>
  </si>
  <si>
    <t>Forward P/E</t>
  </si>
  <si>
    <t>Total Shares Outstanding</t>
  </si>
  <si>
    <t>Forward Earnings Yield</t>
  </si>
  <si>
    <t>Forward P/OCF</t>
  </si>
  <si>
    <t>Forward P/FCF</t>
  </si>
  <si>
    <t>Forward FCF Yield</t>
  </si>
  <si>
    <t>Forward EV/Sales</t>
  </si>
  <si>
    <t>Forward EV/EBITDA</t>
  </si>
  <si>
    <t>Forward EV/EBIT</t>
  </si>
  <si>
    <t>Total Enterprise Value (TEV)</t>
  </si>
  <si>
    <t>Dividends</t>
  </si>
  <si>
    <t>Forward EV/OCF</t>
  </si>
  <si>
    <t>Dividend Yield</t>
  </si>
  <si>
    <t>DPS</t>
  </si>
  <si>
    <t>Payout Ratio</t>
  </si>
  <si>
    <t>Forward EV/FCF</t>
  </si>
  <si>
    <t>Buyback Yield</t>
  </si>
  <si>
    <t>Debt Paydown Yield</t>
  </si>
  <si>
    <t>Margins</t>
  </si>
  <si>
    <t>Shareholder Yield</t>
  </si>
  <si>
    <t>P/S</t>
  </si>
  <si>
    <t>Capital Efficiency</t>
  </si>
  <si>
    <t>Return on Invested Capital</t>
  </si>
  <si>
    <t>Net Profit Margin</t>
  </si>
  <si>
    <t>P/Gross Profit</t>
  </si>
  <si>
    <t>Pre-Tax Profit Margin</t>
  </si>
  <si>
    <t>Free Cash Flow Margin</t>
  </si>
  <si>
    <t>Earnings Yield</t>
  </si>
  <si>
    <t>Return on Assets</t>
  </si>
  <si>
    <t>OCF / Sales</t>
  </si>
  <si>
    <t>OCF / Net Income</t>
  </si>
  <si>
    <t>Return on Equity</t>
  </si>
  <si>
    <t>FCF / OCF</t>
  </si>
  <si>
    <t>Return on Total Capital</t>
  </si>
  <si>
    <t>P/FCF</t>
  </si>
  <si>
    <t>FCF / Net Income</t>
  </si>
  <si>
    <t>FCF / EBITDA</t>
  </si>
  <si>
    <t>FCF Yield</t>
  </si>
  <si>
    <t>Return on Capital Employed</t>
  </si>
  <si>
    <t>P/B</t>
  </si>
  <si>
    <t>EV/Sales</t>
  </si>
  <si>
    <t>Return on Tangible Assets</t>
  </si>
  <si>
    <t>EV/Gross Profit</t>
  </si>
  <si>
    <t>Receivables Turnover</t>
  </si>
  <si>
    <t>Financial Health</t>
  </si>
  <si>
    <t>Total Debt</t>
  </si>
  <si>
    <t>Days Sales Outstanding</t>
  </si>
  <si>
    <t>Payables Turnover</t>
  </si>
  <si>
    <t>EV/EBIT</t>
  </si>
  <si>
    <t>Days Payables Outstanding</t>
  </si>
  <si>
    <t>Inventory Turnover</t>
  </si>
  <si>
    <t>EV/OCF</t>
  </si>
  <si>
    <t>Net Debt</t>
  </si>
  <si>
    <t>Days Inventory Outstanding</t>
  </si>
  <si>
    <t>Cash Conversion Cycle</t>
  </si>
  <si>
    <t>Asset Turnover</t>
  </si>
  <si>
    <t>EV/FCF</t>
  </si>
  <si>
    <t>Current Ratio</t>
  </si>
  <si>
    <t>Fixed Asset Turnover</t>
  </si>
  <si>
    <t>Quick Ratio</t>
  </si>
  <si>
    <t>Operating Cycle</t>
  </si>
  <si>
    <t>CapEx to OCF</t>
  </si>
  <si>
    <t>Cash Ratio</t>
  </si>
  <si>
    <t>CapEx to Revenue</t>
  </si>
  <si>
    <t>Per Share</t>
  </si>
  <si>
    <t>Revenue per Share</t>
  </si>
  <si>
    <t>CapEx to Depreciation</t>
  </si>
  <si>
    <t>Debt Ratio</t>
  </si>
  <si>
    <t>Assets to Equity</t>
  </si>
  <si>
    <t>Book Value per Share</t>
  </si>
  <si>
    <t>Cash Flow to Debt Ratio</t>
  </si>
  <si>
    <t>Tangible Book Value per Share</t>
  </si>
  <si>
    <t>Long-term Debt to Assets</t>
  </si>
  <si>
    <t>Cash per Share</t>
  </si>
  <si>
    <t>Intangibles to Total Assets</t>
  </si>
  <si>
    <t>Operating Cash Flow per Share</t>
  </si>
  <si>
    <t>Free Cash Flow per Share</t>
  </si>
  <si>
    <t>CapEx per Share</t>
  </si>
  <si>
    <t>Net Current Asset Value</t>
  </si>
  <si>
    <t>Weighted Avg. Shares Outstanding</t>
  </si>
  <si>
    <t>Goodwill / Assets</t>
  </si>
  <si>
    <t>Weighted Avg. Shares Outstanding Diluted</t>
  </si>
  <si>
    <t>I do not take any responsibility for any loss that might occur using this spreadsheet to choose stocks.</t>
  </si>
  <si>
    <t>Make a copy of the sheet to the left (template)and rename it to your stock ticker if you want to save results for each stock. Alternatively you can also save the Excel sheet for each stock.</t>
  </si>
  <si>
    <t>The spreadsheet will work as long as Morningstar and various websites provide the data in the format they do today. Since the spreadsheet rely on data scraping from external websites, I  can't guarantee that the spreadsheet will work in the future if they stop providing the data or change the formats of the data.</t>
  </si>
  <si>
    <t>Works best for stable and mature companies. Companies with irratic earnings and or with less than 10 years of financial history will not work well in the spreadsheet.  This typically apllies to commodity and cyclical stocks. Stocks that we want to avoid anyway when choosing high quality stocks sold at an attractive price.</t>
  </si>
  <si>
    <t>Debt / Equity</t>
  </si>
  <si>
    <t>This sheet gives you the quantitative analysis of the stock, however you should also always look into the qualitative aspect of the stock before you buy</t>
  </si>
  <si>
    <t>I can’t guarantee that all of the calculations and formulas in this spreadsheet are 100% correct, typing errors and mistakes in the formulas might happen.</t>
  </si>
  <si>
    <t>There is no guaranty that the financial data from a secondary source is 100% correct.</t>
  </si>
  <si>
    <t>Total Debt / Capitalization</t>
  </si>
  <si>
    <t>Long Term Debt / Capitalization</t>
  </si>
  <si>
    <t>Long-Term Debt / Equity</t>
  </si>
  <si>
    <t>Net Debt / EBITDA</t>
  </si>
  <si>
    <t>EBIT / Interest Expense</t>
  </si>
  <si>
    <t>EBITDA / Interest Expense</t>
  </si>
  <si>
    <t>[Escribe aquí el titulo de tu historia de inversion]</t>
  </si>
  <si>
    <t>[Cuenta tu historia sobre la empresa. Enfocala en sus negocios y conectala con las tres palancas de valor: flujos de caja, crecimiento y riesgo.]</t>
  </si>
  <si>
    <t>(EBITDA - Capex) / Interest Expense</t>
  </si>
  <si>
    <t>Tell your story about the company. Keep it focuses on the company's businesses and tie it into the three key levers of value: cash flows, growth and risk</t>
  </si>
  <si>
    <t>The Assumptions</t>
  </si>
  <si>
    <t>Step 1: Check revenue growth rate</t>
  </si>
  <si>
    <t>Next year</t>
  </si>
  <si>
    <t>You can modify this picture and bring in relevant details to back up your cost of capital and other details that you think flesh out your company's valuation story.</t>
  </si>
  <si>
    <t>Years 2-5</t>
  </si>
  <si>
    <t>Years 6-10</t>
  </si>
  <si>
    <t>Link to story</t>
  </si>
  <si>
    <t>Your forecasts</t>
  </si>
  <si>
    <t>Revenues (a)</t>
  </si>
  <si>
    <t>Questions to ask</t>
  </si>
  <si>
    <t>Industry Average</t>
  </si>
  <si>
    <t>Most Recent year</t>
  </si>
  <si>
    <t>1. If you are forecasting a revenue growth rate &gt; industry average, is your company small?</t>
  </si>
  <si>
    <t>Annual Revenue Growth Rate</t>
  </si>
  <si>
    <t>Changes to</t>
  </si>
  <si>
    <t>Disruption platform in multiple businesses</t>
  </si>
  <si>
    <t>Tie each assumption to the part of your story that relates to it.</t>
  </si>
  <si>
    <t>2. If your forecasted revenue growth rate is very different from your company's most recent year of growth, what is the reason?</t>
  </si>
  <si>
    <t>Operating margin (b)</t>
  </si>
  <si>
    <t>Step 2: Check dollar revenues</t>
  </si>
  <si>
    <t>Moves to</t>
  </si>
  <si>
    <t>Year 5</t>
  </si>
  <si>
    <t>Year 10</t>
  </si>
  <si>
    <t>1. How big is the total market today?</t>
  </si>
  <si>
    <t>Margins improve, aided by cloud business &amp; continued economies of scale.</t>
  </si>
  <si>
    <t>Base Year and Comparison</t>
  </si>
  <si>
    <t>Growth Story</t>
  </si>
  <si>
    <t>2. How much revenues do the biggest companies in that market make today?</t>
  </si>
  <si>
    <t>Profitability Story</t>
  </si>
  <si>
    <t>3. How much growth is there in the total market?</t>
  </si>
  <si>
    <t>Global/US marginal tax rate over time</t>
  </si>
  <si>
    <t>Growth Efficiency Story</t>
  </si>
  <si>
    <t>4. What type of market share are you forecasting for your company in year 10?</t>
  </si>
  <si>
    <t>Sales to Capital  (c )</t>
  </si>
  <si>
    <t>Step 3: Check your margins</t>
  </si>
  <si>
    <t>Industry</t>
  </si>
  <si>
    <t>1. What are the margins of the industry that the company is in?</t>
  </si>
  <si>
    <t>Maintained at Amazon's current level</t>
  </si>
  <si>
    <t>Return on capital</t>
  </si>
  <si>
    <t>2. What are the unit economics of the business? (How much does it cost you to make the extra unit that you sell?</t>
  </si>
  <si>
    <t>Marginal ROIC =</t>
  </si>
  <si>
    <t>3. What does the competition in this business look like?</t>
  </si>
  <si>
    <t>Terminal Value</t>
  </si>
  <si>
    <t>Step 4: Check how much you are reinvesting</t>
  </si>
  <si>
    <t>Strong competitive edges</t>
  </si>
  <si>
    <t>Revenue Growth</t>
  </si>
  <si>
    <t>1. is the growth that you are forecasting bounce-back growth or new growth?</t>
  </si>
  <si>
    <t>Cost of capital (d)</t>
  </si>
  <si>
    <t>Sales to Capital</t>
  </si>
  <si>
    <t>2. How much excess capacity do you have to service near term growth?</t>
  </si>
  <si>
    <t>Growth Rate</t>
  </si>
  <si>
    <t>Cost of capital close to median company</t>
  </si>
  <si>
    <t>3. Does investment efficiency in this business change as companies get bigger?</t>
  </si>
  <si>
    <t>Reinvestment effect on cash flows</t>
  </si>
  <si>
    <t>The Cash Flows</t>
  </si>
  <si>
    <t>$ Value</t>
  </si>
  <si>
    <t>As % of value</t>
  </si>
  <si>
    <t>PV of after-tax operating income for next 10 yearas</t>
  </si>
  <si>
    <t>Revenue</t>
  </si>
  <si>
    <t>EBIT (1-t)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</si>
  <si>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</si>
  <si>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</si>
  <si>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1. Is your reinvestment consitent with your revenue growth forecast?</t>
  </si>
  <si>
    <t>Operating Income</t>
  </si>
  <si>
    <t>Value effect of reinvestment for next 10 years</t>
  </si>
  <si>
    <t>2. Are you comfortable with your return on capital in year 10?</t>
  </si>
  <si>
    <t>Reinvestment Rate</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</si>
  <si>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</si>
  <si>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</si>
  <si>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</si>
  <si>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</si>
  <si>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</si>
  <si>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</si>
  <si>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</si>
  <si>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</si>
  <si>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</si>
  <si>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</si>
  <si>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</si>
  <si>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</si>
  <si>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</si>
  <si>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</si>
  <si>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</si>
  <si>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</si>
  <si>
    <t>Inputs</t>
  </si>
  <si>
    <t>If calculated value is negative or looks too low</t>
  </si>
  <si>
    <t>The Value</t>
  </si>
  <si>
    <t>If calculated value looks too high</t>
  </si>
  <si>
    <t>Revenue growth rate (input cell B25, B27)</t>
  </si>
  <si>
    <t>Increase revenue growth rate</t>
  </si>
  <si>
    <t>Decrease revenue growth rate</t>
  </si>
  <si>
    <t>Operating margin (B26, B28)</t>
  </si>
  <si>
    <t>Increase the target pre-tax operating margin</t>
  </si>
  <si>
    <t>Decrease the target pre-tax operating margin</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</si>
  <si>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</si>
  <si>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</si>
  <si>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</si>
  <si>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</si>
  <si>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</si>
  <si>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</si>
  <si>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T</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</si>
  <si>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</si>
  <si>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Adjustment for distress</t>
  </si>
  <si>
    <t xml:space="preserve"> - Debt &amp; Minority Interests</t>
  </si>
  <si>
    <t xml:space="preserve"> + Cash &amp; Other Non-operating assets</t>
  </si>
  <si>
    <t xml:space="preserve"> - Value of equity options</t>
  </si>
  <si>
    <t>Value per share</t>
  </si>
  <si>
    <t>Stock was trading at =</t>
  </si>
  <si>
    <t>Reinvestment</t>
  </si>
  <si>
    <t>Cost of Capital</t>
  </si>
  <si>
    <t>Cumulated WACC</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</si>
  <si>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</si>
  <si>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</si>
  <si>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</si>
  <si>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</si>
  <si>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</si>
  <si>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</si>
  <si>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</si>
  <si>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Price per share</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</si>
  <si>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</si>
  <si>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</si>
  <si>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</si>
  <si>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</si>
  <si>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</si>
  <si>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</si>
  <si>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</si>
  <si>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Under or Over Valued</t>
  </si>
  <si>
    <t># Warrants issued=</t>
  </si>
  <si>
    <t>Strike Price=</t>
  </si>
  <si>
    <t># Shares outstanding=</t>
  </si>
  <si>
    <t>Adjusted S =</t>
  </si>
  <si>
    <t>Risk Story</t>
  </si>
  <si>
    <t>T.Bond rate=</t>
  </si>
  <si>
    <t>Competitive Advantages</t>
  </si>
  <si>
    <t>Adjusted K =</t>
  </si>
  <si>
    <t>Variance=</t>
  </si>
  <si>
    <t>If you have negative operating income, this spreadsheet will offer you a D rating. Do not use that rating as your cost of debt for a going concern. Insread give your company a low, but going concern rating like BB and use that cost of debt.</t>
  </si>
  <si>
    <t>Expiration (in years) =</t>
  </si>
  <si>
    <t>Annualized dividend yield=</t>
  </si>
  <si>
    <t>Div. Adj. interest rate=</t>
  </si>
  <si>
    <t xml:space="preserve">d1 =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</si>
  <si>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</si>
  <si>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</si>
  <si>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</si>
  <si>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</si>
  <si>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N (d1) =</t>
  </si>
  <si>
    <t xml:space="preserve">d2 = </t>
  </si>
  <si>
    <t>Enter current Earnings before interest and taxes (EBIT) =</t>
  </si>
  <si>
    <t>N (d2) =</t>
  </si>
  <si>
    <t xml:space="preserve">Value per option = </t>
  </si>
  <si>
    <t>(Add back only long term interest expense for financial firms)</t>
  </si>
  <si>
    <t>Enter current interest expenses =</t>
  </si>
  <si>
    <t>Value of all options outstanding =</t>
  </si>
  <si>
    <t>(Use only long term interest expense for financial firms)</t>
  </si>
  <si>
    <t>Enter long term risk free rate  =</t>
  </si>
  <si>
    <t>Output</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</si>
  <si>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</si>
  <si>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</si>
  <si>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</si>
  <si>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</si>
  <si>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</si>
  <si>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</si>
  <si>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</si>
  <si>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</si>
  <si>
    <t>For large manufacturing firms</t>
  </si>
  <si>
    <t>Default Probabilities over time (1 - 10 year time horizons)</t>
  </si>
  <si>
    <t>If interest coverage ratio is</t>
  </si>
  <si>
    <t>Rating</t>
  </si>
  <si>
    <t>R &amp; D Converter</t>
  </si>
  <si>
    <t>&gt;</t>
  </si>
  <si>
    <t>≤ to</t>
  </si>
  <si>
    <t>Rating is</t>
  </si>
  <si>
    <t>Spread is</t>
  </si>
  <si>
    <t>AAA</t>
  </si>
  <si>
    <t>This spreadsheet converts R&amp;D expenses from operating to capital expenses. It makes the appropriate adjustments to operating income, net</t>
  </si>
  <si>
    <t>income, the book value of assets and the book value of equity.</t>
  </si>
  <si>
    <t>D2/D</t>
  </si>
  <si>
    <t>AA</t>
  </si>
  <si>
    <t>C2/C</t>
  </si>
  <si>
    <t>A</t>
  </si>
  <si>
    <t>Over how many years do you want to amortize R&amp;D expenses</t>
  </si>
  <si>
    <t>Ca2/CC</t>
  </si>
  <si>
    <t>BBB</t>
  </si>
  <si>
    <t>Caa/CCC</t>
  </si>
  <si>
    <t>! If in doubt, use the lookup table below</t>
  </si>
  <si>
    <t>BB</t>
  </si>
  <si>
    <t>Enter the current year's R&amp;D expense =</t>
  </si>
  <si>
    <t>B3/B-</t>
  </si>
  <si>
    <t>B</t>
  </si>
  <si>
    <t>B2/B</t>
  </si>
  <si>
    <t>CCC/C</t>
  </si>
  <si>
    <t>The maximum allowed is ten years</t>
  </si>
  <si>
    <t>B1/B+</t>
  </si>
  <si>
    <t>Enter R&amp; D expenses for past years: the number of years that you will need to enter will be determined by the amortization period</t>
  </si>
  <si>
    <t>Ba2/BB</t>
  </si>
  <si>
    <t>Do not input numbers in the first column (Year). It will get automatically updated  based on the input above.</t>
  </si>
  <si>
    <t>Ba1/BB+</t>
  </si>
  <si>
    <t>Year</t>
  </si>
  <si>
    <t>R&amp; D Expenses</t>
  </si>
  <si>
    <t>Baa2/BBB</t>
  </si>
  <si>
    <t>A3/A-</t>
  </si>
  <si>
    <t>A2/A</t>
  </si>
  <si>
    <t>! Year -1 is the year prior to the most recent 12 months</t>
  </si>
  <si>
    <t>A1/A+</t>
  </si>
  <si>
    <t>Aa2/AA</t>
  </si>
  <si>
    <t>Aaa/AAA</t>
  </si>
  <si>
    <t>For smaller and riskier firms</t>
  </si>
  <si>
    <t>! Year -2 is the two years prior to the most recent 12 months</t>
  </si>
  <si>
    <t>greater than</t>
  </si>
  <si>
    <t>R&amp;D Expense</t>
  </si>
  <si>
    <t>Unamortized portion</t>
  </si>
  <si>
    <t>Amortization this year</t>
  </si>
  <si>
    <t>Current</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</si>
  <si>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</si>
  <si>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</si>
  <si>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</si>
  <si>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</si>
  <si>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</si>
  <si>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Commitment</t>
  </si>
  <si>
    <t>! Year 1 is next year, ….</t>
  </si>
  <si>
    <t>6 and beyond</t>
  </si>
  <si>
    <t>Pre-tax Cost of Debt =</t>
  </si>
  <si>
    <t>! If you do not have a cost of debt, use the synthetic rating estimator</t>
  </si>
  <si>
    <t>Value of Research Asset =</t>
  </si>
  <si>
    <t>Number of years embedded in yr 6 estimate =</t>
  </si>
  <si>
    <t>! I use the average lease expense over the first five years</t>
  </si>
  <si>
    <t>to estimate the number of years of expenses in yr 6</t>
  </si>
  <si>
    <t>Converting Operating Leases into debt</t>
  </si>
  <si>
    <t>Amortization of asset for current year =</t>
  </si>
  <si>
    <t>Present Value</t>
  </si>
  <si>
    <t>Adjustment to Operating Income =</t>
  </si>
  <si>
    <t>! A positive number indicates an increase in operating income (add to reported EBIT)</t>
  </si>
  <si>
    <t>Tax Effect of R&amp;D Expensing</t>
  </si>
  <si>
    <t>Lookup Table for Amortizable Lives</t>
  </si>
  <si>
    <t>Industry Name</t>
  </si>
  <si>
    <t>Amortization Period</t>
  </si>
  <si>
    <t>Advertising</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</si>
  <si>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</si>
  <si>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 Commitment beyond year 6 converted into an annuity for ten years</t>
  </si>
  <si>
    <t>Aerospace/Defense</t>
  </si>
  <si>
    <t>Debt Value of leases =</t>
  </si>
  <si>
    <t>Air Transport</t>
  </si>
  <si>
    <t>Aluminum</t>
  </si>
  <si>
    <t>Restated Financials</t>
  </si>
  <si>
    <t>Depreciation on Operating Lease Asset =</t>
  </si>
  <si>
    <t>Apparel</t>
  </si>
  <si>
    <t>Estimation of Current Cost of Capital</t>
  </si>
  <si>
    <t>! I use straight line depreciation</t>
  </si>
  <si>
    <t>Auto &amp; Truck</t>
  </si>
  <si>
    <t>Adjustment to Operating Earnings =</t>
  </si>
  <si>
    <t>Operating Countries ERP calculator</t>
  </si>
  <si>
    <t>Auto Parts (OEM)</t>
  </si>
  <si>
    <t>! Add this amount to pre-tax operating income</t>
  </si>
  <si>
    <t>Adjustment to Total Debt outstanding =</t>
  </si>
  <si>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</si>
  <si>
    <t>Auto Parts (Replacement)</t>
  </si>
  <si>
    <t>Country</t>
  </si>
  <si>
    <t>ERP</t>
  </si>
  <si>
    <t>Weight</t>
  </si>
  <si>
    <t>Bank</t>
  </si>
  <si>
    <t>Weighted ERP</t>
  </si>
  <si>
    <t>United States</t>
  </si>
  <si>
    <t>Bank (Canadian)</t>
  </si>
  <si>
    <t>! Add this amount to debt</t>
  </si>
  <si>
    <t>Adjustment to Depreciation =</t>
  </si>
  <si>
    <t>Bank (Foreign)</t>
  </si>
  <si>
    <t>Bank (Midwest)</t>
  </si>
  <si>
    <t>Beverage (Alcoholic)</t>
  </si>
  <si>
    <t>Beverage (Soft Drink)</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</si>
  <si>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</si>
  <si>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Building Materials</t>
  </si>
  <si>
    <t>France</t>
  </si>
  <si>
    <t>Cable TV</t>
  </si>
  <si>
    <t>Canadian Energy</t>
  </si>
  <si>
    <t>China</t>
  </si>
  <si>
    <t>Cement &amp; Aggregates</t>
  </si>
  <si>
    <t>Chemical (Basic)</t>
  </si>
  <si>
    <t>Brazil</t>
  </si>
  <si>
    <t>Chemical (Diversified)</t>
  </si>
  <si>
    <t>Chemical (Specialty)</t>
  </si>
  <si>
    <t>Coal/Alternate Energy</t>
  </si>
  <si>
    <t>Computer &amp; Peripherals</t>
  </si>
  <si>
    <t>Computer Software &amp; Svcs</t>
  </si>
  <si>
    <t>Copper</t>
  </si>
  <si>
    <t>Which approach will you be using?</t>
  </si>
  <si>
    <t>Detailed</t>
  </si>
  <si>
    <t>Diversified Co.</t>
  </si>
  <si>
    <t>Drug</t>
  </si>
  <si>
    <t>If direct input, enter cost of capital to use</t>
  </si>
  <si>
    <t>Drugstore</t>
  </si>
  <si>
    <t>Educational Services</t>
  </si>
  <si>
    <t>Electric Util. (Central)</t>
  </si>
  <si>
    <t>Cost of capital based upon approach =</t>
  </si>
  <si>
    <t>Electric Utility (East)</t>
  </si>
  <si>
    <t>Electric Utility (West)</t>
  </si>
  <si>
    <t>Electrical Equipment</t>
  </si>
  <si>
    <t>Electronics</t>
  </si>
  <si>
    <t>Entertainment</t>
  </si>
  <si>
    <t>Environmental</t>
  </si>
  <si>
    <t>Financial Services</t>
  </si>
  <si>
    <t>Food Processing</t>
  </si>
  <si>
    <t>Approach 1: Detailed Cost of Capital</t>
  </si>
  <si>
    <t>Food Wholesalers</t>
  </si>
  <si>
    <t>Foreign Electron/Entertn</t>
  </si>
  <si>
    <t>Foreign Telecom.</t>
  </si>
  <si>
    <t>Rest of the World</t>
  </si>
  <si>
    <t>Furn./Home Furnishings</t>
  </si>
  <si>
    <t>Gold/Silver Mining</t>
  </si>
  <si>
    <t>Number of Shares outstanding =</t>
  </si>
  <si>
    <t>Grocery</t>
  </si>
  <si>
    <t>Healthcare Info Systems</t>
  </si>
  <si>
    <t>Home Appliance</t>
  </si>
  <si>
    <t>Current Market Price per share =</t>
  </si>
  <si>
    <t>Operating Regions ERP calculator</t>
  </si>
  <si>
    <t>Homebuilding</t>
  </si>
  <si>
    <t>Region</t>
  </si>
  <si>
    <t>Approach for estimating beta</t>
  </si>
  <si>
    <t>Single Business(Global)</t>
  </si>
  <si>
    <t>Hotel/Gaming</t>
  </si>
  <si>
    <t>Household Products</t>
  </si>
  <si>
    <t>Industrial Services</t>
  </si>
  <si>
    <t>Insurance (Diversified)</t>
  </si>
  <si>
    <t>Insurance (Life)</t>
  </si>
  <si>
    <t>If direct input, enter levered beta (or regression beta)</t>
  </si>
  <si>
    <t>Insurance (Prop/Casualty)</t>
  </si>
  <si>
    <t>Internet</t>
  </si>
  <si>
    <t>Investment Co. (Domestic)</t>
  </si>
  <si>
    <t>Unlevered beta =</t>
  </si>
  <si>
    <t>Investment Co. (Foreign)</t>
  </si>
  <si>
    <t>Investment Co. (Income)</t>
  </si>
  <si>
    <t>Machinery</t>
  </si>
  <si>
    <t>Riskfree Rate =</t>
  </si>
  <si>
    <t>Manuf. Housing/Rec Veh</t>
  </si>
  <si>
    <t>Maritime</t>
  </si>
  <si>
    <t>What approach do you want to use to input ERP?</t>
  </si>
  <si>
    <t>Country of Incorporation</t>
  </si>
  <si>
    <t>Medical Services</t>
  </si>
  <si>
    <t>Direct input for ERP (if you choose "will input"</t>
  </si>
  <si>
    <t>Medical Supplies</t>
  </si>
  <si>
    <t>Metal Fabricating</t>
  </si>
  <si>
    <t>Equity Risk Premium used in cost of equity =</t>
  </si>
  <si>
    <t>Metals &amp; Mining (Div.)</t>
  </si>
  <si>
    <t>Revenue 3Y CAGR</t>
  </si>
  <si>
    <t>Natural Gas (Distrib.)</t>
  </si>
  <si>
    <t>Revenue 5Y CAGR</t>
  </si>
  <si>
    <t>Revenue 10Y CAGR</t>
  </si>
  <si>
    <t>Columna 1</t>
  </si>
  <si>
    <t>Columna 2</t>
  </si>
  <si>
    <t>Columna 3</t>
  </si>
  <si>
    <t>Natural Gas (Diversified)</t>
  </si>
  <si>
    <t>Columna 4</t>
  </si>
  <si>
    <t>Columna 5</t>
  </si>
  <si>
    <t>Columna 6</t>
  </si>
  <si>
    <t>Columna 7</t>
  </si>
  <si>
    <t>Columna 8</t>
  </si>
  <si>
    <t>Newspaper</t>
  </si>
  <si>
    <t>Columna 9</t>
  </si>
  <si>
    <t>Debt</t>
  </si>
  <si>
    <t>Columna 10</t>
  </si>
  <si>
    <t>Columna 11</t>
  </si>
  <si>
    <t>Office Equip &amp; Supplies</t>
  </si>
  <si>
    <t>Book Value of Straight Debt =</t>
  </si>
  <si>
    <t>EMEA</t>
  </si>
  <si>
    <t>Oilfield Services/Equip.</t>
  </si>
  <si>
    <t>Interest Expense on Debt =</t>
  </si>
  <si>
    <t>Packaging &amp; Container</t>
  </si>
  <si>
    <t>Average Maturity =</t>
  </si>
  <si>
    <t>Paper &amp; Forest Products</t>
  </si>
  <si>
    <t>Petroleum (Integrated)</t>
  </si>
  <si>
    <t>Approach for estimating pre-tax cost of debt</t>
  </si>
  <si>
    <t>Actual rating</t>
  </si>
  <si>
    <t>If direct input, input the pre-tax cost of debt</t>
  </si>
  <si>
    <t>Petroleum (Producing)</t>
  </si>
  <si>
    <t>Multi Business (US Industry Averages)</t>
  </si>
  <si>
    <t>If actual rating, input the rating</t>
  </si>
  <si>
    <t>Business</t>
  </si>
  <si>
    <t>Estimated Value</t>
  </si>
  <si>
    <t>Unlevered Beta</t>
  </si>
  <si>
    <t>Precision Instrument</t>
  </si>
  <si>
    <t>If synethetic rating, input the type of company</t>
  </si>
  <si>
    <t>Software (System &amp; Application)</t>
  </si>
  <si>
    <t>Publishing</t>
  </si>
  <si>
    <t>R.E.I.T.</t>
  </si>
  <si>
    <t>Railroad</t>
  </si>
  <si>
    <t>Recreation</t>
  </si>
  <si>
    <t>Restaurant</t>
  </si>
  <si>
    <t>Retail (Special Lines)</t>
  </si>
  <si>
    <t>Retail Building Supply</t>
  </si>
  <si>
    <t>Tax Rate =</t>
  </si>
  <si>
    <t>Retail Store</t>
  </si>
  <si>
    <t>Securities Brokerage</t>
  </si>
  <si>
    <t>Semiconductor</t>
  </si>
  <si>
    <t>Semiconductor Cap Equip</t>
  </si>
  <si>
    <t>Shoe</t>
  </si>
  <si>
    <t>Steel (General)</t>
  </si>
  <si>
    <t>Book Value of Convertible Debt =</t>
  </si>
  <si>
    <t>Steel (Integrated)</t>
  </si>
  <si>
    <t>Interest Expense on Convertible =</t>
  </si>
  <si>
    <t>Estimating the likelihood of failure</t>
  </si>
  <si>
    <t>Telecom. Equipment</t>
  </si>
  <si>
    <t>Approach 1: Using a corporate bond rating</t>
  </si>
  <si>
    <t>Telecom. Services</t>
  </si>
  <si>
    <t>Maturity of Convertible Bond =</t>
  </si>
  <si>
    <t>Textile</t>
  </si>
  <si>
    <t>Market Value of Convertible =</t>
  </si>
  <si>
    <t>Thrift</t>
  </si>
  <si>
    <t>Tire &amp; Rubber</t>
  </si>
  <si>
    <t>Tobacco</t>
  </si>
  <si>
    <t>Toiletries/Cosmetics</t>
  </si>
  <si>
    <t>Trucking/Transp. Leasing</t>
  </si>
  <si>
    <t>Utility (Foreign)</t>
  </si>
  <si>
    <t>The costt of capital  is in US dollars, using the riskfree rate at the start of the year. It will be adjusted for the difference in riskfree rates to make it more current and to change currencies.</t>
  </si>
  <si>
    <t>Water Utility</t>
  </si>
  <si>
    <t>Debt value of operating leases =</t>
  </si>
  <si>
    <t>Thus, if you use the 10-year likelihood of failure, the chance of failure for a BB rated firm is 11.78%.</t>
  </si>
  <si>
    <t>Preferred Stock</t>
  </si>
  <si>
    <t>Approach 2: Using corporate age (for young companies)</t>
  </si>
  <si>
    <t>Survial Rate Data from Bureau of Labor Statistics (2022)</t>
  </si>
  <si>
    <t>Agriculture</t>
  </si>
  <si>
    <t>Mining</t>
  </si>
  <si>
    <t>Utilities</t>
  </si>
  <si>
    <t>Construction</t>
  </si>
  <si>
    <t>Manufacturing</t>
  </si>
  <si>
    <t>Retail</t>
  </si>
  <si>
    <t>Transportation</t>
  </si>
  <si>
    <t>Information</t>
  </si>
  <si>
    <t>Health Care</t>
  </si>
  <si>
    <t>Number of Preferred Shares =</t>
  </si>
  <si>
    <t>All Sectors</t>
  </si>
  <si>
    <t>Failure Rate given age</t>
  </si>
  <si>
    <t>Promedio</t>
  </si>
  <si>
    <t>Current Market Price per Share=</t>
  </si>
  <si>
    <t>Annual Dividend per Share =</t>
  </si>
  <si>
    <t>Multi Business (Global Industry Averages)</t>
  </si>
  <si>
    <t>Estimating Market Value of Straight Debt =</t>
  </si>
  <si>
    <t>Mediana</t>
  </si>
  <si>
    <t>Estimated Value of Straight Debt in Convertible =</t>
  </si>
  <si>
    <t>Value of Debt in Operating leases =</t>
  </si>
  <si>
    <t>Source; Bureau of Labor Statistics</t>
  </si>
  <si>
    <t>Estimated Value of Equity in Convertible =</t>
  </si>
  <si>
    <t>Thus, if you are valuing a technology firm that is 6 years old, the chance of failure is 11.70%.</t>
  </si>
  <si>
    <t>Factors to consider</t>
  </si>
  <si>
    <t>Levered Beta for equity =</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</si>
  <si>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</si>
  <si>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</si>
  <si>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</si>
  <si>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</si>
  <si>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 xml:space="preserve">Debt </t>
  </si>
  <si>
    <t>Capital</t>
  </si>
  <si>
    <t>Market Value</t>
  </si>
  <si>
    <t>The cost of capital  is in US dollars, using the riskfree rate at the start of the year. It will be adjusted for the difference in riskfree rates to make it more current and to change currencies.</t>
  </si>
  <si>
    <t>Weight in Cost of Capital</t>
  </si>
  <si>
    <t>Cost of Component</t>
  </si>
  <si>
    <t>Mature Market ERP +</t>
  </si>
  <si>
    <t>Updated January 1, 2026</t>
  </si>
  <si>
    <t>Changing this number will update all your country equity risk premiums.</t>
  </si>
  <si>
    <t>Moody's rating</t>
  </si>
  <si>
    <t>Adj. Default Spread</t>
  </si>
  <si>
    <t>Equity Risk Premium</t>
  </si>
  <si>
    <t>Country Risk Premium</t>
  </si>
  <si>
    <t>Corporate Tax Rate</t>
  </si>
  <si>
    <t>Abu Dhabi</t>
  </si>
  <si>
    <t>Aa2</t>
  </si>
  <si>
    <t>Albania</t>
  </si>
  <si>
    <t>Ba3</t>
  </si>
  <si>
    <t>Algeria</t>
  </si>
  <si>
    <t>NR</t>
  </si>
  <si>
    <t>Andorra (Principality of)</t>
  </si>
  <si>
    <t>Baa1</t>
  </si>
  <si>
    <t>Angola</t>
  </si>
  <si>
    <t>B3</t>
  </si>
  <si>
    <t>Anguilla</t>
  </si>
  <si>
    <t>Antigua &amp; Barbuda</t>
  </si>
  <si>
    <t>Argentina</t>
  </si>
  <si>
    <t>Caa1</t>
  </si>
  <si>
    <t>Armenia</t>
  </si>
  <si>
    <t>Aruba</t>
  </si>
  <si>
    <t>Baa3</t>
  </si>
  <si>
    <t>Approach 2: industry average cost of capital, adjusted for riskfre rate differences</t>
  </si>
  <si>
    <t>Australia</t>
  </si>
  <si>
    <t>Aaa</t>
  </si>
  <si>
    <t>Austria</t>
  </si>
  <si>
    <t>Aa1</t>
  </si>
  <si>
    <t xml:space="preserve">Industry </t>
  </si>
  <si>
    <t>Single Business(US)</t>
  </si>
  <si>
    <t>Azerbaijan</t>
  </si>
  <si>
    <t>Bahamas</t>
  </si>
  <si>
    <t>B1</t>
  </si>
  <si>
    <t>Cost of capital, adjusted for riskfree rate difference</t>
  </si>
  <si>
    <t>Bahrain</t>
  </si>
  <si>
    <t>B2</t>
  </si>
  <si>
    <t>Bangladesh</t>
  </si>
  <si>
    <t>Barbados</t>
  </si>
  <si>
    <t>Belarus</t>
  </si>
  <si>
    <t>C</t>
  </si>
  <si>
    <t>Belgium</t>
  </si>
  <si>
    <t>Aa3</t>
  </si>
  <si>
    <t>Belize</t>
  </si>
  <si>
    <t>Benin</t>
  </si>
  <si>
    <t>Bermuda</t>
  </si>
  <si>
    <t>A2</t>
  </si>
  <si>
    <t>Bolivia</t>
  </si>
  <si>
    <t>Ca</t>
  </si>
  <si>
    <t>Bosnia and Herzegovina</t>
  </si>
  <si>
    <t>Botswana</t>
  </si>
  <si>
    <t>Approach 3: Uae histogram of costs of capital of all publicly traded firms</t>
  </si>
  <si>
    <t>Ba1</t>
  </si>
  <si>
    <t>Which grouping (US, Emerging Markets, Global)</t>
  </si>
  <si>
    <t>British Virgin Islands</t>
  </si>
  <si>
    <t>Brunei</t>
  </si>
  <si>
    <t>Bulgaria</t>
  </si>
  <si>
    <t>Burkina Faso</t>
  </si>
  <si>
    <t>US</t>
  </si>
  <si>
    <t>Cambodia</t>
  </si>
  <si>
    <t>Which risk grouping does your company fall in?</t>
  </si>
  <si>
    <t>Cameroon</t>
  </si>
  <si>
    <t>Cost of capital based upon decile/group chosen</t>
  </si>
  <si>
    <t>Canada</t>
  </si>
  <si>
    <t>Cape Verde</t>
  </si>
  <si>
    <t>Cayman Islands</t>
  </si>
  <si>
    <t>Channel Islands</t>
  </si>
  <si>
    <t>Chile</t>
  </si>
  <si>
    <t>A1</t>
  </si>
  <si>
    <t>Colombia</t>
  </si>
  <si>
    <t>Congo (Democratic Republic of)</t>
  </si>
  <si>
    <t>First Decile</t>
  </si>
  <si>
    <t>First Quartile</t>
  </si>
  <si>
    <t>Congo (Republic of)</t>
  </si>
  <si>
    <t>Caa2</t>
  </si>
  <si>
    <t>Third Quartile</t>
  </si>
  <si>
    <t>Ninth Decile</t>
  </si>
  <si>
    <t>Emerging</t>
  </si>
  <si>
    <t>Cook Islands</t>
  </si>
  <si>
    <t>Costa Rica</t>
  </si>
  <si>
    <t>Ba2</t>
  </si>
  <si>
    <t>Europe</t>
  </si>
  <si>
    <t>Croatia</t>
  </si>
  <si>
    <t>A3</t>
  </si>
  <si>
    <t>Global</t>
  </si>
  <si>
    <t>Cuba</t>
  </si>
  <si>
    <t>Japan</t>
  </si>
  <si>
    <t>Curaçao</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</si>
  <si>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</si>
  <si>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Cyprus</t>
  </si>
  <si>
    <t>Czech Republic</t>
  </si>
  <si>
    <t>Denmark</t>
  </si>
  <si>
    <t>Dominican Republic</t>
  </si>
  <si>
    <t>Ecuador</t>
  </si>
  <si>
    <t>Caa3</t>
  </si>
  <si>
    <t>Egypt</t>
  </si>
  <si>
    <t>El Salvador</t>
  </si>
  <si>
    <t>Estonia</t>
  </si>
  <si>
    <t>Ethiopia</t>
  </si>
  <si>
    <t>Falkland Islands</t>
  </si>
  <si>
    <t>Fiji</t>
  </si>
  <si>
    <t>Finland</t>
  </si>
  <si>
    <t>French Guiana</t>
  </si>
  <si>
    <t>Gabon</t>
  </si>
  <si>
    <t>Gambia</t>
  </si>
  <si>
    <t>Georgia</t>
  </si>
  <si>
    <t>Germany</t>
  </si>
  <si>
    <t>Ghana</t>
  </si>
  <si>
    <t>Gibraltar</t>
  </si>
  <si>
    <t>Greece</t>
  </si>
  <si>
    <t>Greenland</t>
  </si>
  <si>
    <t>Guatemala</t>
  </si>
  <si>
    <t>Guernsey (States of)</t>
  </si>
  <si>
    <t>Guinea</t>
  </si>
  <si>
    <t>Guinea-Bissau</t>
  </si>
  <si>
    <t>Guyana</t>
  </si>
  <si>
    <t>Haiti</t>
  </si>
  <si>
    <t>Honduras</t>
  </si>
  <si>
    <t>Hong Kong</t>
  </si>
  <si>
    <t>Hungary</t>
  </si>
  <si>
    <t>Baa2</t>
  </si>
  <si>
    <t>Iceland</t>
  </si>
  <si>
    <t>India</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</si>
  <si>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</si>
  <si>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</si>
  <si>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</si>
  <si>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</si>
  <si>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</si>
  <si>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</si>
  <si>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</si>
  <si>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</si>
  <si>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</si>
  <si>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</si>
  <si>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</si>
  <si>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</si>
  <si>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</si>
  <si>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</si>
  <si>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</si>
  <si>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</si>
  <si>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</si>
  <si>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</si>
  <si>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</si>
  <si>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</si>
  <si>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</si>
  <si>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</si>
  <si>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</si>
  <si>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</si>
  <si>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</si>
  <si>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</si>
  <si>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</si>
  <si>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</si>
  <si>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</si>
  <si>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</si>
  <si>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</si>
  <si>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</si>
  <si>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</si>
  <si>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</si>
  <si>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</si>
  <si>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Moldova</t>
  </si>
  <si>
    <t>Monaco</t>
  </si>
  <si>
    <t>Mongolia</t>
  </si>
  <si>
    <t>Montenegro</t>
  </si>
  <si>
    <t>Montserrat</t>
  </si>
  <si>
    <t>Morocco</t>
  </si>
  <si>
    <t>Mozambique</t>
  </si>
  <si>
    <t>Myanmar</t>
  </si>
  <si>
    <t>Namibia</t>
  </si>
  <si>
    <t>Nepal</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</si>
  <si>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</si>
  <si>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</si>
  <si>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</si>
  <si>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</si>
  <si>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</si>
  <si>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</si>
  <si>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</si>
  <si>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</si>
  <si>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</si>
  <si>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</si>
  <si>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</si>
  <si>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</si>
  <si>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</si>
  <si>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</si>
  <si>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</si>
  <si>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</si>
  <si>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</si>
  <si>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</si>
  <si>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</si>
  <si>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</si>
  <si>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</si>
  <si>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</si>
  <si>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</si>
  <si>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</si>
  <si>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</si>
  <si>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</si>
  <si>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</si>
  <si>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</si>
  <si>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</si>
  <si>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Singapore</t>
  </si>
  <si>
    <t>Slovakia</t>
  </si>
  <si>
    <t>Slovenia</t>
  </si>
  <si>
    <t>Solomon Islands</t>
  </si>
  <si>
    <t>Somalia</t>
  </si>
  <si>
    <t>South Africa</t>
  </si>
  <si>
    <t>South Korea</t>
  </si>
  <si>
    <t>Spain</t>
  </si>
  <si>
    <t>Sri Lanka</t>
  </si>
  <si>
    <t>St. Maarten</t>
  </si>
  <si>
    <t>St. Vincent &amp; the Grenadines</t>
  </si>
  <si>
    <t>Sudan</t>
  </si>
  <si>
    <t>Suriname</t>
  </si>
  <si>
    <t>Swaziland</t>
  </si>
  <si>
    <t>Sweden</t>
  </si>
  <si>
    <t>Switzerland</t>
  </si>
  <si>
    <t>Syria</t>
  </si>
  <si>
    <t>Taiwan</t>
  </si>
  <si>
    <t>Tajikistan</t>
  </si>
  <si>
    <t>Tanzania</t>
  </si>
  <si>
    <t>Thailand</t>
  </si>
  <si>
    <t>Togo</t>
  </si>
  <si>
    <t>Trinidad &amp;' Tobago</t>
  </si>
  <si>
    <t>Tunisia</t>
  </si>
  <si>
    <t>Turkey</t>
  </si>
  <si>
    <t>Turks &amp; Caicos Islands</t>
  </si>
  <si>
    <t>Number of firms</t>
  </si>
  <si>
    <t>Uganda</t>
  </si>
  <si>
    <t>Annual Average Revenue growth - Last 5 years</t>
  </si>
  <si>
    <t>Ukraine</t>
  </si>
  <si>
    <t>Pre-tax Operating Margin (Unadjusted)</t>
  </si>
  <si>
    <t>After-tax ROC</t>
  </si>
  <si>
    <t>Average effective tax rate</t>
  </si>
  <si>
    <t>Equity (Levered) Beta</t>
  </si>
  <si>
    <t>Cost of equity</t>
  </si>
  <si>
    <t>Std deviation in stock prices</t>
  </si>
  <si>
    <t>Pre-tax cost of debt</t>
  </si>
  <si>
    <t>Market Debt/Capital</t>
  </si>
  <si>
    <t>United Arab Emirates</t>
  </si>
  <si>
    <t>Sales/Capital</t>
  </si>
  <si>
    <t>Price/Book</t>
  </si>
  <si>
    <t>United Kingdom</t>
  </si>
  <si>
    <t>Trailing PE</t>
  </si>
  <si>
    <t>Non-cash WC as % of Revenues</t>
  </si>
  <si>
    <t>Cap Ex as % of Revenues</t>
  </si>
  <si>
    <t>Net Cap Ex as % of Revenues</t>
  </si>
  <si>
    <t>ROE</t>
  </si>
  <si>
    <t>Dividend Payout Ratio</t>
  </si>
  <si>
    <t>Equity Reinvestment Rate</t>
  </si>
  <si>
    <t>Pre-tax Operating Margin (Lease &amp; R&amp;D adjusted)</t>
  </si>
  <si>
    <t>Uruguay</t>
  </si>
  <si>
    <t>Uzbekistan</t>
  </si>
  <si>
    <t>Venezuela</t>
  </si>
  <si>
    <t>Vietnam</t>
  </si>
  <si>
    <t>Yemen</t>
  </si>
  <si>
    <t>Zambia</t>
  </si>
  <si>
    <t>Zimbabwe</t>
  </si>
  <si>
    <t>Auto Parts</t>
  </si>
  <si>
    <t>Bank (Money Center)</t>
  </si>
  <si>
    <t>NA</t>
  </si>
  <si>
    <t>Weighted Average: Default Spread</t>
  </si>
  <si>
    <t>Tax Rate</t>
  </si>
  <si>
    <t>Weighted Average: CRP</t>
  </si>
  <si>
    <t>Total GDP (in $ millions)</t>
  </si>
  <si>
    <t>Africa</t>
  </si>
  <si>
    <t>Banks (Regional)</t>
  </si>
  <si>
    <t>Beverage (Soft)</t>
  </si>
  <si>
    <t>Asia</t>
  </si>
  <si>
    <t>Australia &amp; New Zealand</t>
  </si>
  <si>
    <t>Broadcasting</t>
  </si>
  <si>
    <t>Caribbean</t>
  </si>
  <si>
    <t>Brokerage &amp; Investment Banking</t>
  </si>
  <si>
    <t>Central and South America</t>
  </si>
  <si>
    <t>Eastern Europe</t>
  </si>
  <si>
    <t>Middle East</t>
  </si>
  <si>
    <t>North America</t>
  </si>
  <si>
    <t>Western Europe</t>
  </si>
  <si>
    <t>Business &amp; Consumer Services</t>
  </si>
  <si>
    <t>Default Spread</t>
  </si>
  <si>
    <t>CRP</t>
  </si>
  <si>
    <t>Africa &amp; Mid East</t>
  </si>
  <si>
    <t>#DIV/0!</t>
  </si>
  <si>
    <t>Coal &amp; Related Energy</t>
  </si>
  <si>
    <t>Australia, NZ &amp; Canada</t>
  </si>
  <si>
    <t>Computer Services</t>
  </si>
  <si>
    <t>Latin America &amp; Caribbean</t>
  </si>
  <si>
    <t>Computers/Peripherals</t>
  </si>
  <si>
    <t>Construction Supplies</t>
  </si>
  <si>
    <t>Emerging Markets</t>
  </si>
  <si>
    <t>Diversified</t>
  </si>
  <si>
    <t>Small Asia (No India, China &amp; Japan)</t>
  </si>
  <si>
    <t>Drugs (Biotechnology)</t>
  </si>
  <si>
    <t>Drugs (Pharmaceutical)</t>
  </si>
  <si>
    <t>Education</t>
  </si>
  <si>
    <t>For other regional groupings</t>
  </si>
  <si>
    <t>Electronics (Consumer &amp; Office)</t>
  </si>
  <si>
    <t>Electronics (General)</t>
  </si>
  <si>
    <t>Engineering/Construction</t>
  </si>
  <si>
    <t>Environmental &amp; Waste Services</t>
  </si>
  <si>
    <t>Farming/Agriculture</t>
  </si>
  <si>
    <t>Financial Svcs. (Non-bank &amp; Insurance)</t>
  </si>
  <si>
    <t>Furn/Home Furnishings</t>
  </si>
  <si>
    <t>Green &amp; Renewable Energy</t>
  </si>
  <si>
    <t>Healthcare Products</t>
  </si>
  <si>
    <t>Healthcare Support Services</t>
  </si>
  <si>
    <t>Heathcare Information and Technology</t>
  </si>
  <si>
    <t>Hospitals/Healthcare Facilities</t>
  </si>
  <si>
    <t>Information Services</t>
  </si>
  <si>
    <t>Insurance (General)</t>
  </si>
  <si>
    <t>Insurance (Prop/Cas.)</t>
  </si>
  <si>
    <t>Investments &amp; Asset Management</t>
  </si>
  <si>
    <t>Metals &amp; Mining</t>
  </si>
  <si>
    <t>Office Equipment &amp; Services</t>
  </si>
  <si>
    <t>Oil/Gas (Integrated)</t>
  </si>
  <si>
    <t>Oil/Gas (Production and Exploration)</t>
  </si>
  <si>
    <t>Oil/Gas Distribution</t>
  </si>
  <si>
    <t>Oilfield Svcs/Equip.</t>
  </si>
  <si>
    <t>Revenue Growth Rate = Last 3 years</t>
  </si>
  <si>
    <t>Pre-tax Operating Margin</t>
  </si>
  <si>
    <t>Sales to Invested Capital</t>
  </si>
  <si>
    <t>Paper/Forest Products</t>
  </si>
  <si>
    <t>Beta</t>
  </si>
  <si>
    <t>Debt to Capital Ratio</t>
  </si>
  <si>
    <t>Power</t>
  </si>
  <si>
    <t>Industry Group</t>
  </si>
  <si>
    <t>Precious Metals</t>
  </si>
  <si>
    <t>count</t>
  </si>
  <si>
    <t>First Quartlie</t>
  </si>
  <si>
    <t>Publishing &amp; Newspapers</t>
  </si>
  <si>
    <t>Real Estate (Development)</t>
  </si>
  <si>
    <t>Real Estate (General/Diversified)</t>
  </si>
  <si>
    <t>Real Estate (Operations &amp; Services)</t>
  </si>
  <si>
    <t>Reinsurance</t>
  </si>
  <si>
    <t>Restaurant/Dining</t>
  </si>
  <si>
    <t>Retail (Automotive)</t>
  </si>
  <si>
    <t>Retail (Building Supply)</t>
  </si>
  <si>
    <t>Retail (Distributors)</t>
  </si>
  <si>
    <t>Retail (General)</t>
  </si>
  <si>
    <t xml:space="preserve">If you are midway through a year, and want to compute updated trailing twelve month numbers, this worksheet may help. You will need your most recent quartely financials (or 10Q) as well as your most recent annual (or 10K). </t>
  </si>
  <si>
    <t>Retail (Grocery and Food)</t>
  </si>
  <si>
    <t>Retail (REITs)</t>
  </si>
  <si>
    <t>Last Annual</t>
  </si>
  <si>
    <t>First X months: Last year</t>
  </si>
  <si>
    <t>First X months: Current year</t>
  </si>
  <si>
    <t>Trailing 12 month</t>
  </si>
  <si>
    <t>Rubber&amp; Tires</t>
  </si>
  <si>
    <t>Semiconductor Equip</t>
  </si>
  <si>
    <t>Technology &amp; Content</t>
  </si>
  <si>
    <t>Shipbuilding &amp; Marine</t>
  </si>
  <si>
    <t>Interest expenses</t>
  </si>
  <si>
    <t>Software (Entertainment)</t>
  </si>
  <si>
    <t>Software (Internet)</t>
  </si>
  <si>
    <t>Cash and cross holdings</t>
  </si>
  <si>
    <t xml:space="preserve">Non-operating assets </t>
  </si>
  <si>
    <t>Steel</t>
  </si>
  <si>
    <t>Telecom (Wireless)</t>
  </si>
  <si>
    <t>Lease commitments</t>
  </si>
  <si>
    <t>Year 1</t>
  </si>
  <si>
    <t>Transportation (Railroads)</t>
  </si>
  <si>
    <t>Year 2</t>
  </si>
  <si>
    <t>Copy into operating lease worksheet</t>
  </si>
  <si>
    <t>Trucking</t>
  </si>
  <si>
    <t>Year 3</t>
  </si>
  <si>
    <t>Utility (General)</t>
  </si>
  <si>
    <t>Year 4</t>
  </si>
  <si>
    <t>Utility (Water)</t>
  </si>
  <si>
    <t>Beyond year 5</t>
  </si>
  <si>
    <t>Total Market</t>
  </si>
  <si>
    <t>Total Market (without financials)</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</si>
  <si>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</si>
  <si>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</si>
  <si>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</si>
  <si>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</si>
  <si>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</si>
  <si>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</si>
  <si>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</si>
  <si>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</si>
  <si>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</si>
  <si>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</si>
  <si>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</si>
  <si>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</si>
  <si>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Will input</t>
  </si>
  <si>
    <t>Direct input</t>
  </si>
  <si>
    <t>I will input</t>
  </si>
  <si>
    <t>Operating countries</t>
  </si>
  <si>
    <t>Operating regions</t>
  </si>
  <si>
    <t>Multibusiness(US)</t>
  </si>
  <si>
    <t>Distribution</t>
  </si>
  <si>
    <t>Multibusiness(Global)</t>
  </si>
  <si>
    <t>Resumen de Crecimiento y Márgenes</t>
  </si>
  <si>
    <t>Periodo</t>
  </si>
  <si>
    <t>Crecimiento (Ingresos)</t>
  </si>
  <si>
    <t>Margen EBIT</t>
  </si>
  <si>
    <t>Margen EBIT mediana</t>
  </si>
  <si>
    <t>CAGR 3Y</t>
  </si>
  <si>
    <t>CAGR 5Y</t>
  </si>
  <si>
    <t>CAGR 9Y</t>
  </si>
  <si>
    <t>Mínimo (10Y)</t>
  </si>
  <si>
    <t>Supuestos Recomendados (Modelo Base)</t>
  </si>
  <si>
    <t>Nota: 'Modelo Base' (Input sheet B27-B33) es el UNICO escenario que se fija por juicio del analista en esta plantilla -- Conservador y Optimista se derivan AUTOMATICAMENTE del historico real de la empresa. Esta hoja se completa (columnas Recomendación/Justificación) al analizar cada ticker, con la data real de 'Crecimiento y Margenes', 'Cualitativo' y 'Eficiencia de capital' como respaldo.</t>
  </si>
  <si>
    <t>Máximo (10Y)</t>
  </si>
  <si>
    <t>Supuestos de los Múltiplos (Salida FY+3)</t>
  </si>
  <si>
    <t>Como se fija el multiplo de salida en cada una de las 5 hojas de multiplos (EVFCFF, POCF, PE, PFCFE, EVEBITDA): el escenario BASE usa el MINIMO de los ultimos 4 años realizados de ese multiplo (celda J de cada bloque, ='MIN(B:E)') -- un ancla conservadora que evita extrapolar un multiplo de pico de mercado. Conservador = Base x 0,9 y Optimista = Base x 1,1. Cada bloque tiene una celda de override manual (columna J) -- si se escribe un numero ahi a mano, reemplaza el calculo automatico. La fila de evaluación (abajo) se completa al analizar cada ticker.</t>
  </si>
  <si>
    <t>Valor actual (Input sheet)</t>
  </si>
  <si>
    <t>Recomendación</t>
  </si>
  <si>
    <t>Justificación</t>
  </si>
  <si>
    <t>Mín (10Y)</t>
  </si>
  <si>
    <t>Conservador (x0,9)</t>
  </si>
  <si>
    <t>Máx (10Y)</t>
  </si>
  <si>
    <t>Base (MIN últimos 4Y)</t>
  </si>
  <si>
    <t>Industria Mediana</t>
  </si>
  <si>
    <t>Industria</t>
  </si>
  <si>
    <t>Industria Promedio</t>
  </si>
  <si>
    <t>Revenue growth rate - año 1</t>
  </si>
  <si>
    <t>Optimista (x1,1)</t>
  </si>
  <si>
    <t>Override manual activo (columna J)</t>
  </si>
  <si>
    <t>Promedio 5Y</t>
  </si>
  <si>
    <t>Promedio 10Y</t>
  </si>
  <si>
    <t>Mediana (10Y)</t>
  </si>
  <si>
    <t>Mínimo</t>
  </si>
  <si>
    <t>Operating margin - año 1</t>
  </si>
  <si>
    <t>Cuartil 1</t>
  </si>
  <si>
    <t>Revenue growth rate - años 2-5</t>
  </si>
  <si>
    <t>Target pre-tax operating margin (largo plazo)</t>
  </si>
  <si>
    <t>Sales to capital ratio - años 1-5</t>
  </si>
  <si>
    <t>Sales to capital ratio - años 6-10</t>
  </si>
  <si>
    <t>Cuartil 3</t>
  </si>
  <si>
    <t>Cuartil 4</t>
  </si>
  <si>
    <t>Evaluación: (completar al analizar el ticker)</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</si>
</sst>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quot;$&quot;\ #,##0.00"/>
    <numFmt numFmtId="165" formatCode="_([$$-409]* #,##0.00_);_([$$-409]* \(#,##0.00\);_([$$-409]* &quot;-&quot;??_);_(@_)"/>
    <numFmt numFmtId="166" formatCode="0.00&quot;x&quot;"/>
    <numFmt numFmtId="167" formatCode="_(&quot;$&quot;* #,##0.00_);_(&quot;$&quot;* \(#,##0.00\);_(&quot;$&quot;* &quot;-&quot;??_);_(@_)"/>
    <numFmt numFmtId="168" formatCode="yyyy\-mm\-dd"/>
    <numFmt numFmtId="169" formatCode="0.0%"/>
    <numFmt numFmtId="170" formatCode="&quot;$&quot;#,##0.00"/>
    <numFmt numFmtId="171" formatCode="\$#,##0.00"/>
    <numFmt numFmtId="172" formatCode="0.0"/>
    <numFmt numFmtId="173" formatCode="&quot;$&quot;#,##0"/>
    <numFmt numFmtId="174" formatCode="\$#,##0"/>
    <numFmt numFmtId="175" formatCode="_(&quot;$&quot;* #,##0_);_(&quot;$&quot;* \(#,##0\);_(&quot;$&quot;* &quot;-&quot;??_);_(@_)"/>
    <numFmt numFmtId="176" formatCode="0.0000"/>
    <numFmt numFmtId="177" formatCode="&quot;$&quot;#,##0.00_);[Red]\(&quot;$&quot;#,##0.00\)"/>
    <numFmt numFmtId="178" formatCode="_-* #,##0.00_-;\-* #,##0.00_-;_-* &quot;-&quot;??_-;_-@"/>
    <numFmt numFmtId="179" formatCode="\$#,##0;\(\$#,##0\)"/>
    <numFmt numFmtId="180" formatCode="\$#,##0.0;\(\$#,##0.0\)"/>
    <numFmt numFmtId="181" formatCode="[$₩-412]#,##0.00"/>
    <numFmt numFmtId="182" formatCode="#,##0.0000"/>
    <numFmt numFmtId="183" formatCode="_(* #,##0.0_);_(* \(#,##0.0\)_)\ ;_(* 0_)"/>
    <numFmt numFmtId="184" formatCode="&quot;$&quot;#,##0_);[Red]\(&quot;$&quot;#,##0\)"/>
    <numFmt numFmtId="185" formatCode="0.0000%"/>
    <numFmt numFmtId="186" formatCode="0.000%"/>
    <numFmt numFmtId="187" formatCode="#,##0.00%"/>
  </numFmts>
  <fonts count="79">
    <font>
      <sz val="11.0"/>
      <color rgb="FF000000"/>
      <name val="Arial"/>
      <scheme val="minor"/>
    </font>
    <font>
      <color theme="1"/>
      <name val="Arial"/>
      <scheme val="minor"/>
    </font>
    <font>
      <b/>
      <sz val="10.0"/>
      <color rgb="FFFFFFFF"/>
      <name val="Calibri"/>
    </font>
    <font>
      <b/>
      <sz val="11.0"/>
      <color rgb="FFFFFFFF"/>
      <name val="Montserrat"/>
    </font>
    <font>
      <b/>
      <sz val="11.0"/>
      <color theme="1"/>
      <name val="Roboto"/>
    </font>
    <font>
      <sz val="11.0"/>
      <color theme="1"/>
      <name val="Roboto"/>
    </font>
    <font>
      <b/>
      <sz val="11.0"/>
      <color rgb="FFFFFFFF"/>
      <name val="Roboto"/>
    </font>
    <font>
      <b/>
      <sz val="12.0"/>
      <color rgb="FFFFFFFF"/>
      <name val="Calibri"/>
    </font>
    <font>
      <b/>
      <sz val="18.0"/>
      <color rgb="FFFFFFFF"/>
      <name val="Roboto"/>
    </font>
    <font/>
    <font>
      <b/>
      <sz val="9.0"/>
      <color rgb="FFFFFFFF"/>
      <name val="Arial"/>
      <scheme val="minor"/>
    </font>
    <font>
      <b/>
      <sz val="20.0"/>
      <color rgb="FFFFFFFF"/>
      <name val="Calibri"/>
    </font>
    <font>
      <b/>
      <sz val="20.0"/>
      <color rgb="FF1F4E78"/>
      <name val="Arial"/>
      <scheme val="minor"/>
    </font>
    <font>
      <sz val="11.0"/>
      <color rgb="FFFFFFFF"/>
      <name val="Roboto"/>
    </font>
    <font>
      <b/>
      <sz val="11.0"/>
      <color theme="1"/>
      <name val="Arial"/>
    </font>
    <font>
      <sz val="11.0"/>
      <color rgb="FF191C20"/>
      <name val="Roboto"/>
    </font>
    <font>
      <sz val="11.0"/>
      <color rgb="FF1A1B20"/>
      <name val="Roboto"/>
    </font>
    <font>
      <sz val="11.0"/>
      <color theme="1"/>
      <name val="Arial"/>
    </font>
    <font>
      <b/>
      <sz val="11.0"/>
      <color rgb="FF1A1B20"/>
      <name val="Roboto"/>
    </font>
    <font>
      <sz val="11.0"/>
      <color theme="1"/>
      <name val="Calibri"/>
    </font>
    <font>
      <b/>
      <sz val="12.0"/>
      <color rgb="FF1F4E78"/>
      <name val="Arial"/>
      <scheme val="minor"/>
    </font>
    <font>
      <sz val="10.0"/>
      <color theme="1"/>
      <name val="Arial"/>
      <scheme val="minor"/>
    </font>
    <font>
      <b/>
      <sz val="11.0"/>
      <color theme="1"/>
      <name val="Arial"/>
      <scheme val="minor"/>
    </font>
    <font>
      <b/>
      <sz val="12.0"/>
      <color theme="1"/>
      <name val="Roboto"/>
    </font>
    <font>
      <sz val="11.0"/>
      <color rgb="FF191A20"/>
      <name val="Roboto"/>
    </font>
    <font>
      <sz val="12.0"/>
      <color theme="1"/>
      <name val="Roboto"/>
    </font>
    <font>
      <u/>
      <sz val="12.0"/>
      <color theme="1"/>
      <name val="Roboto"/>
    </font>
    <font>
      <i/>
      <sz val="12.0"/>
      <color theme="1"/>
      <name val="Roboto"/>
    </font>
    <font>
      <i/>
      <sz val="12.0"/>
      <color rgb="FFFF0000"/>
      <name val="Roboto"/>
    </font>
    <font>
      <sz val="12.0"/>
      <color theme="1"/>
      <name val="Times"/>
    </font>
    <font>
      <sz val="9.0"/>
      <color theme="1"/>
      <name val="Roboto"/>
    </font>
    <font>
      <b/>
      <i/>
      <sz val="12.0"/>
      <color theme="1"/>
      <name val="Roboto"/>
    </font>
    <font>
      <sz val="10.0"/>
      <color theme="1"/>
      <name val="Roboto"/>
    </font>
    <font>
      <b/>
      <sz val="16.0"/>
      <color rgb="FFFFFFFF"/>
      <name val="Quattrocento Sans"/>
    </font>
    <font>
      <b/>
      <sz val="11.0"/>
      <color rgb="FFFFFFFF"/>
      <name val="Quattrocento Sans"/>
    </font>
    <font>
      <b/>
      <sz val="11.0"/>
      <color rgb="FF334155"/>
      <name val="Quattrocento Sans"/>
    </font>
    <font>
      <sz val="11.0"/>
      <color rgb="FF0F172A"/>
      <name val="Quattrocento Sans"/>
    </font>
    <font>
      <b/>
      <sz val="11.0"/>
      <color theme="1"/>
      <name val="Calibri"/>
    </font>
    <font>
      <sz val="12.0"/>
      <color rgb="FFFFFFFF"/>
      <name val="Roboto"/>
    </font>
    <font>
      <b/>
      <sz val="14.0"/>
      <color rgb="FFFFFFFF"/>
      <name val="Quattrocento Sans"/>
    </font>
    <font>
      <b/>
      <sz val="11.0"/>
      <color rgb="FF14532D"/>
      <name val="Quattrocento Sans"/>
    </font>
    <font>
      <sz val="12.0"/>
      <color rgb="FFFF0000"/>
      <name val="Roboto"/>
    </font>
    <font>
      <sz val="11.0"/>
      <color rgb="FF1E293B"/>
      <name val="Quattrocento Sans"/>
    </font>
    <font>
      <b/>
      <i/>
      <u/>
      <sz val="12.0"/>
      <color theme="1"/>
      <name val="Roboto"/>
    </font>
    <font>
      <b/>
      <sz val="11.0"/>
      <color rgb="FF7F1D1D"/>
      <name val="Quattrocento Sans"/>
    </font>
    <font>
      <i/>
      <sz val="11.0"/>
      <color rgb="FF64748B"/>
      <name val="Quattrocento Sans"/>
    </font>
    <font>
      <b/>
      <sz val="11.0"/>
      <color rgb="FF1E293B"/>
      <name val="Quattrocento Sans"/>
    </font>
    <font>
      <sz val="11.0"/>
      <color rgb="FF334155"/>
      <name val="Quattrocento Sans"/>
    </font>
    <font>
      <b/>
      <sz val="11.0"/>
      <color rgb="FF166534"/>
      <name val="Quattrocento Sans"/>
    </font>
    <font>
      <b/>
      <sz val="11.0"/>
      <color rgb="FF991B1B"/>
      <name val="Quattrocento Sans"/>
    </font>
    <font>
      <b/>
      <sz val="11.0"/>
      <color rgb="FF92400E"/>
      <name val="Quattrocento Sans"/>
    </font>
    <font>
      <b/>
      <sz val="10.0"/>
      <color rgb="FFFFFFFF"/>
      <name val="Roboto"/>
    </font>
    <font>
      <sz val="10.0"/>
      <color rgb="FF181C1F"/>
      <name val="Roboto"/>
    </font>
    <font>
      <b/>
      <sz val="10.0"/>
      <color rgb="FF181C1F"/>
      <name val="Roboto"/>
    </font>
    <font>
      <i/>
      <sz val="10.0"/>
      <color rgb="FF181C1F"/>
      <name val="Roboto"/>
    </font>
    <font>
      <sz val="16.0"/>
      <color theme="1"/>
      <name val="Roboto"/>
    </font>
    <font>
      <i/>
      <sz val="10.0"/>
      <color theme="1"/>
      <name val="Roboto"/>
    </font>
    <font>
      <i/>
      <sz val="9.0"/>
      <color theme="1"/>
      <name val="Roboto"/>
    </font>
    <font>
      <b/>
      <sz val="10.0"/>
      <color theme="1"/>
      <name val="Roboto"/>
    </font>
    <font>
      <b/>
      <i/>
      <sz val="10.0"/>
      <color theme="1"/>
      <name val="Roboto"/>
    </font>
    <font>
      <sz val="10.0"/>
      <color rgb="FFFFFFFF"/>
      <name val="Roboto"/>
    </font>
    <font>
      <b/>
      <sz val="14.0"/>
      <color theme="1"/>
      <name val="Roboto"/>
    </font>
    <font>
      <b/>
      <sz val="12.0"/>
      <color rgb="FF0A0A0A"/>
      <name val="Roboto"/>
    </font>
    <font>
      <sz val="12.0"/>
      <color rgb="FF0A0A0A"/>
      <name val="Roboto"/>
    </font>
    <font>
      <b/>
      <sz val="9.0"/>
      <color theme="1"/>
      <name val="Roboto"/>
    </font>
    <font>
      <sz val="8.0"/>
      <color theme="1"/>
      <name val="Roboto"/>
    </font>
    <font>
      <i/>
      <sz val="9.0"/>
      <color rgb="FFFFFFFF"/>
      <name val="Roboto"/>
    </font>
    <font>
      <b/>
      <i/>
      <sz val="14.0"/>
      <color theme="1"/>
      <name val="Roboto"/>
    </font>
    <font>
      <i/>
      <sz val="14.0"/>
      <color theme="1"/>
      <name val="Roboto"/>
    </font>
    <font>
      <b/>
      <i/>
      <sz val="18.0"/>
      <color theme="1"/>
      <name val="Roboto"/>
    </font>
    <font>
      <sz val="12.0"/>
      <color rgb="FF000000"/>
      <name val="Roboto"/>
    </font>
    <font>
      <sz val="10.0"/>
      <color rgb="FF000000"/>
      <name val="Roboto"/>
    </font>
    <font>
      <i/>
      <sz val="12.0"/>
      <color rgb="FF000000"/>
      <name val="Roboto"/>
    </font>
    <font>
      <b/>
      <sz val="12.0"/>
      <color rgb="FFFFFFFF"/>
      <name val="Montserrat"/>
    </font>
    <font>
      <b/>
      <sz val="10.0"/>
      <color rgb="FFFFFFFF"/>
      <name val="Montserrat"/>
    </font>
    <font>
      <b/>
      <sz val="13.0"/>
      <color theme="1"/>
      <name val="Arial"/>
      <scheme val="minor"/>
    </font>
    <font>
      <i/>
      <sz val="9.0"/>
      <color theme="1"/>
      <name val="Arial"/>
      <scheme val="minor"/>
    </font>
    <font>
      <b/>
      <color theme="1"/>
      <name val="Arial"/>
      <scheme val="minor"/>
    </font>
    <font>
      <i/>
      <color theme="1"/>
      <name val="Arial"/>
      <scheme val="minor"/>
    </font>
  </fonts>
  <fills count="44">
    <fill>
      <patternFill patternType="none"/>
    </fill>
    <fill>
      <patternFill patternType="lightGray"/>
    </fill>
    <fill>
      <patternFill patternType="solid">
        <fgColor rgb="FF193366"/>
        <bgColor rgb="FF193366"/>
      </patternFill>
    </fill>
    <fill>
      <patternFill patternType="solid">
        <fgColor rgb="FFFFFFFF"/>
        <bgColor rgb="FFFFFFFF"/>
      </patternFill>
    </fill>
    <fill>
      <patternFill patternType="solid">
        <fgColor rgb="FF001F5F"/>
        <bgColor rgb="FF001F5F"/>
      </patternFill>
    </fill>
    <fill>
      <patternFill patternType="solid">
        <fgColor rgb="FF92D050"/>
        <bgColor rgb="FF92D050"/>
      </patternFill>
    </fill>
    <fill>
      <patternFill patternType="solid">
        <fgColor rgb="FF4B5C92"/>
        <bgColor rgb="FF4B5C92"/>
      </patternFill>
    </fill>
    <fill>
      <patternFill patternType="solid">
        <fgColor rgb="FFFFFF00"/>
        <bgColor rgb="FFFFFF00"/>
      </patternFill>
    </fill>
    <fill>
      <patternFill patternType="solid">
        <fgColor rgb="FF1F4E78"/>
        <bgColor rgb="FF1F4E78"/>
      </patternFill>
    </fill>
    <fill>
      <patternFill patternType="solid">
        <fgColor rgb="FFFF0000"/>
        <bgColor rgb="FFFF0000"/>
      </patternFill>
    </fill>
    <fill>
      <patternFill patternType="solid">
        <fgColor rgb="FFEEF3FA"/>
        <bgColor rgb="FFEEF3FA"/>
      </patternFill>
    </fill>
    <fill>
      <patternFill patternType="solid">
        <fgColor rgb="FF34618D"/>
        <bgColor rgb="FF34618D"/>
      </patternFill>
    </fill>
    <fill>
      <patternFill patternType="solid">
        <fgColor rgb="FF92CDDC"/>
        <bgColor rgb="FF92CDDC"/>
      </patternFill>
    </fill>
    <fill>
      <patternFill patternType="solid">
        <fgColor rgb="FFF2F2F2"/>
        <bgColor rgb="FFF2F2F2"/>
      </patternFill>
    </fill>
    <fill>
      <patternFill patternType="solid">
        <fgColor rgb="FFF8F9FF"/>
        <bgColor rgb="FFF8F9FF"/>
      </patternFill>
    </fill>
    <fill>
      <patternFill patternType="solid">
        <fgColor rgb="FFF9F8FF"/>
        <bgColor rgb="FFF9F8FF"/>
      </patternFill>
    </fill>
    <fill>
      <patternFill patternType="solid">
        <fgColor rgb="FFE5E5E5"/>
        <bgColor rgb="FFE5E5E5"/>
      </patternFill>
    </fill>
    <fill>
      <patternFill patternType="solid">
        <fgColor rgb="FF465C92"/>
        <bgColor rgb="FF465C92"/>
      </patternFill>
    </fill>
    <fill>
      <patternFill patternType="solid">
        <fgColor rgb="FFFFF299"/>
        <bgColor rgb="FFFFF299"/>
      </patternFill>
    </fill>
    <fill>
      <patternFill patternType="solid">
        <fgColor rgb="FFF0F4F9"/>
        <bgColor rgb="FFF0F4F9"/>
      </patternFill>
    </fill>
    <fill>
      <patternFill patternType="solid">
        <fgColor rgb="FFCCFFCC"/>
        <bgColor rgb="FFCCFFCC"/>
      </patternFill>
    </fill>
    <fill>
      <patternFill patternType="solid">
        <fgColor rgb="FFEEECE1"/>
        <bgColor rgb="FFEEECE1"/>
      </patternFill>
    </fill>
    <fill>
      <patternFill patternType="solid">
        <fgColor rgb="FF0F172A"/>
        <bgColor rgb="FF0F172A"/>
      </patternFill>
    </fill>
    <fill>
      <patternFill patternType="solid">
        <fgColor rgb="FF1E293B"/>
        <bgColor rgb="FF1E293B"/>
      </patternFill>
    </fill>
    <fill>
      <patternFill patternType="solid">
        <fgColor rgb="FFF8FAFC"/>
        <bgColor rgb="FFF8FAFC"/>
      </patternFill>
    </fill>
    <fill>
      <patternFill patternType="solid">
        <fgColor rgb="FFD9D9D9"/>
        <bgColor rgb="FFD9D9D9"/>
      </patternFill>
    </fill>
    <fill>
      <patternFill patternType="solid">
        <fgColor rgb="FF000000"/>
        <bgColor rgb="FF000000"/>
      </patternFill>
    </fill>
    <fill>
      <patternFill patternType="solid">
        <fgColor rgb="FFE2E8F0"/>
        <bgColor rgb="FFE2E8F0"/>
      </patternFill>
    </fill>
    <fill>
      <patternFill patternType="solid">
        <fgColor rgb="FF166534"/>
        <bgColor rgb="FF166534"/>
      </patternFill>
    </fill>
    <fill>
      <patternFill patternType="solid">
        <fgColor rgb="FFDCFCE7"/>
        <bgColor rgb="FFDCFCE7"/>
      </patternFill>
    </fill>
    <fill>
      <patternFill patternType="solid">
        <fgColor rgb="FFF0FDF4"/>
        <bgColor rgb="FFF0FDF4"/>
      </patternFill>
    </fill>
    <fill>
      <patternFill patternType="solid">
        <fgColor rgb="FF991B1B"/>
        <bgColor rgb="FF991B1B"/>
      </patternFill>
    </fill>
    <fill>
      <patternFill patternType="solid">
        <fgColor rgb="FFFEE2E2"/>
        <bgColor rgb="FFFEE2E2"/>
      </patternFill>
    </fill>
    <fill>
      <patternFill patternType="solid">
        <fgColor rgb="FFFEF2F2"/>
        <bgColor rgb="FFFEF2F2"/>
      </patternFill>
    </fill>
    <fill>
      <patternFill patternType="solid">
        <fgColor rgb="FFFEF3C7"/>
        <bgColor rgb="FFFEF3C7"/>
      </patternFill>
    </fill>
    <fill>
      <patternFill patternType="solid">
        <fgColor rgb="FF3E5F90"/>
        <bgColor rgb="FF3E5F90"/>
      </patternFill>
    </fill>
    <fill>
      <patternFill patternType="solid">
        <fgColor rgb="FFF8F8FF"/>
        <bgColor rgb="FFF8F8FF"/>
      </patternFill>
    </fill>
    <fill>
      <patternFill patternType="solid">
        <fgColor rgb="FFFCF305"/>
        <bgColor rgb="FFFCF305"/>
      </patternFill>
    </fill>
    <fill>
      <patternFill patternType="solid">
        <fgColor rgb="FFD8D8D8"/>
        <bgColor rgb="FFD8D8D8"/>
      </patternFill>
    </fill>
    <fill>
      <patternFill patternType="solid">
        <fgColor rgb="FF435E91"/>
        <bgColor rgb="FF435E91"/>
      </patternFill>
    </fill>
    <fill>
      <patternFill patternType="solid">
        <fgColor rgb="FF1A365D"/>
        <bgColor rgb="FF1A365D"/>
      </patternFill>
    </fill>
    <fill>
      <patternFill patternType="solid">
        <fgColor rgb="FF495B91"/>
        <bgColor rgb="FF495B91"/>
      </patternFill>
    </fill>
    <fill>
      <patternFill patternType="solid">
        <fgColor rgb="FFF9F7FF"/>
        <bgColor rgb="FFF9F7FF"/>
      </patternFill>
    </fill>
    <fill>
      <patternFill patternType="solid">
        <fgColor rgb="FFD8E2F4"/>
        <bgColor rgb="FFD8E2F4"/>
      </patternFill>
    </fill>
  </fills>
  <borders count="111">
    <border/>
    <border>
      <left/>
      <right/>
      <top/>
      <bottom style="thin">
        <color rgb="FF74777E"/>
      </bottom>
    </border>
    <border>
      <left/>
      <right/>
      <top/>
      <bottom/>
    </border>
    <border>
      <left style="medium">
        <color rgb="FF000000"/>
      </left>
      <right style="medium">
        <color rgb="FF000000"/>
      </right>
      <top style="medium">
        <color rgb="FF000000"/>
      </top>
      <bottom style="medium">
        <color rgb="FF000000"/>
      </bottom>
    </border>
    <border>
      <left/>
      <top/>
    </border>
    <border>
      <top/>
    </border>
    <border>
      <left/>
    </border>
    <border>
      <left style="thin">
        <color rgb="FFC9D6E8"/>
      </left>
      <top style="thin">
        <color rgb="FFC9D6E8"/>
      </top>
      <bottom style="thin">
        <color rgb="FFC9D6E8"/>
      </bottom>
    </border>
    <border>
      <top style="thin">
        <color rgb="FFC9D6E8"/>
      </top>
      <bottom style="thin">
        <color rgb="FFC9D6E8"/>
      </bottom>
    </border>
    <border>
      <right style="thin">
        <color rgb="FFC9D6E8"/>
      </right>
      <top style="thin">
        <color rgb="FFC9D6E8"/>
      </top>
      <bottom style="thin">
        <color rgb="FFC9D6E8"/>
      </bottom>
    </border>
    <border>
      <left style="thin">
        <color rgb="FFC9D6E8"/>
      </left>
      <top style="thin">
        <color rgb="FFC9D6E8"/>
      </top>
    </border>
    <border>
      <top style="thin">
        <color rgb="FFC9D6E8"/>
      </top>
    </border>
    <border>
      <top style="thin">
        <color rgb="FFCCCCCC"/>
      </top>
    </border>
    <border>
      <right style="thin">
        <color rgb="FFC9D6E8"/>
      </right>
      <top style="thin">
        <color rgb="FFC9D6E8"/>
      </top>
    </border>
    <border>
      <left/>
      <right/>
      <top style="thin">
        <color rgb="FFCCCCCC"/>
      </top>
      <bottom/>
    </border>
    <border>
      <left style="thin">
        <color rgb="FFC9D6E8"/>
      </left>
      <bottom style="thin">
        <color rgb="FFC9D6E8"/>
      </bottom>
    </border>
    <border>
      <bottom style="thin">
        <color rgb="FFC9D6E8"/>
      </bottom>
    </border>
    <border>
      <right style="thin">
        <color rgb="FFC9D6E8"/>
      </right>
      <bottom style="thin">
        <color rgb="FFC9D6E8"/>
      </bottom>
    </border>
    <border>
      <left style="thin">
        <color rgb="FFDDDDDD"/>
      </left>
      <right style="thin">
        <color rgb="FFDDDDDD"/>
      </right>
      <top style="thin">
        <color rgb="FFDDDDDD"/>
      </top>
      <bottom style="thin">
        <color rgb="FFDDDDDD"/>
      </bottom>
    </border>
    <border>
      <left/>
      <right/>
      <top style="thin">
        <color rgb="FF74777E"/>
      </top>
      <bottom/>
    </border>
    <border>
      <left style="thin">
        <color rgb="FF000000"/>
      </left>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CCCCCC"/>
      </left>
      <right style="thin">
        <color rgb="FF000000"/>
      </right>
      <top style="thin">
        <color rgb="FF000000"/>
      </top>
      <bottom style="thin">
        <color rgb="FFCCCCCC"/>
      </bottom>
    </border>
    <border>
      <left style="thin">
        <color rgb="FF000000"/>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000000"/>
      </left>
      <right style="thin">
        <color rgb="FFCCCCCC"/>
      </right>
      <top style="thin">
        <color rgb="FFCCCCCC"/>
      </top>
      <bottom style="thin">
        <color rgb="FF000000"/>
      </bottom>
    </border>
    <border>
      <left style="thin">
        <color rgb="FFCCCCCC"/>
      </left>
      <right style="thin">
        <color rgb="FFCCCCCC"/>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top style="thin">
        <color rgb="FF000000"/>
      </top>
    </border>
    <border>
      <left/>
      <right/>
      <top style="thin">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border>
    <border>
      <left style="thin">
        <color rgb="FF000000"/>
      </left>
    </border>
    <border>
      <right style="thin">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bottom style="thin">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top/>
      <bottom/>
    </border>
    <border>
      <left style="thin">
        <color rgb="FFE2E8F0"/>
      </left>
      <right style="thin">
        <color rgb="FFE2E8F0"/>
      </right>
      <top style="thin">
        <color rgb="FFE2E8F0"/>
      </top>
      <bottom style="thin">
        <color rgb="FFE2E8F0"/>
      </bottom>
    </border>
    <border>
      <left style="thin">
        <color rgb="FFE2E8F0"/>
      </left>
      <top style="thin">
        <color rgb="FFE2E8F0"/>
      </top>
      <bottom style="thin">
        <color rgb="FFE2E8F0"/>
      </bottom>
    </border>
    <border>
      <right style="thin">
        <color rgb="FFE2E8F0"/>
      </right>
      <top style="thin">
        <color rgb="FFE2E8F0"/>
      </top>
      <bottom style="thin">
        <color rgb="FFE2E8F0"/>
      </bottom>
    </border>
    <border>
      <top style="thin">
        <color rgb="FFE2E8F0"/>
      </top>
      <bottom style="thin">
        <color rgb="FFE2E8F0"/>
      </bottom>
    </border>
    <border>
      <left/>
      <right style="thin">
        <color rgb="FF40404F"/>
      </right>
      <top/>
      <bottom/>
    </border>
    <border>
      <right style="thin">
        <color rgb="FF40404F"/>
      </right>
    </border>
    <border>
      <right style="thin">
        <color rgb="FF40404F"/>
      </right>
      <top style="thin">
        <color rgb="FF74777E"/>
      </top>
    </border>
    <border>
      <left style="thin">
        <color rgb="FF40404F"/>
      </left>
      <right style="thin">
        <color rgb="FF40404F"/>
      </right>
      <top style="thin">
        <color rgb="FF40404F"/>
      </top>
      <bottom style="thin">
        <color rgb="FF40404F"/>
      </bottom>
    </border>
    <border>
      <right style="thin">
        <color rgb="FF40404F"/>
      </right>
      <top style="thin">
        <color rgb="FF000000"/>
      </top>
    </border>
    <border>
      <top style="thin">
        <color rgb="FF74777E"/>
      </top>
    </border>
    <border>
      <left style="thin">
        <color rgb="FF40404F"/>
      </left>
      <right style="thin">
        <color rgb="FF000000"/>
      </right>
      <top style="thin">
        <color rgb="FF40404F"/>
      </top>
      <bottom style="thin">
        <color rgb="FF40404F"/>
      </bottom>
    </border>
    <border>
      <right style="thin">
        <color rgb="FF000000"/>
      </right>
      <top style="thin">
        <color rgb="FF74777E"/>
      </top>
    </border>
    <border>
      <left style="thin">
        <color rgb="FF40404F"/>
      </left>
      <right style="thin">
        <color rgb="FF000000"/>
      </right>
      <top style="thin">
        <color rgb="FF74777E"/>
      </top>
      <bottom style="thin">
        <color rgb="FF40404F"/>
      </bottom>
    </border>
    <border>
      <left style="thin">
        <color rgb="FF40404F"/>
      </left>
      <right style="thin">
        <color rgb="FF40404F"/>
      </right>
      <top style="thin">
        <color rgb="FF74777E"/>
      </top>
      <bottom style="thin">
        <color rgb="FF40404F"/>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border>
    <border>
      <left style="medium">
        <color rgb="FF000000"/>
      </left>
      <top style="thin">
        <color rgb="FF000000"/>
      </top>
      <bottom style="thin">
        <color rgb="FF000000"/>
      </bottom>
    </border>
    <border>
      <left style="thin">
        <color rgb="FF000000"/>
      </left>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bottom style="thin">
        <color rgb="FF000000"/>
      </bottom>
    </border>
    <border>
      <left style="medium">
        <color rgb="FF000000"/>
      </left>
      <top style="thin">
        <color rgb="FF000000"/>
      </top>
      <bottom style="medium">
        <color rgb="FF000000"/>
      </bottom>
    </border>
    <border>
      <left/>
      <top style="thin">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border>
    <border>
      <left style="medium">
        <color rgb="FF000000"/>
      </left>
      <top/>
    </border>
    <border>
      <left style="thin">
        <color rgb="FF000000"/>
      </left>
      <bottom style="medium">
        <color rgb="FF000000"/>
      </bottom>
    </border>
    <border>
      <right style="thin">
        <color rgb="FF000000"/>
      </right>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medium">
        <color rgb="FF000000"/>
      </top>
    </border>
    <border>
      <left style="thin">
        <color rgb="FFD1D4D8"/>
      </left>
      <right style="thin">
        <color rgb="FFD1D4D8"/>
      </right>
      <top style="thin">
        <color rgb="FFD1D4D8"/>
      </top>
      <bottom style="thin">
        <color rgb="FFD1D4D8"/>
      </bottom>
    </border>
  </borders>
  <cellStyleXfs count="1">
    <xf borderId="0" fillId="0" fontId="0" numFmtId="0" applyAlignment="1" applyFont="1"/>
  </cellStyleXfs>
  <cellXfs count="854">
    <xf borderId="0" fillId="0" fontId="0" numFmtId="0" xfId="0" applyAlignment="1" applyFont="1">
      <alignment readingOrder="0" shrinkToFit="0" vertical="bottom" wrapText="0"/>
    </xf>
    <xf borderId="0" fillId="0" fontId="1" numFmtId="0" xfId="0" applyAlignment="1" applyFont="1">
      <alignment readingOrder="0"/>
    </xf>
    <xf borderId="1" fillId="2" fontId="2" numFmtId="164" xfId="0" applyAlignment="1" applyBorder="1" applyFill="1" applyFont="1" applyNumberFormat="1">
      <alignment horizontal="center" vertical="center"/>
    </xf>
    <xf borderId="1" fillId="3" fontId="3" numFmtId="164" xfId="0" applyAlignment="1" applyBorder="1" applyFill="1" applyFont="1" applyNumberFormat="1">
      <alignment horizontal="center"/>
    </xf>
    <xf borderId="0" fillId="0" fontId="4" numFmtId="164" xfId="0" applyFont="1" applyNumberFormat="1"/>
    <xf borderId="0" fillId="0" fontId="5" numFmtId="164" xfId="0" applyFont="1" applyNumberFormat="1"/>
    <xf borderId="2" fillId="4" fontId="6" numFmtId="164" xfId="0" applyBorder="1" applyFill="1" applyFont="1" applyNumberFormat="1"/>
    <xf borderId="1" fillId="3" fontId="3" numFmtId="0" xfId="0" applyAlignment="1" applyBorder="1" applyFill="1" applyFont="1">
      <alignment horizontal="center"/>
    </xf>
    <xf borderId="0" fillId="0" fontId="4" numFmtId="0" xfId="0" applyFont="1"/>
    <xf borderId="0" fillId="0" fontId="5" numFmtId="0" xfId="0" applyFont="1"/>
    <xf borderId="0" fillId="0" fontId="4" numFmtId="164" xfId="0" applyAlignment="1" applyFont="1" applyNumberFormat="1">
      <alignment horizontal="left" readingOrder="0" shrinkToFit="0" vertical="center" wrapText="0"/>
    </xf>
    <xf borderId="0" fillId="0" fontId="5" numFmtId="165" xfId="0" applyFont="1" applyNumberFormat="1"/>
    <xf borderId="0" fillId="0" fontId="5" numFmtId="164" xfId="0" applyAlignment="1" applyFont="1" applyNumberFormat="1">
      <alignment shrinkToFit="0" vertical="center" wrapText="0"/>
    </xf>
    <xf borderId="2" fillId="4" fontId="6" numFmtId="0" xfId="0" applyBorder="1" applyFill="1" applyFont="1"/>
    <xf borderId="0" fillId="0" fontId="4" numFmtId="0" xfId="0" applyFont="1"/>
    <xf borderId="3" fillId="5" fontId="5" numFmtId="164" xfId="0" applyAlignment="1" applyBorder="1" applyFill="1" applyFont="1" applyNumberFormat="1">
      <alignment shrinkToFit="0" vertical="center" wrapText="0"/>
    </xf>
    <xf borderId="0" fillId="0" fontId="5" numFmtId="0" xfId="0" applyFont="1"/>
    <xf borderId="3" fillId="5" fontId="5" numFmtId="164" xfId="0" applyBorder="1" applyFill="1" applyFont="1" applyNumberFormat="1"/>
    <xf borderId="1" fillId="2" fontId="7" numFmtId="0" xfId="0" applyAlignment="1" applyBorder="1" applyFill="1" applyFont="1">
      <alignment horizontal="center" vertical="center"/>
    </xf>
    <xf borderId="0" fillId="0" fontId="5" numFmtId="164" xfId="0" applyAlignment="1" applyFont="1" applyNumberFormat="1">
      <alignment shrinkToFit="0" vertical="center" wrapText="0"/>
    </xf>
    <xf borderId="0" fillId="0" fontId="5" numFmtId="164" xfId="0" applyFont="1" applyNumberFormat="1"/>
    <xf borderId="3" fillId="0" fontId="5" numFmtId="164" xfId="0" applyBorder="1" applyFont="1" applyNumberFormat="1"/>
    <xf borderId="1" fillId="2" fontId="7" numFmtId="165" xfId="0" applyAlignment="1" applyBorder="1" applyFill="1" applyFont="1" applyNumberFormat="1">
      <alignment horizontal="center" vertical="center"/>
    </xf>
    <xf borderId="3" fillId="0" fontId="5" numFmtId="0" xfId="0" applyBorder="1" applyFont="1"/>
    <xf borderId="4" fillId="6" fontId="8" numFmtId="0" xfId="0" applyAlignment="1" applyBorder="1" applyFill="1" applyFont="1">
      <alignment horizontal="center" vertical="center"/>
    </xf>
    <xf borderId="3" fillId="7" fontId="5" numFmtId="166" xfId="0" applyAlignment="1" applyBorder="1" applyFill="1" applyFont="1" applyNumberFormat="1">
      <alignment shrinkToFit="0" vertical="center" wrapText="0"/>
    </xf>
    <xf borderId="3" fillId="7" fontId="5" numFmtId="166" xfId="0" applyBorder="1" applyFill="1" applyFont="1" applyNumberFormat="1"/>
    <xf borderId="5" fillId="0" fontId="9" numFmtId="0" xfId="0" applyBorder="1" applyFont="1"/>
    <xf borderId="6" fillId="0" fontId="9" numFmtId="0" xfId="0" applyBorder="1" applyFont="1"/>
    <xf borderId="7" fillId="8" fontId="10" numFmtId="0" xfId="0" applyAlignment="1" applyBorder="1" applyFill="1" applyFont="1">
      <alignment horizontal="center" shrinkToFit="0" vertical="center" wrapText="1"/>
    </xf>
    <xf borderId="3" fillId="5" fontId="5" numFmtId="166" xfId="0" applyBorder="1" applyFill="1" applyFont="1" applyNumberFormat="1"/>
    <xf borderId="8" fillId="0" fontId="9" numFmtId="0" xfId="0" applyBorder="1" applyFont="1"/>
    <xf borderId="9" fillId="0" fontId="9" numFmtId="0" xfId="0" applyBorder="1" applyFont="1"/>
    <xf borderId="1" fillId="2" fontId="2" numFmtId="0" xfId="0" applyAlignment="1" applyBorder="1" applyFill="1" applyFont="1">
      <alignment horizontal="center" vertical="center"/>
    </xf>
    <xf borderId="3" fillId="5" fontId="5" numFmtId="166" xfId="0" applyAlignment="1" applyBorder="1" applyFill="1" applyFont="1" applyNumberFormat="1">
      <alignment shrinkToFit="0" vertical="center" wrapText="0"/>
    </xf>
    <xf borderId="1" fillId="2" fontId="11" numFmtId="0" xfId="0" applyAlignment="1" applyBorder="1" applyFill="1" applyFont="1">
      <alignment horizontal="center" vertical="center"/>
    </xf>
    <xf borderId="3" fillId="9" fontId="5" numFmtId="0" xfId="0" applyBorder="1" applyFill="1" applyFont="1"/>
    <xf borderId="1" fillId="2" fontId="11" numFmtId="165" xfId="0" applyAlignment="1" applyBorder="1" applyFill="1" applyFont="1" applyNumberFormat="1">
      <alignment horizontal="center" vertical="center"/>
    </xf>
    <xf borderId="7" fillId="8" fontId="10" numFmtId="0" xfId="0" applyAlignment="1" applyBorder="1" applyFill="1" applyFont="1">
      <alignment horizontal="center" shrinkToFit="0" vertical="center" wrapText="1"/>
    </xf>
    <xf borderId="3" fillId="9" fontId="5" numFmtId="164" xfId="0" applyBorder="1" applyFill="1" applyFont="1" applyNumberFormat="1"/>
    <xf borderId="10" fillId="10" fontId="12" numFmtId="167" xfId="0" applyAlignment="1" applyBorder="1" applyFill="1" applyFont="1" applyNumberFormat="1">
      <alignment horizontal="center" shrinkToFit="0" vertical="center" wrapText="1"/>
    </xf>
    <xf borderId="2" fillId="11" fontId="6" numFmtId="0" xfId="0" applyAlignment="1" applyBorder="1" applyFill="1" applyFont="1">
      <alignment horizontal="center"/>
    </xf>
    <xf borderId="11" fillId="0" fontId="9" numFmtId="0" xfId="0" applyBorder="1" applyFont="1"/>
    <xf borderId="12" fillId="0" fontId="5" numFmtId="0" xfId="0" applyBorder="1" applyFont="1"/>
    <xf borderId="13" fillId="0" fontId="9" numFmtId="0" xfId="0" applyBorder="1" applyFont="1"/>
    <xf borderId="12" fillId="0" fontId="5" numFmtId="164" xfId="0" applyBorder="1" applyFont="1" applyNumberFormat="1"/>
    <xf borderId="2" fillId="11" fontId="13" numFmtId="168" xfId="0" applyAlignment="1" applyBorder="1" applyFill="1" applyFont="1" applyNumberFormat="1">
      <alignment horizontal="center"/>
    </xf>
    <xf borderId="10" fillId="10" fontId="12" numFmtId="169" xfId="0" applyAlignment="1" applyBorder="1" applyFill="1" applyFont="1" applyNumberFormat="1">
      <alignment horizontal="center" shrinkToFit="0" vertical="center" wrapText="1"/>
    </xf>
    <xf borderId="2" fillId="11" fontId="13" numFmtId="170" xfId="0" applyAlignment="1" applyBorder="1" applyFill="1" applyFont="1" applyNumberFormat="1">
      <alignment horizontal="center"/>
    </xf>
    <xf borderId="12" fillId="0" fontId="5" numFmtId="164" xfId="0" applyAlignment="1" applyBorder="1" applyFont="1" applyNumberFormat="1">
      <alignment shrinkToFit="0" vertical="center" wrapText="0"/>
    </xf>
    <xf borderId="10" fillId="10" fontId="12" numFmtId="167" xfId="0" applyAlignment="1" applyBorder="1" applyFill="1" applyFont="1" applyNumberFormat="1">
      <alignment horizontal="center" shrinkToFit="0" vertical="center" wrapText="1"/>
    </xf>
    <xf borderId="14" fillId="12" fontId="5" numFmtId="164" xfId="0" applyBorder="1" applyFill="1" applyFont="1" applyNumberFormat="1"/>
    <xf borderId="15" fillId="0" fontId="9" numFmtId="0" xfId="0" applyBorder="1" applyFont="1"/>
    <xf borderId="16" fillId="0" fontId="9" numFmtId="0" xfId="0" applyBorder="1" applyFont="1"/>
    <xf borderId="12" fillId="0" fontId="5" numFmtId="10" xfId="0" applyBorder="1" applyFont="1" applyNumberFormat="1"/>
    <xf borderId="17" fillId="0" fontId="9" numFmtId="0" xfId="0" applyBorder="1" applyFont="1"/>
    <xf borderId="0" fillId="0" fontId="5" numFmtId="169" xfId="0" applyFont="1" applyNumberFormat="1"/>
    <xf borderId="12" fillId="0" fontId="5" numFmtId="164" xfId="0" applyAlignment="1" applyBorder="1" applyFont="1" applyNumberFormat="1">
      <alignment shrinkToFit="0" vertical="center" wrapText="0"/>
    </xf>
    <xf borderId="18" fillId="13" fontId="14" numFmtId="0" xfId="0" applyAlignment="1" applyBorder="1" applyFill="1" applyFont="1">
      <alignment horizontal="left"/>
    </xf>
    <xf borderId="0" fillId="0" fontId="5" numFmtId="10" xfId="0" applyFont="1" applyNumberFormat="1"/>
    <xf borderId="2" fillId="6" fontId="6" numFmtId="0" xfId="0" applyAlignment="1" applyBorder="1" applyFill="1" applyFont="1">
      <alignment horizontal="center"/>
    </xf>
    <xf borderId="0" fillId="0" fontId="5" numFmtId="0" xfId="0" applyAlignment="1" applyFont="1">
      <alignment readingOrder="0"/>
    </xf>
    <xf borderId="2" fillId="14" fontId="15" numFmtId="0" xfId="0" applyBorder="1" applyFill="1" applyFont="1"/>
    <xf borderId="2" fillId="15" fontId="16" numFmtId="0" xfId="0" applyBorder="1" applyFill="1" applyFont="1"/>
    <xf borderId="2" fillId="15" fontId="16" numFmtId="171" xfId="0" applyBorder="1" applyFill="1" applyFont="1" applyNumberFormat="1"/>
    <xf borderId="2" fillId="14" fontId="15" numFmtId="169" xfId="0" applyBorder="1" applyFill="1" applyFont="1" applyNumberFormat="1"/>
    <xf borderId="2" fillId="3" fontId="16" numFmtId="0" xfId="0" applyBorder="1" applyFill="1" applyFont="1"/>
    <xf borderId="2" fillId="14" fontId="15" numFmtId="170" xfId="0" applyBorder="1" applyFill="1" applyFont="1" applyNumberFormat="1"/>
    <xf borderId="2" fillId="3" fontId="16" numFmtId="171" xfId="0" applyBorder="1" applyFill="1" applyFont="1" applyNumberFormat="1"/>
    <xf borderId="18" fillId="0" fontId="17" numFmtId="0" xfId="0" applyAlignment="1" applyBorder="1" applyFont="1">
      <alignment horizontal="left"/>
    </xf>
    <xf borderId="18" fillId="0" fontId="17" numFmtId="10" xfId="0" applyAlignment="1" applyBorder="1" applyFont="1" applyNumberFormat="1">
      <alignment horizontal="left" readingOrder="0"/>
    </xf>
    <xf borderId="0" fillId="0" fontId="5" numFmtId="0" xfId="0" applyAlignment="1" applyFont="1">
      <alignment readingOrder="0"/>
    </xf>
    <xf borderId="2" fillId="3" fontId="18" numFmtId="0" xfId="0" applyBorder="1" applyFill="1" applyFont="1"/>
    <xf borderId="0" fillId="0" fontId="5" numFmtId="166" xfId="0" applyFont="1" applyNumberFormat="1"/>
    <xf borderId="2" fillId="3" fontId="18" numFmtId="171" xfId="0" applyBorder="1" applyFill="1" applyFont="1" applyNumberFormat="1"/>
    <xf borderId="2" fillId="14" fontId="15" numFmtId="171" xfId="0" applyBorder="1" applyFill="1" applyFont="1" applyNumberFormat="1"/>
    <xf borderId="3" fillId="9" fontId="5" numFmtId="2" xfId="0" applyBorder="1" applyFill="1" applyFont="1" applyNumberFormat="1"/>
    <xf borderId="0" fillId="0" fontId="19" numFmtId="0" xfId="0" applyFont="1"/>
    <xf borderId="14" fillId="12" fontId="5" numFmtId="164" xfId="0" applyAlignment="1" applyBorder="1" applyFill="1" applyFont="1" applyNumberFormat="1">
      <alignment shrinkToFit="0" vertical="center" wrapText="0"/>
    </xf>
    <xf borderId="12" fillId="0" fontId="5" numFmtId="10" xfId="0" applyAlignment="1" applyBorder="1" applyFont="1" applyNumberFormat="1">
      <alignment shrinkToFit="0" vertical="center" wrapText="0"/>
    </xf>
    <xf borderId="19" fillId="14" fontId="15" numFmtId="0" xfId="0" applyBorder="1" applyFill="1" applyFont="1"/>
    <xf borderId="19" fillId="14" fontId="15" numFmtId="169" xfId="0" applyBorder="1" applyFill="1" applyFont="1" applyNumberFormat="1"/>
    <xf borderId="14" fillId="12" fontId="5" numFmtId="10" xfId="0" applyBorder="1" applyFill="1" applyFont="1" applyNumberFormat="1"/>
    <xf borderId="19" fillId="14" fontId="15" numFmtId="171" xfId="0" applyBorder="1" applyFill="1" applyFont="1" applyNumberFormat="1"/>
    <xf borderId="0" fillId="0" fontId="5" numFmtId="10" xfId="0" applyAlignment="1" applyFont="1" applyNumberFormat="1">
      <alignment shrinkToFit="0" vertical="center" wrapText="0"/>
    </xf>
    <xf borderId="2" fillId="12" fontId="5" numFmtId="10" xfId="0" applyBorder="1" applyFill="1" applyFont="1" applyNumberFormat="1"/>
    <xf borderId="2" fillId="11" fontId="6" numFmtId="0" xfId="0" applyBorder="1" applyFill="1" applyFont="1"/>
    <xf borderId="2" fillId="11" fontId="6" numFmtId="169" xfId="0" applyBorder="1" applyFill="1" applyFont="1" applyNumberFormat="1"/>
    <xf borderId="2" fillId="11" fontId="6" numFmtId="171" xfId="0" applyBorder="1" applyFill="1" applyFont="1" applyNumberFormat="1"/>
    <xf borderId="18" fillId="0" fontId="17" numFmtId="10" xfId="0" applyAlignment="1" applyBorder="1" applyFont="1" applyNumberFormat="1">
      <alignment horizontal="left"/>
    </xf>
    <xf borderId="0" fillId="0" fontId="5" numFmtId="10" xfId="0" applyFont="1" applyNumberFormat="1"/>
    <xf borderId="2" fillId="3" fontId="5" numFmtId="0" xfId="0" applyBorder="1" applyFill="1" applyFont="1"/>
    <xf borderId="2" fillId="3" fontId="5" numFmtId="10" xfId="0" applyBorder="1" applyFill="1" applyFont="1" applyNumberFormat="1"/>
    <xf borderId="0" fillId="0" fontId="5" numFmtId="10" xfId="0" applyFont="1" applyNumberFormat="1"/>
    <xf borderId="2" fillId="11" fontId="6" numFmtId="0" xfId="0" applyAlignment="1" applyBorder="1" applyFill="1" applyFont="1">
      <alignment horizontal="center"/>
    </xf>
    <xf borderId="0" fillId="0" fontId="5" numFmtId="164" xfId="0" applyFont="1" applyNumberFormat="1"/>
    <xf borderId="12" fillId="0" fontId="5" numFmtId="0" xfId="0" applyBorder="1" applyFont="1"/>
    <xf borderId="12" fillId="0" fontId="5" numFmtId="164" xfId="0" applyBorder="1" applyFont="1" applyNumberFormat="1"/>
    <xf borderId="14" fillId="12" fontId="5" numFmtId="164" xfId="0" applyBorder="1" applyFill="1" applyFont="1" applyNumberFormat="1"/>
    <xf borderId="0" fillId="0" fontId="5" numFmtId="166" xfId="0" applyAlignment="1" applyFont="1" applyNumberFormat="1">
      <alignment shrinkToFit="0" vertical="center" wrapText="0"/>
    </xf>
    <xf borderId="2" fillId="14" fontId="15" numFmtId="0" xfId="0" applyBorder="1" applyFill="1" applyFont="1"/>
    <xf borderId="2" fillId="14" fontId="15" numFmtId="171" xfId="0" applyBorder="1" applyFill="1" applyFont="1" applyNumberFormat="1"/>
    <xf borderId="2" fillId="12" fontId="5" numFmtId="10" xfId="0" applyBorder="1" applyFill="1" applyFont="1" applyNumberFormat="1"/>
    <xf borderId="2" fillId="12" fontId="5" numFmtId="0" xfId="0" applyBorder="1" applyFill="1" applyFont="1"/>
    <xf borderId="0" fillId="0" fontId="5" numFmtId="4" xfId="0" applyFont="1" applyNumberFormat="1"/>
    <xf borderId="0" fillId="0" fontId="5" numFmtId="4" xfId="0" applyFont="1" applyNumberFormat="1"/>
    <xf borderId="0" fillId="0" fontId="20" numFmtId="0" xfId="0" applyFont="1"/>
    <xf borderId="0" fillId="0" fontId="21" numFmtId="0" xfId="0" applyFont="1"/>
    <xf borderId="0" fillId="0" fontId="22" numFmtId="167" xfId="0" applyFont="1" applyNumberFormat="1"/>
    <xf borderId="0" fillId="0" fontId="23" numFmtId="0" xfId="0" applyFont="1"/>
    <xf borderId="20" fillId="16" fontId="4" numFmtId="0" xfId="0" applyAlignment="1" applyBorder="1" applyFill="1" applyFont="1">
      <alignment horizontal="center"/>
    </xf>
    <xf borderId="21" fillId="16" fontId="4" numFmtId="3" xfId="0" applyAlignment="1" applyBorder="1" applyFill="1" applyFont="1" applyNumberFormat="1">
      <alignment horizontal="center"/>
    </xf>
    <xf borderId="22" fillId="16" fontId="4" numFmtId="3" xfId="0" applyAlignment="1" applyBorder="1" applyFill="1" applyFont="1" applyNumberFormat="1">
      <alignment horizontal="center"/>
    </xf>
    <xf borderId="0" fillId="0" fontId="22" numFmtId="169" xfId="0" applyFont="1" applyNumberFormat="1"/>
    <xf borderId="23" fillId="16" fontId="4" numFmtId="2" xfId="0" applyAlignment="1" applyBorder="1" applyFill="1" applyFont="1" applyNumberFormat="1">
      <alignment horizontal="center"/>
    </xf>
    <xf borderId="24" fillId="0" fontId="5" numFmtId="171" xfId="0" applyAlignment="1" applyBorder="1" applyFont="1" applyNumberFormat="1">
      <alignment horizontal="center"/>
    </xf>
    <xf borderId="25" fillId="0" fontId="5" numFmtId="171" xfId="0" applyAlignment="1" applyBorder="1" applyFont="1" applyNumberFormat="1">
      <alignment horizontal="center"/>
    </xf>
    <xf borderId="26" fillId="16" fontId="4" numFmtId="2" xfId="0" applyAlignment="1" applyBorder="1" applyFill="1" applyFont="1" applyNumberFormat="1">
      <alignment horizontal="center"/>
    </xf>
    <xf borderId="14" fillId="12" fontId="5" numFmtId="10" xfId="0" applyAlignment="1" applyBorder="1" applyFill="1" applyFont="1" applyNumberFormat="1">
      <alignment shrinkToFit="0" vertical="center" wrapText="0"/>
    </xf>
    <xf borderId="27" fillId="0" fontId="5" numFmtId="171" xfId="0" applyAlignment="1" applyBorder="1" applyFont="1" applyNumberFormat="1">
      <alignment horizontal="center"/>
    </xf>
    <xf borderId="1" fillId="3" fontId="3" numFmtId="172" xfId="0" applyAlignment="1" applyBorder="1" applyFill="1" applyFont="1" applyNumberFormat="1">
      <alignment horizontal="center"/>
    </xf>
    <xf borderId="28" fillId="0" fontId="5" numFmtId="171" xfId="0" applyAlignment="1" applyBorder="1" applyFont="1" applyNumberFormat="1">
      <alignment horizontal="center"/>
    </xf>
    <xf borderId="0" fillId="0" fontId="4" numFmtId="172" xfId="0" applyFont="1" applyNumberFormat="1"/>
    <xf borderId="0" fillId="0" fontId="5" numFmtId="172" xfId="0" applyFont="1" applyNumberFormat="1"/>
    <xf borderId="2" fillId="4" fontId="6" numFmtId="172" xfId="0" applyBorder="1" applyFill="1" applyFont="1" applyNumberFormat="1"/>
    <xf borderId="2" fillId="12" fontId="5" numFmtId="10" xfId="0" applyAlignment="1" applyBorder="1" applyFill="1" applyFont="1" applyNumberFormat="1">
      <alignment shrinkToFit="0" vertical="center" wrapText="0"/>
    </xf>
    <xf borderId="0" fillId="0" fontId="4" numFmtId="172" xfId="0" applyAlignment="1" applyFont="1" applyNumberFormat="1">
      <alignment horizontal="left" readingOrder="0" shrinkToFit="0" vertical="center" wrapText="0"/>
    </xf>
    <xf borderId="0" fillId="0" fontId="5" numFmtId="172" xfId="0" applyAlignment="1" applyFont="1" applyNumberFormat="1">
      <alignment shrinkToFit="0" vertical="center" wrapText="0"/>
    </xf>
    <xf borderId="3" fillId="0" fontId="5" numFmtId="172" xfId="0" applyBorder="1" applyFont="1" applyNumberFormat="1"/>
    <xf borderId="3" fillId="9" fontId="5" numFmtId="172" xfId="0" applyBorder="1" applyFill="1" applyFont="1" applyNumberFormat="1"/>
    <xf borderId="12" fillId="0" fontId="5" numFmtId="172" xfId="0" applyAlignment="1" applyBorder="1" applyFont="1" applyNumberFormat="1">
      <alignment shrinkToFit="0" vertical="center" wrapText="0"/>
    </xf>
    <xf borderId="0" fillId="0" fontId="23" numFmtId="164" xfId="0" applyFont="1" applyNumberFormat="1"/>
    <xf borderId="20" fillId="16" fontId="4" numFmtId="164" xfId="0" applyAlignment="1" applyBorder="1" applyFill="1" applyFont="1" applyNumberFormat="1">
      <alignment horizontal="center"/>
    </xf>
    <xf borderId="21" fillId="16" fontId="4" numFmtId="164" xfId="0" applyAlignment="1" applyBorder="1" applyFill="1" applyFont="1" applyNumberFormat="1">
      <alignment horizontal="center"/>
    </xf>
    <xf borderId="22" fillId="16" fontId="4" numFmtId="164" xfId="0" applyAlignment="1" applyBorder="1" applyFill="1" applyFont="1" applyNumberFormat="1">
      <alignment horizontal="center"/>
    </xf>
    <xf borderId="23" fillId="16" fontId="4" numFmtId="164" xfId="0" applyAlignment="1" applyBorder="1" applyFill="1" applyFont="1" applyNumberFormat="1">
      <alignment horizontal="center"/>
    </xf>
    <xf borderId="24" fillId="0" fontId="5" numFmtId="164" xfId="0" applyAlignment="1" applyBorder="1" applyFont="1" applyNumberFormat="1">
      <alignment horizontal="center"/>
    </xf>
    <xf borderId="25" fillId="0" fontId="5" numFmtId="164" xfId="0" applyAlignment="1" applyBorder="1" applyFont="1" applyNumberFormat="1">
      <alignment horizontal="center"/>
    </xf>
    <xf borderId="1" fillId="3" fontId="3" numFmtId="2" xfId="0" applyAlignment="1" applyBorder="1" applyFill="1" applyFont="1" applyNumberFormat="1">
      <alignment horizontal="center"/>
    </xf>
    <xf borderId="0" fillId="0" fontId="4" numFmtId="2" xfId="0" applyFont="1" applyNumberFormat="1"/>
    <xf borderId="0" fillId="0" fontId="5" numFmtId="2" xfId="0" applyFont="1" applyNumberFormat="1"/>
    <xf borderId="2" fillId="4" fontId="6" numFmtId="2" xfId="0" applyBorder="1" applyFill="1" applyFont="1" applyNumberFormat="1"/>
    <xf borderId="0" fillId="0" fontId="4" numFmtId="2" xfId="0" applyFont="1" applyNumberFormat="1"/>
    <xf borderId="26" fillId="16" fontId="4" numFmtId="164" xfId="0" applyAlignment="1" applyBorder="1" applyFill="1" applyFont="1" applyNumberFormat="1">
      <alignment horizontal="center"/>
    </xf>
    <xf borderId="27" fillId="0" fontId="5" numFmtId="164" xfId="0" applyAlignment="1" applyBorder="1" applyFont="1" applyNumberFormat="1">
      <alignment horizontal="center"/>
    </xf>
    <xf borderId="0" fillId="0" fontId="5" numFmtId="2" xfId="0" applyFont="1" applyNumberFormat="1"/>
    <xf borderId="28" fillId="0" fontId="5" numFmtId="164" xfId="0" applyAlignment="1" applyBorder="1" applyFont="1" applyNumberFormat="1">
      <alignment horizontal="center"/>
    </xf>
    <xf borderId="3" fillId="0" fontId="5" numFmtId="2" xfId="0" applyBorder="1" applyFont="1" applyNumberFormat="1"/>
    <xf borderId="12" fillId="0" fontId="5" numFmtId="2" xfId="0" applyBorder="1" applyFont="1" applyNumberFormat="1"/>
    <xf borderId="2" fillId="4" fontId="6" numFmtId="2" xfId="0" applyBorder="1" applyFill="1" applyFont="1" applyNumberFormat="1"/>
    <xf borderId="0" fillId="0" fontId="4" numFmtId="2" xfId="0" applyAlignment="1" applyFont="1" applyNumberFormat="1">
      <alignment horizontal="left" readingOrder="0" shrinkToFit="0" vertical="center" wrapText="0"/>
    </xf>
    <xf borderId="0" fillId="0" fontId="5" numFmtId="2" xfId="0" applyAlignment="1" applyFont="1" applyNumberFormat="1">
      <alignment shrinkToFit="0" vertical="center" wrapText="0"/>
    </xf>
    <xf borderId="3" fillId="0" fontId="5" numFmtId="2" xfId="0" applyBorder="1" applyFont="1" applyNumberFormat="1"/>
    <xf borderId="3" fillId="9" fontId="5" numFmtId="2" xfId="0" applyBorder="1" applyFill="1" applyFont="1" applyNumberFormat="1"/>
    <xf borderId="12" fillId="0" fontId="5" numFmtId="2" xfId="0" applyAlignment="1" applyBorder="1" applyFont="1" applyNumberFormat="1">
      <alignment shrinkToFit="0" vertical="center" wrapText="0"/>
    </xf>
    <xf borderId="2" fillId="12" fontId="5" numFmtId="172" xfId="0" applyAlignment="1" applyBorder="1" applyFill="1" applyFont="1" applyNumberFormat="1">
      <alignment shrinkToFit="0" vertical="center" wrapText="0"/>
    </xf>
    <xf borderId="12" fillId="0" fontId="5" numFmtId="2" xfId="0" applyBorder="1" applyFont="1" applyNumberFormat="1"/>
    <xf borderId="12" fillId="0" fontId="5" numFmtId="10" xfId="0" applyBorder="1" applyFont="1" applyNumberFormat="1"/>
    <xf borderId="14" fillId="12" fontId="5" numFmtId="10" xfId="0" applyBorder="1" applyFill="1" applyFont="1" applyNumberFormat="1"/>
    <xf borderId="0" fillId="0" fontId="5" numFmtId="10" xfId="0" applyFont="1" applyNumberFormat="1"/>
    <xf borderId="2" fillId="12" fontId="5" numFmtId="10" xfId="0" applyBorder="1" applyFill="1" applyFont="1" applyNumberFormat="1"/>
    <xf borderId="2" fillId="12" fontId="5" numFmtId="2" xfId="0" applyBorder="1" applyFill="1" applyFont="1" applyNumberFormat="1"/>
    <xf borderId="2" fillId="17" fontId="6" numFmtId="0" xfId="0" applyBorder="1" applyFill="1" applyFont="1"/>
    <xf borderId="0" fillId="0" fontId="24" numFmtId="0" xfId="0" applyFont="1"/>
    <xf borderId="0" fillId="0" fontId="24" numFmtId="1" xfId="0" applyFont="1" applyNumberFormat="1"/>
    <xf borderId="0" fillId="0" fontId="23" numFmtId="2" xfId="0" applyFont="1" applyNumberFormat="1"/>
    <xf borderId="20" fillId="16" fontId="4" numFmtId="2" xfId="0" applyAlignment="1" applyBorder="1" applyFill="1" applyFont="1" applyNumberFormat="1">
      <alignment horizontal="center"/>
    </xf>
    <xf borderId="0" fillId="0" fontId="24" numFmtId="2" xfId="0" applyFont="1" applyNumberFormat="1"/>
    <xf borderId="21" fillId="16" fontId="4" numFmtId="2" xfId="0" applyAlignment="1" applyBorder="1" applyFill="1" applyFont="1" applyNumberFormat="1">
      <alignment horizontal="center"/>
    </xf>
    <xf borderId="29" fillId="0" fontId="5" numFmtId="0" xfId="0" applyBorder="1" applyFont="1"/>
    <xf borderId="22" fillId="16" fontId="4" numFmtId="2" xfId="0" applyAlignment="1" applyBorder="1" applyFill="1" applyFont="1" applyNumberFormat="1">
      <alignment horizontal="center"/>
    </xf>
    <xf borderId="0" fillId="0" fontId="24" numFmtId="10" xfId="0" applyFont="1" applyNumberFormat="1"/>
    <xf borderId="0" fillId="0" fontId="23" numFmtId="172" xfId="0" applyAlignment="1" applyFont="1" applyNumberFormat="1">
      <alignment shrinkToFit="0" vertical="center" wrapText="0"/>
    </xf>
    <xf borderId="23" fillId="16" fontId="4" numFmtId="2" xfId="0" applyAlignment="1" applyBorder="1" applyFill="1" applyFont="1" applyNumberFormat="1">
      <alignment horizontal="center"/>
    </xf>
    <xf borderId="2" fillId="5" fontId="24" numFmtId="10" xfId="0" applyBorder="1" applyFill="1" applyFont="1" applyNumberFormat="1"/>
    <xf borderId="24" fillId="0" fontId="5" numFmtId="2" xfId="0" applyAlignment="1" applyBorder="1" applyFont="1" applyNumberFormat="1">
      <alignment horizontal="center"/>
    </xf>
    <xf borderId="30" fillId="9" fontId="5" numFmtId="10" xfId="0" applyBorder="1" applyFill="1" applyFont="1" applyNumberFormat="1"/>
    <xf borderId="12" fillId="0" fontId="24" numFmtId="0" xfId="0" applyBorder="1" applyFont="1"/>
    <xf borderId="20" fillId="16" fontId="4" numFmtId="172" xfId="0" applyAlignment="1" applyBorder="1" applyFill="1" applyFont="1" applyNumberFormat="1">
      <alignment horizontal="center" shrinkToFit="0" vertical="center" wrapText="0"/>
    </xf>
    <xf borderId="25" fillId="0" fontId="5" numFmtId="2" xfId="0" applyAlignment="1" applyBorder="1" applyFont="1" applyNumberFormat="1">
      <alignment horizontal="center"/>
    </xf>
    <xf borderId="12" fillId="0" fontId="24" numFmtId="2" xfId="0" applyBorder="1" applyFont="1" applyNumberFormat="1"/>
    <xf borderId="21" fillId="16" fontId="4" numFmtId="172" xfId="0" applyAlignment="1" applyBorder="1" applyFill="1" applyFont="1" applyNumberFormat="1">
      <alignment horizontal="center" shrinkToFit="0" vertical="center" wrapText="0"/>
    </xf>
    <xf borderId="22" fillId="16" fontId="4" numFmtId="172" xfId="0" applyAlignment="1" applyBorder="1" applyFill="1" applyFont="1" applyNumberFormat="1">
      <alignment horizontal="center" shrinkToFit="0" vertical="center" wrapText="0"/>
    </xf>
    <xf borderId="23" fillId="16" fontId="4" numFmtId="172" xfId="0" applyAlignment="1" applyBorder="1" applyFill="1" applyFont="1" applyNumberFormat="1">
      <alignment horizontal="center" shrinkToFit="0" vertical="center" wrapText="0"/>
    </xf>
    <xf borderId="26" fillId="16" fontId="4" numFmtId="2" xfId="0" applyAlignment="1" applyBorder="1" applyFill="1" applyFont="1" applyNumberFormat="1">
      <alignment horizontal="center"/>
    </xf>
    <xf borderId="24" fillId="0" fontId="5" numFmtId="172" xfId="0" applyAlignment="1" applyBorder="1" applyFont="1" applyNumberFormat="1">
      <alignment horizontal="center" shrinkToFit="0" vertical="center" wrapText="0"/>
    </xf>
    <xf borderId="27" fillId="0" fontId="5" numFmtId="2" xfId="0" applyAlignment="1" applyBorder="1" applyFont="1" applyNumberFormat="1">
      <alignment horizontal="center"/>
    </xf>
    <xf borderId="28" fillId="0" fontId="5" numFmtId="2" xfId="0" applyAlignment="1" applyBorder="1" applyFont="1" applyNumberFormat="1">
      <alignment horizontal="center"/>
    </xf>
    <xf borderId="2" fillId="9" fontId="5" numFmtId="10" xfId="0" applyBorder="1" applyFill="1" applyFont="1" applyNumberFormat="1"/>
    <xf borderId="25" fillId="0" fontId="5" numFmtId="172" xfId="0" applyAlignment="1" applyBorder="1" applyFont="1" applyNumberFormat="1">
      <alignment horizontal="center" shrinkToFit="0" vertical="center" wrapText="0"/>
    </xf>
    <xf borderId="2" fillId="5" fontId="24" numFmtId="2" xfId="0" applyBorder="1" applyFill="1" applyFont="1" applyNumberFormat="1"/>
    <xf borderId="26" fillId="16" fontId="4" numFmtId="172" xfId="0" applyAlignment="1" applyBorder="1" applyFill="1" applyFont="1" applyNumberFormat="1">
      <alignment horizontal="center" shrinkToFit="0" vertical="center" wrapText="0"/>
    </xf>
    <xf borderId="27" fillId="0" fontId="5" numFmtId="172" xfId="0" applyAlignment="1" applyBorder="1" applyFont="1" applyNumberFormat="1">
      <alignment horizontal="center" shrinkToFit="0" vertical="center" wrapText="0"/>
    </xf>
    <xf borderId="28" fillId="0" fontId="5" numFmtId="172" xfId="0" applyAlignment="1" applyBorder="1" applyFont="1" applyNumberFormat="1">
      <alignment horizontal="center" shrinkToFit="0" vertical="center" wrapText="0"/>
    </xf>
    <xf borderId="12" fillId="0" fontId="24" numFmtId="173" xfId="0" applyBorder="1" applyFont="1" applyNumberFormat="1"/>
    <xf borderId="3" fillId="5" fontId="24" numFmtId="10" xfId="0" applyBorder="1" applyFill="1" applyFont="1" applyNumberFormat="1"/>
    <xf borderId="0" fillId="0" fontId="24" numFmtId="174" xfId="0" applyFont="1" applyNumberFormat="1"/>
    <xf borderId="2" fillId="5" fontId="24" numFmtId="174" xfId="0" applyBorder="1" applyFill="1" applyFont="1" applyNumberFormat="1"/>
    <xf borderId="2" fillId="18" fontId="24" numFmtId="170" xfId="0" applyBorder="1" applyFill="1" applyFont="1" applyNumberFormat="1"/>
    <xf borderId="2" fillId="19" fontId="24" numFmtId="170" xfId="0" applyBorder="1" applyFill="1" applyFont="1" applyNumberFormat="1"/>
    <xf borderId="31" fillId="0" fontId="24" numFmtId="0" xfId="0" applyBorder="1" applyFont="1"/>
    <xf borderId="31" fillId="0" fontId="24" numFmtId="174" xfId="0" applyBorder="1" applyFont="1" applyNumberFormat="1"/>
    <xf borderId="0" fillId="0" fontId="24" numFmtId="171" xfId="0" applyFont="1" applyNumberFormat="1"/>
    <xf borderId="2" fillId="5" fontId="24" numFmtId="171" xfId="0" applyBorder="1" applyFill="1" applyFont="1" applyNumberFormat="1"/>
    <xf borderId="32" fillId="5" fontId="24" numFmtId="174" xfId="0" applyBorder="1" applyFill="1" applyFont="1" applyNumberFormat="1"/>
    <xf borderId="2" fillId="12" fontId="5" numFmtId="2" xfId="0" applyAlignment="1" applyBorder="1" applyFill="1" applyFont="1" applyNumberFormat="1">
      <alignment shrinkToFit="0" vertical="center" wrapText="0"/>
    </xf>
    <xf borderId="0" fillId="0" fontId="25" numFmtId="0" xfId="0" applyFont="1"/>
    <xf borderId="33" fillId="7" fontId="25" numFmtId="0" xfId="0" applyBorder="1" applyFill="1" applyFont="1"/>
    <xf borderId="33" fillId="20" fontId="25" numFmtId="0" xfId="0" applyBorder="1" applyFill="1" applyFont="1"/>
    <xf borderId="0" fillId="0" fontId="23" numFmtId="0" xfId="0" applyFont="1"/>
    <xf borderId="33" fillId="7" fontId="23" numFmtId="17" xfId="0" applyAlignment="1" applyBorder="1" applyFill="1" applyFont="1" applyNumberFormat="1">
      <alignment horizontal="center"/>
    </xf>
    <xf borderId="34" fillId="0" fontId="25" numFmtId="0" xfId="0" applyBorder="1" applyFont="1"/>
    <xf borderId="31" fillId="0" fontId="25" numFmtId="0" xfId="0" applyBorder="1" applyFont="1"/>
    <xf borderId="35" fillId="0" fontId="25" numFmtId="0" xfId="0" applyBorder="1" applyFont="1"/>
    <xf borderId="36" fillId="7" fontId="23" numFmtId="0" xfId="0" applyAlignment="1" applyBorder="1" applyFill="1" applyFont="1">
      <alignment horizontal="center"/>
    </xf>
    <xf borderId="37" fillId="0" fontId="25" numFmtId="0" xfId="0" applyBorder="1" applyFont="1"/>
    <xf borderId="38" fillId="0" fontId="25" numFmtId="0" xfId="0" applyBorder="1" applyFont="1"/>
    <xf borderId="39" fillId="21" fontId="23" numFmtId="0" xfId="0" applyAlignment="1" applyBorder="1" applyFill="1" applyFont="1">
      <alignment horizontal="center"/>
    </xf>
    <xf borderId="40" fillId="0" fontId="9" numFmtId="0" xfId="0" applyBorder="1" applyFont="1"/>
    <xf borderId="41" fillId="0" fontId="9" numFmtId="0" xfId="0" applyBorder="1" applyFont="1"/>
    <xf borderId="42" fillId="21" fontId="26" numFmtId="0" xfId="0" applyAlignment="1" applyBorder="1" applyFill="1" applyFont="1">
      <alignment horizontal="left" shrinkToFit="0" vertical="top" wrapText="1"/>
    </xf>
    <xf borderId="43" fillId="0" fontId="9" numFmtId="0" xfId="0" applyBorder="1" applyFont="1"/>
    <xf borderId="44" fillId="0" fontId="9" numFmtId="0" xfId="0" applyBorder="1" applyFont="1"/>
    <xf borderId="45" fillId="0" fontId="9" numFmtId="0" xfId="0" applyBorder="1" applyFont="1"/>
    <xf borderId="46" fillId="0" fontId="9" numFmtId="0" xfId="0" applyBorder="1" applyFont="1"/>
    <xf borderId="33" fillId="0" fontId="27" numFmtId="0" xfId="0" applyAlignment="1" applyBorder="1" applyFont="1">
      <alignment horizontal="center"/>
    </xf>
    <xf borderId="29" fillId="0" fontId="27" numFmtId="0" xfId="0" applyBorder="1" applyFont="1"/>
    <xf borderId="33" fillId="0" fontId="25" numFmtId="0" xfId="0" applyBorder="1" applyFont="1"/>
    <xf borderId="33" fillId="7" fontId="25" numFmtId="167" xfId="0" applyAlignment="1" applyBorder="1" applyFill="1" applyFont="1" applyNumberFormat="1">
      <alignment horizontal="center"/>
    </xf>
    <xf borderId="47" fillId="7" fontId="25" numFmtId="173" xfId="0" applyAlignment="1" applyBorder="1" applyFill="1" applyFont="1" applyNumberFormat="1">
      <alignment horizontal="center" readingOrder="0"/>
    </xf>
    <xf borderId="29" fillId="7" fontId="25" numFmtId="0" xfId="0" applyAlignment="1" applyBorder="1" applyFill="1" applyFont="1">
      <alignment horizontal="center" readingOrder="0" vertical="center"/>
    </xf>
    <xf borderId="48" fillId="0" fontId="9" numFmtId="0" xfId="0" applyBorder="1" applyFont="1"/>
    <xf borderId="49" fillId="0" fontId="9" numFmtId="0" xfId="0" applyBorder="1" applyFont="1"/>
    <xf borderId="50" fillId="0" fontId="9" numFmtId="0" xfId="0" applyBorder="1" applyFont="1"/>
    <xf borderId="0" fillId="0" fontId="23" numFmtId="2" xfId="0" applyAlignment="1" applyFont="1" applyNumberFormat="1">
      <alignment shrinkToFit="0" vertical="center" wrapText="0"/>
    </xf>
    <xf borderId="51" fillId="0" fontId="9" numFmtId="0" xfId="0" applyBorder="1" applyFont="1"/>
    <xf borderId="20" fillId="16" fontId="4" numFmtId="2" xfId="0" applyAlignment="1" applyBorder="1" applyFill="1" applyFont="1" applyNumberFormat="1">
      <alignment horizontal="center" shrinkToFit="0" vertical="center" wrapText="0"/>
    </xf>
    <xf borderId="21" fillId="16" fontId="4" numFmtId="2" xfId="0" applyAlignment="1" applyBorder="1" applyFill="1" applyFont="1" applyNumberFormat="1">
      <alignment horizontal="center" shrinkToFit="0" vertical="center" wrapText="0"/>
    </xf>
    <xf borderId="14" fillId="5" fontId="24" numFmtId="2" xfId="0" applyBorder="1" applyFill="1" applyFont="1" applyNumberFormat="1"/>
    <xf borderId="22" fillId="16" fontId="4" numFmtId="2" xfId="0" applyAlignment="1" applyBorder="1" applyFill="1" applyFont="1" applyNumberFormat="1">
      <alignment horizontal="center" shrinkToFit="0" vertical="center" wrapText="0"/>
    </xf>
    <xf borderId="52" fillId="0" fontId="9" numFmtId="0" xfId="0" applyBorder="1" applyFont="1"/>
    <xf borderId="53" fillId="7" fontId="25" numFmtId="167" xfId="0" applyAlignment="1" applyBorder="1" applyFill="1" applyFont="1" applyNumberFormat="1">
      <alignment horizontal="center"/>
    </xf>
    <xf borderId="53" fillId="3" fontId="28" numFmtId="167" xfId="0" applyAlignment="1" applyBorder="1" applyFill="1" applyFont="1" applyNumberFormat="1">
      <alignment horizontal="left"/>
    </xf>
    <xf borderId="23" fillId="16" fontId="4" numFmtId="2" xfId="0" applyAlignment="1" applyBorder="1" applyFill="1" applyFont="1" applyNumberFormat="1">
      <alignment horizontal="center" shrinkToFit="0" vertical="center" wrapText="0"/>
    </xf>
    <xf borderId="0" fillId="0" fontId="28" numFmtId="0" xfId="0" applyFont="1"/>
    <xf borderId="24" fillId="0" fontId="5" numFmtId="2" xfId="0" applyAlignment="1" applyBorder="1" applyFont="1" applyNumberFormat="1">
      <alignment horizontal="center" shrinkToFit="0" vertical="center" wrapText="0"/>
    </xf>
    <xf borderId="33" fillId="7" fontId="25" numFmtId="173" xfId="0" applyAlignment="1" applyBorder="1" applyFill="1" applyFont="1" applyNumberFormat="1">
      <alignment horizontal="center" readingOrder="0"/>
    </xf>
    <xf borderId="30" fillId="7" fontId="25" numFmtId="167" xfId="0" applyAlignment="1" applyBorder="1" applyFill="1" applyFont="1" applyNumberFormat="1">
      <alignment horizontal="center"/>
    </xf>
    <xf borderId="25" fillId="0" fontId="5" numFmtId="2" xfId="0" applyAlignment="1" applyBorder="1" applyFont="1" applyNumberFormat="1">
      <alignment horizontal="center" shrinkToFit="0" vertical="center" wrapText="0"/>
    </xf>
    <xf borderId="0" fillId="0" fontId="25" numFmtId="0" xfId="0" applyAlignment="1" applyFont="1">
      <alignment horizontal="center"/>
    </xf>
    <xf borderId="54" fillId="0" fontId="27" numFmtId="0" xfId="0" applyAlignment="1" applyBorder="1" applyFont="1">
      <alignment horizontal="center"/>
    </xf>
    <xf borderId="30" fillId="7" fontId="25" numFmtId="2" xfId="0" applyAlignment="1" applyBorder="1" applyFill="1" applyFont="1" applyNumberFormat="1">
      <alignment horizontal="center"/>
    </xf>
    <xf borderId="33" fillId="0" fontId="25" numFmtId="0" xfId="0" applyAlignment="1" applyBorder="1" applyFont="1">
      <alignment horizontal="center"/>
    </xf>
    <xf borderId="42" fillId="0" fontId="23" numFmtId="0" xfId="0" applyAlignment="1" applyBorder="1" applyFont="1">
      <alignment horizontal="center"/>
    </xf>
    <xf borderId="33" fillId="20" fontId="25" numFmtId="10" xfId="0" applyBorder="1" applyFill="1" applyFont="1" applyNumberFormat="1"/>
    <xf borderId="33" fillId="20" fontId="29" numFmtId="10" xfId="0" applyAlignment="1" applyBorder="1" applyFill="1" applyFont="1" applyNumberFormat="1">
      <alignment horizontal="center"/>
    </xf>
    <xf borderId="45" fillId="0" fontId="27" numFmtId="0" xfId="0" applyBorder="1" applyFont="1"/>
    <xf borderId="46" fillId="0" fontId="25" numFmtId="0" xfId="0" applyBorder="1" applyFont="1"/>
    <xf borderId="33" fillId="7" fontId="25" numFmtId="10" xfId="0" applyAlignment="1" applyBorder="1" applyFill="1" applyFont="1" applyNumberFormat="1">
      <alignment horizontal="center"/>
    </xf>
    <xf borderId="45" fillId="0" fontId="23" numFmtId="0" xfId="0" applyBorder="1" applyFont="1"/>
    <xf borderId="33" fillId="0" fontId="27" numFmtId="0" xfId="0" applyBorder="1" applyFont="1"/>
    <xf borderId="55" fillId="0" fontId="27" numFmtId="0" xfId="0" applyAlignment="1" applyBorder="1" applyFont="1">
      <alignment horizontal="center"/>
    </xf>
    <xf borderId="54" fillId="0" fontId="9" numFmtId="0" xfId="0" applyBorder="1" applyFont="1"/>
    <xf borderId="56" fillId="0" fontId="9" numFmtId="0" xfId="0" applyBorder="1" applyFont="1"/>
    <xf borderId="57" fillId="0" fontId="27" numFmtId="0" xfId="0" applyAlignment="1" applyBorder="1" applyFont="1">
      <alignment horizontal="center"/>
    </xf>
    <xf borderId="58" fillId="0" fontId="27" numFmtId="0" xfId="0" applyAlignment="1" applyBorder="1" applyFont="1">
      <alignment horizontal="center"/>
    </xf>
    <xf borderId="0" fillId="0" fontId="25" numFmtId="167" xfId="0" applyAlignment="1" applyFont="1" applyNumberFormat="1">
      <alignment horizontal="center"/>
    </xf>
    <xf borderId="45" fillId="0" fontId="25" numFmtId="0" xfId="0" applyBorder="1" applyFont="1"/>
    <xf borderId="33" fillId="20" fontId="25" numFmtId="167" xfId="0" applyBorder="1" applyFill="1" applyFont="1" applyNumberFormat="1"/>
    <xf borderId="33" fillId="0" fontId="25" numFmtId="10" xfId="0" applyAlignment="1" applyBorder="1" applyFont="1" applyNumberFormat="1">
      <alignment horizontal="center"/>
    </xf>
    <xf borderId="33" fillId="20" fontId="25" numFmtId="167" xfId="0" applyAlignment="1" applyBorder="1" applyFill="1" applyFont="1" applyNumberFormat="1">
      <alignment horizontal="center"/>
    </xf>
    <xf borderId="53" fillId="20" fontId="25" numFmtId="10" xfId="0" applyAlignment="1" applyBorder="1" applyFill="1" applyFont="1" applyNumberFormat="1">
      <alignment horizontal="center"/>
    </xf>
    <xf borderId="33" fillId="20" fontId="25" numFmtId="10" xfId="0" applyAlignment="1" applyBorder="1" applyFill="1" applyFont="1" applyNumberFormat="1">
      <alignment horizontal="center"/>
    </xf>
    <xf borderId="33" fillId="0" fontId="25" numFmtId="167" xfId="0" applyAlignment="1" applyBorder="1" applyFont="1" applyNumberFormat="1">
      <alignment horizontal="center"/>
    </xf>
    <xf borderId="30" fillId="20" fontId="25" numFmtId="10" xfId="0" applyAlignment="1" applyBorder="1" applyFill="1" applyFont="1" applyNumberFormat="1">
      <alignment horizontal="center"/>
    </xf>
    <xf borderId="59" fillId="20" fontId="25" numFmtId="10" xfId="0" applyAlignment="1" applyBorder="1" applyFill="1" applyFont="1" applyNumberFormat="1">
      <alignment horizontal="center"/>
    </xf>
    <xf borderId="2" fillId="9" fontId="5" numFmtId="0" xfId="0" applyBorder="1" applyFill="1" applyFont="1"/>
    <xf borderId="58" fillId="20" fontId="25" numFmtId="10" xfId="0" applyAlignment="1" applyBorder="1" applyFill="1" applyFont="1" applyNumberFormat="1">
      <alignment horizontal="center"/>
    </xf>
    <xf borderId="26" fillId="16" fontId="4" numFmtId="2" xfId="0" applyAlignment="1" applyBorder="1" applyFill="1" applyFont="1" applyNumberFormat="1">
      <alignment horizontal="center" shrinkToFit="0" vertical="center" wrapText="0"/>
    </xf>
    <xf borderId="27" fillId="0" fontId="5" numFmtId="2" xfId="0" applyAlignment="1" applyBorder="1" applyFont="1" applyNumberFormat="1">
      <alignment horizontal="center" shrinkToFit="0" vertical="center" wrapText="0"/>
    </xf>
    <xf borderId="33" fillId="0" fontId="25" numFmtId="2" xfId="0" applyAlignment="1" applyBorder="1" applyFont="1" applyNumberFormat="1">
      <alignment horizontal="center"/>
    </xf>
    <xf borderId="53" fillId="20" fontId="25" numFmtId="2" xfId="0" applyAlignment="1" applyBorder="1" applyFill="1" applyFont="1" applyNumberFormat="1">
      <alignment horizontal="center"/>
    </xf>
    <xf borderId="33" fillId="20" fontId="25" numFmtId="2" xfId="0" applyAlignment="1" applyBorder="1" applyFill="1" applyFont="1" applyNumberFormat="1">
      <alignment horizontal="center"/>
    </xf>
    <xf borderId="28" fillId="0" fontId="5" numFmtId="2" xfId="0" applyAlignment="1" applyBorder="1" applyFont="1" applyNumberFormat="1">
      <alignment horizontal="center" shrinkToFit="0" vertical="center" wrapText="0"/>
    </xf>
    <xf borderId="58" fillId="20" fontId="25" numFmtId="2" xfId="0" applyAlignment="1" applyBorder="1" applyFill="1" applyFont="1" applyNumberFormat="1">
      <alignment horizontal="center"/>
    </xf>
    <xf borderId="57" fillId="0" fontId="25" numFmtId="2" xfId="0" applyAlignment="1" applyBorder="1" applyFont="1" applyNumberFormat="1">
      <alignment horizontal="center"/>
    </xf>
    <xf borderId="0" fillId="0" fontId="25" numFmtId="2" xfId="0" applyAlignment="1" applyFont="1" applyNumberFormat="1">
      <alignment horizontal="center"/>
    </xf>
    <xf borderId="46" fillId="0" fontId="25" numFmtId="2" xfId="0" applyAlignment="1" applyBorder="1" applyFont="1" applyNumberFormat="1">
      <alignment horizontal="center"/>
    </xf>
    <xf borderId="33" fillId="0" fontId="30" numFmtId="167" xfId="0" applyBorder="1" applyFont="1" applyNumberFormat="1"/>
    <xf borderId="46" fillId="0" fontId="30" numFmtId="0" xfId="0" applyBorder="1" applyFont="1"/>
    <xf borderId="33" fillId="7" fontId="25" numFmtId="2" xfId="0" applyAlignment="1" applyBorder="1" applyFill="1" applyFont="1" applyNumberFormat="1">
      <alignment horizontal="center"/>
    </xf>
    <xf borderId="33" fillId="0" fontId="25" numFmtId="10" xfId="0" applyBorder="1" applyFont="1" applyNumberFormat="1"/>
    <xf borderId="48" fillId="0" fontId="25" numFmtId="0" xfId="0" applyBorder="1" applyFont="1"/>
    <xf borderId="49" fillId="0" fontId="25" numFmtId="0" xfId="0" applyBorder="1" applyFont="1"/>
    <xf borderId="60" fillId="20" fontId="25" numFmtId="10" xfId="0" applyAlignment="1" applyBorder="1" applyFill="1" applyFont="1" applyNumberFormat="1">
      <alignment horizontal="center"/>
    </xf>
    <xf borderId="61" fillId="20" fontId="25" numFmtId="10" xfId="0" applyAlignment="1" applyBorder="1" applyFill="1" applyFont="1" applyNumberFormat="1">
      <alignment horizontal="center"/>
    </xf>
    <xf borderId="62" fillId="20" fontId="25" numFmtId="10" xfId="0" applyAlignment="1" applyBorder="1" applyFill="1" applyFont="1" applyNumberFormat="1">
      <alignment horizontal="center"/>
    </xf>
    <xf borderId="0" fillId="0" fontId="25" numFmtId="10" xfId="0" applyFont="1" applyNumberFormat="1"/>
    <xf borderId="42" fillId="0" fontId="23" numFmtId="0" xfId="0" applyAlignment="1" applyBorder="1" applyFont="1">
      <alignment horizontal="left"/>
    </xf>
    <xf borderId="33" fillId="20" fontId="25" numFmtId="175" xfId="0" applyBorder="1" applyFill="1" applyFont="1" applyNumberFormat="1"/>
    <xf borderId="33" fillId="0" fontId="25" numFmtId="0" xfId="0" applyAlignment="1" applyBorder="1" applyFont="1">
      <alignment vertical="center"/>
    </xf>
    <xf borderId="33" fillId="20" fontId="25" numFmtId="10" xfId="0" applyAlignment="1" applyBorder="1" applyFill="1" applyFont="1" applyNumberFormat="1">
      <alignment horizontal="center" vertical="center"/>
    </xf>
    <xf borderId="37" fillId="0" fontId="28" numFmtId="0" xfId="0" applyAlignment="1" applyBorder="1" applyFont="1">
      <alignment horizontal="center" shrinkToFit="0" wrapText="1"/>
    </xf>
    <xf borderId="0" fillId="0" fontId="25" numFmtId="10" xfId="0" applyAlignment="1" applyFont="1" applyNumberFormat="1">
      <alignment horizontal="center"/>
    </xf>
    <xf borderId="48" fillId="0" fontId="31" numFmtId="0" xfId="0" applyBorder="1" applyFont="1"/>
    <xf borderId="50" fillId="0" fontId="25" numFmtId="0" xfId="0" applyBorder="1" applyFont="1"/>
    <xf borderId="33" fillId="7" fontId="25" numFmtId="170" xfId="0" applyAlignment="1" applyBorder="1" applyFill="1" applyFont="1" applyNumberFormat="1">
      <alignment horizontal="center"/>
    </xf>
    <xf borderId="0" fillId="0" fontId="25" numFmtId="170" xfId="0" applyAlignment="1" applyFont="1" applyNumberFormat="1">
      <alignment horizontal="center"/>
    </xf>
    <xf borderId="0" fillId="0" fontId="27" numFmtId="0" xfId="0" applyFont="1"/>
    <xf borderId="0" fillId="0" fontId="31" numFmtId="0" xfId="0" applyFont="1"/>
    <xf borderId="33" fillId="7" fontId="25" numFmtId="9" xfId="0" applyAlignment="1" applyBorder="1" applyFill="1" applyFont="1" applyNumberFormat="1">
      <alignment horizontal="center"/>
    </xf>
    <xf borderId="0" fillId="0" fontId="25" numFmtId="9" xfId="0" applyAlignment="1" applyFont="1" applyNumberFormat="1">
      <alignment horizontal="center"/>
    </xf>
    <xf borderId="33" fillId="7" fontId="25" numFmtId="1" xfId="0" applyAlignment="1" applyBorder="1" applyFill="1" applyFont="1" applyNumberFormat="1">
      <alignment horizontal="center"/>
    </xf>
    <xf borderId="2" fillId="21" fontId="25" numFmtId="170" xfId="0" applyAlignment="1" applyBorder="1" applyFill="1" applyFont="1" applyNumberFormat="1">
      <alignment horizontal="center"/>
    </xf>
    <xf borderId="0" fillId="0" fontId="30" numFmtId="0" xfId="0" applyFont="1"/>
    <xf borderId="33" fillId="20" fontId="25" numFmtId="0" xfId="0" applyAlignment="1" applyBorder="1" applyFill="1" applyFont="1">
      <alignment horizontal="center"/>
    </xf>
    <xf borderId="33" fillId="20" fontId="25" numFmtId="176" xfId="0" applyAlignment="1" applyBorder="1" applyFill="1" applyFont="1" applyNumberFormat="1">
      <alignment horizontal="center"/>
    </xf>
    <xf borderId="0" fillId="0" fontId="25" numFmtId="167" xfId="0" applyAlignment="1" applyFont="1" applyNumberFormat="1">
      <alignment horizontal="left"/>
    </xf>
    <xf borderId="33" fillId="20" fontId="25" numFmtId="170" xfId="0" applyBorder="1" applyFill="1" applyFont="1" applyNumberFormat="1"/>
    <xf borderId="2" fillId="3" fontId="32" numFmtId="0" xfId="0" applyAlignment="1" applyBorder="1" applyFill="1" applyFont="1">
      <alignment shrinkToFit="0" vertical="top" wrapText="1"/>
    </xf>
    <xf borderId="63" fillId="3" fontId="32" numFmtId="0" xfId="0" applyAlignment="1" applyBorder="1" applyFill="1" applyFont="1">
      <alignment shrinkToFit="0" vertical="top" wrapText="1"/>
    </xf>
    <xf borderId="64" fillId="0" fontId="9" numFmtId="0" xfId="0" applyBorder="1" applyFont="1"/>
    <xf borderId="63" fillId="22" fontId="33" numFmtId="0" xfId="0" applyBorder="1" applyFill="1" applyFont="1"/>
    <xf borderId="63" fillId="23" fontId="34" numFmtId="0" xfId="0" applyBorder="1" applyFill="1" applyFont="1"/>
    <xf borderId="65" fillId="24" fontId="35" numFmtId="0" xfId="0" applyBorder="1" applyFill="1" applyFont="1"/>
    <xf borderId="65" fillId="24" fontId="36" numFmtId="0" xfId="0" applyBorder="1" applyFill="1" applyFont="1"/>
    <xf borderId="65" fillId="3" fontId="35" numFmtId="0" xfId="0" applyBorder="1" applyFill="1" applyFont="1"/>
    <xf borderId="65" fillId="3" fontId="36" numFmtId="0" xfId="0" applyBorder="1" applyFill="1" applyFont="1"/>
    <xf borderId="2" fillId="25" fontId="37" numFmtId="170" xfId="0" applyBorder="1" applyFill="1" applyFont="1" applyNumberFormat="1"/>
    <xf borderId="4" fillId="26" fontId="38" numFmtId="0" xfId="0" applyAlignment="1" applyBorder="1" applyFill="1" applyFont="1">
      <alignment horizontal="left" shrinkToFit="0" vertical="top" wrapText="1"/>
    </xf>
    <xf borderId="65" fillId="27" fontId="35" numFmtId="0" xfId="0" applyBorder="1" applyFill="1" applyFont="1"/>
    <xf borderId="66" fillId="27" fontId="35" numFmtId="0" xfId="0" applyBorder="1" applyFill="1" applyFont="1"/>
    <xf borderId="67" fillId="0" fontId="9" numFmtId="0" xfId="0" applyBorder="1" applyFont="1"/>
    <xf borderId="65" fillId="3" fontId="35" numFmtId="0" xfId="0" applyAlignment="1" applyBorder="1" applyFill="1" applyFont="1">
      <alignment shrinkToFit="0" vertical="top" wrapText="1"/>
    </xf>
    <xf borderId="66" fillId="3" fontId="36" numFmtId="0" xfId="0" applyAlignment="1" applyBorder="1" applyFill="1" applyFont="1">
      <alignment shrinkToFit="0" vertical="top" wrapText="1"/>
    </xf>
    <xf borderId="65" fillId="24" fontId="35" numFmtId="0" xfId="0" applyAlignment="1" applyBorder="1" applyFill="1" applyFont="1">
      <alignment shrinkToFit="0" vertical="top" wrapText="1"/>
    </xf>
    <xf borderId="66" fillId="24" fontId="36" numFmtId="0" xfId="0" applyAlignment="1" applyBorder="1" applyFill="1" applyFont="1">
      <alignment shrinkToFit="0" vertical="top" wrapText="1"/>
    </xf>
    <xf borderId="33" fillId="20" fontId="25" numFmtId="177" xfId="0" applyBorder="1" applyFill="1" applyFont="1" applyNumberFormat="1"/>
    <xf borderId="63" fillId="22" fontId="39" numFmtId="0" xfId="0" applyAlignment="1" applyBorder="1" applyFill="1" applyFont="1">
      <alignment horizontal="left" shrinkToFit="0" wrapText="1"/>
    </xf>
    <xf borderId="0" fillId="0" fontId="19" numFmtId="0" xfId="0" applyAlignment="1" applyFont="1">
      <alignment horizontal="left" shrinkToFit="0" wrapText="1"/>
    </xf>
    <xf borderId="63" fillId="28" fontId="34" numFmtId="0" xfId="0" applyAlignment="1" applyBorder="1" applyFill="1" applyFont="1">
      <alignment horizontal="left" shrinkToFit="0" wrapText="1"/>
    </xf>
    <xf borderId="65" fillId="29" fontId="40" numFmtId="0" xfId="0" applyAlignment="1" applyBorder="1" applyFill="1" applyFont="1">
      <alignment horizontal="left" shrinkToFit="0" wrapText="1"/>
    </xf>
    <xf borderId="33" fillId="20" fontId="25" numFmtId="178" xfId="0" applyBorder="1" applyFill="1" applyFont="1" applyNumberFormat="1"/>
    <xf borderId="66" fillId="29" fontId="40" numFmtId="0" xfId="0" applyAlignment="1" applyBorder="1" applyFill="1" applyFont="1">
      <alignment horizontal="left" shrinkToFit="0" wrapText="1"/>
    </xf>
    <xf borderId="33" fillId="20" fontId="41" numFmtId="167" xfId="0" applyBorder="1" applyFill="1" applyFont="1" applyNumberFormat="1"/>
    <xf borderId="65" fillId="30" fontId="35" numFmtId="0" xfId="0" applyAlignment="1" applyBorder="1" applyFill="1" applyFont="1">
      <alignment horizontal="left" shrinkToFit="0" vertical="top" wrapText="1"/>
    </xf>
    <xf borderId="66" fillId="30" fontId="42" numFmtId="0" xfId="0" applyAlignment="1" applyBorder="1" applyFill="1" applyFont="1">
      <alignment horizontal="left" shrinkToFit="0" vertical="top" wrapText="1"/>
    </xf>
    <xf borderId="65" fillId="3" fontId="35" numFmtId="0" xfId="0" applyAlignment="1" applyBorder="1" applyFill="1" applyFont="1">
      <alignment horizontal="left" shrinkToFit="0" vertical="top" wrapText="1"/>
    </xf>
    <xf borderId="66" fillId="3" fontId="42" numFmtId="0" xfId="0" applyAlignment="1" applyBorder="1" applyFill="1" applyFont="1">
      <alignment horizontal="left" shrinkToFit="0" vertical="top" wrapText="1"/>
    </xf>
    <xf borderId="63" fillId="31" fontId="34" numFmtId="0" xfId="0" applyAlignment="1" applyBorder="1" applyFill="1" applyFont="1">
      <alignment horizontal="left" shrinkToFit="0" wrapText="1"/>
    </xf>
    <xf borderId="33" fillId="0" fontId="43" numFmtId="0" xfId="0" applyBorder="1" applyFont="1"/>
    <xf borderId="65" fillId="32" fontId="44" numFmtId="0" xfId="0" applyAlignment="1" applyBorder="1" applyFill="1" applyFont="1">
      <alignment horizontal="left" shrinkToFit="0" wrapText="1"/>
    </xf>
    <xf borderId="66" fillId="32" fontId="44" numFmtId="0" xfId="0" applyAlignment="1" applyBorder="1" applyFill="1" applyFont="1">
      <alignment horizontal="left" shrinkToFit="0" wrapText="1"/>
    </xf>
    <xf borderId="65" fillId="33" fontId="35" numFmtId="0" xfId="0" applyAlignment="1" applyBorder="1" applyFill="1" applyFont="1">
      <alignment horizontal="left" shrinkToFit="0" vertical="top" wrapText="1"/>
    </xf>
    <xf borderId="66" fillId="33" fontId="42" numFmtId="0" xfId="0" applyAlignment="1" applyBorder="1" applyFill="1" applyFont="1">
      <alignment horizontal="left" shrinkToFit="0" vertical="top" wrapText="1"/>
    </xf>
    <xf borderId="66" fillId="24" fontId="45" numFmtId="0" xfId="0" applyAlignment="1" applyBorder="1" applyFill="1" applyFont="1">
      <alignment horizontal="left" shrinkToFit="0" wrapText="1"/>
    </xf>
    <xf borderId="68" fillId="0" fontId="9" numFmtId="0" xfId="0" applyBorder="1" applyFont="1"/>
    <xf borderId="0" fillId="0" fontId="45" numFmtId="0" xfId="0" applyAlignment="1" applyFont="1">
      <alignment horizontal="left" shrinkToFit="0" wrapText="1"/>
    </xf>
    <xf borderId="63" fillId="23" fontId="34" numFmtId="0" xfId="0" applyAlignment="1" applyBorder="1" applyFill="1" applyFont="1">
      <alignment horizontal="left" shrinkToFit="0" wrapText="1"/>
    </xf>
    <xf borderId="65" fillId="27" fontId="46" numFmtId="0" xfId="0" applyAlignment="1" applyBorder="1" applyFill="1" applyFont="1">
      <alignment horizontal="left" shrinkToFit="0" wrapText="1"/>
    </xf>
    <xf borderId="65" fillId="24" fontId="46" numFmtId="0" xfId="0" applyAlignment="1" applyBorder="1" applyFill="1" applyFont="1">
      <alignment horizontal="left" shrinkToFit="0" wrapText="1"/>
    </xf>
    <xf borderId="65" fillId="24" fontId="47" numFmtId="0" xfId="0" applyAlignment="1" applyBorder="1" applyFill="1" applyFont="1">
      <alignment horizontal="left" shrinkToFit="0" wrapText="1"/>
    </xf>
    <xf borderId="65" fillId="29" fontId="48" numFmtId="0" xfId="0" applyAlignment="1" applyBorder="1" applyFill="1" applyFont="1">
      <alignment horizontal="center" shrinkToFit="0" wrapText="1"/>
    </xf>
    <xf borderId="65" fillId="24" fontId="45" numFmtId="0" xfId="0" applyAlignment="1" applyBorder="1" applyFill="1" applyFont="1">
      <alignment horizontal="center" shrinkToFit="0" wrapText="1"/>
    </xf>
    <xf borderId="33" fillId="20" fontId="25" numFmtId="175" xfId="0" applyAlignment="1" applyBorder="1" applyFill="1" applyFont="1" applyNumberFormat="1">
      <alignment horizontal="center"/>
    </xf>
    <xf borderId="65" fillId="3" fontId="46" numFmtId="0" xfId="0" applyAlignment="1" applyBorder="1" applyFill="1" applyFont="1">
      <alignment horizontal="left" shrinkToFit="0" wrapText="1"/>
    </xf>
    <xf borderId="65" fillId="3" fontId="47" numFmtId="0" xfId="0" applyAlignment="1" applyBorder="1" applyFill="1" applyFont="1">
      <alignment horizontal="left" shrinkToFit="0" wrapText="1"/>
    </xf>
    <xf borderId="65" fillId="32" fontId="49" numFmtId="0" xfId="0" applyAlignment="1" applyBorder="1" applyFill="1" applyFont="1">
      <alignment horizontal="center" shrinkToFit="0" wrapText="1"/>
    </xf>
    <xf borderId="65" fillId="3" fontId="45" numFmtId="0" xfId="0" applyAlignment="1" applyBorder="1" applyFill="1" applyFont="1">
      <alignment horizontal="center" shrinkToFit="0" wrapText="1"/>
    </xf>
    <xf borderId="65" fillId="34" fontId="50" numFmtId="0" xfId="0" applyAlignment="1" applyBorder="1" applyFill="1" applyFont="1">
      <alignment horizontal="center" shrinkToFit="0" wrapText="1"/>
    </xf>
    <xf borderId="66" fillId="27" fontId="46" numFmtId="0" xfId="0" applyAlignment="1" applyBorder="1" applyFill="1" applyFont="1">
      <alignment horizontal="left" shrinkToFit="0" wrapText="1"/>
    </xf>
    <xf borderId="65" fillId="24" fontId="46" numFmtId="0" xfId="0" applyAlignment="1" applyBorder="1" applyFill="1" applyFont="1">
      <alignment horizontal="left" shrinkToFit="0" vertical="top" wrapText="1"/>
    </xf>
    <xf borderId="66" fillId="24" fontId="47" numFmtId="0" xfId="0" applyAlignment="1" applyBorder="1" applyFill="1" applyFont="1">
      <alignment horizontal="left" shrinkToFit="0" vertical="top" wrapText="1"/>
    </xf>
    <xf borderId="65" fillId="3" fontId="46" numFmtId="0" xfId="0" applyAlignment="1" applyBorder="1" applyFill="1" applyFont="1">
      <alignment horizontal="left" shrinkToFit="0" vertical="top" wrapText="1"/>
    </xf>
    <xf borderId="66" fillId="3" fontId="47" numFmtId="0" xfId="0" applyAlignment="1" applyBorder="1" applyFill="1" applyFont="1">
      <alignment horizontal="left" shrinkToFit="0" vertical="top" wrapText="1"/>
    </xf>
    <xf borderId="0" fillId="0" fontId="25" numFmtId="10" xfId="0" applyAlignment="1" applyFont="1" applyNumberFormat="1">
      <alignment horizontal="right"/>
    </xf>
    <xf borderId="63" fillId="22" fontId="39" numFmtId="0" xfId="0" applyAlignment="1" applyBorder="1" applyFill="1" applyFont="1">
      <alignment horizontal="left"/>
    </xf>
    <xf borderId="0" fillId="0" fontId="19" numFmtId="0" xfId="0" applyAlignment="1" applyFont="1">
      <alignment horizontal="left"/>
    </xf>
    <xf borderId="66" fillId="23" fontId="34" numFmtId="0" xfId="0" applyAlignment="1" applyBorder="1" applyFill="1" applyFont="1">
      <alignment horizontal="left"/>
    </xf>
    <xf borderId="65" fillId="24" fontId="35" numFmtId="0" xfId="0" applyAlignment="1" applyBorder="1" applyFill="1" applyFont="1">
      <alignment horizontal="left"/>
    </xf>
    <xf borderId="65" fillId="24" fontId="36" numFmtId="0" xfId="0" applyAlignment="1" applyBorder="1" applyFill="1" applyFont="1">
      <alignment horizontal="right"/>
    </xf>
    <xf borderId="65" fillId="24" fontId="36" numFmtId="10" xfId="0" applyAlignment="1" applyBorder="1" applyFill="1" applyFont="1" applyNumberFormat="1">
      <alignment horizontal="right"/>
    </xf>
    <xf borderId="65" fillId="3" fontId="35" numFmtId="0" xfId="0" applyAlignment="1" applyBorder="1" applyFill="1" applyFont="1">
      <alignment horizontal="left"/>
    </xf>
    <xf borderId="65" fillId="3" fontId="36" numFmtId="0" xfId="0" applyAlignment="1" applyBorder="1" applyFill="1" applyFont="1">
      <alignment horizontal="right"/>
    </xf>
    <xf borderId="65" fillId="3" fontId="36" numFmtId="166" xfId="0" applyAlignment="1" applyBorder="1" applyFill="1" applyFont="1" applyNumberFormat="1">
      <alignment horizontal="right"/>
    </xf>
    <xf borderId="65" fillId="3" fontId="36" numFmtId="10" xfId="0" applyAlignment="1" applyBorder="1" applyFill="1" applyFont="1" applyNumberFormat="1">
      <alignment horizontal="right"/>
    </xf>
    <xf borderId="65" fillId="24" fontId="36" numFmtId="3" xfId="0" applyAlignment="1" applyBorder="1" applyFill="1" applyFont="1" applyNumberFormat="1">
      <alignment horizontal="right"/>
    </xf>
    <xf borderId="65" fillId="24" fontId="36" numFmtId="170" xfId="0" applyAlignment="1" applyBorder="1" applyFill="1" applyFont="1" applyNumberFormat="1">
      <alignment horizontal="right"/>
    </xf>
    <xf borderId="65" fillId="3" fontId="36" numFmtId="173" xfId="0" applyAlignment="1" applyBorder="1" applyFill="1" applyFont="1" applyNumberFormat="1">
      <alignment horizontal="right"/>
    </xf>
    <xf borderId="65" fillId="24" fontId="36" numFmtId="166" xfId="0" applyAlignment="1" applyBorder="1" applyFill="1" applyFont="1" applyNumberFormat="1">
      <alignment horizontal="right"/>
    </xf>
    <xf borderId="69" fillId="35" fontId="51" numFmtId="0" xfId="0" applyAlignment="1" applyBorder="1" applyFill="1" applyFont="1">
      <alignment horizontal="left"/>
    </xf>
    <xf borderId="69" fillId="35" fontId="51" numFmtId="0" xfId="0" applyAlignment="1" applyBorder="1" applyFill="1" applyFont="1">
      <alignment horizontal="right"/>
    </xf>
    <xf borderId="69" fillId="35" fontId="6" numFmtId="0" xfId="0" applyAlignment="1" applyBorder="1" applyFill="1" applyFont="1">
      <alignment horizontal="center" readingOrder="0" shrinkToFit="0" vertical="center" wrapText="0"/>
    </xf>
    <xf borderId="70" fillId="0" fontId="52" numFmtId="0" xfId="0" applyAlignment="1" applyBorder="1" applyFont="1">
      <alignment horizontal="left"/>
    </xf>
    <xf borderId="70" fillId="0" fontId="52" numFmtId="173" xfId="0" applyAlignment="1" applyBorder="1" applyFont="1" applyNumberFormat="1">
      <alignment horizontal="right"/>
    </xf>
    <xf borderId="0" fillId="0" fontId="52" numFmtId="0" xfId="0" applyAlignment="1" applyFont="1">
      <alignment horizontal="right"/>
    </xf>
    <xf borderId="70" fillId="0" fontId="52" numFmtId="3" xfId="0" applyAlignment="1" applyBorder="1" applyFont="1" applyNumberFormat="1">
      <alignment horizontal="right"/>
    </xf>
    <xf borderId="70" fillId="0" fontId="52" numFmtId="4" xfId="0" applyAlignment="1" applyBorder="1" applyFont="1" applyNumberFormat="1">
      <alignment horizontal="right"/>
    </xf>
    <xf borderId="71" fillId="0" fontId="53" numFmtId="0" xfId="0" applyAlignment="1" applyBorder="1" applyFont="1">
      <alignment horizontal="left"/>
    </xf>
    <xf borderId="71" fillId="0" fontId="53" numFmtId="173" xfId="0" applyAlignment="1" applyBorder="1" applyFont="1" applyNumberFormat="1">
      <alignment horizontal="right"/>
    </xf>
    <xf borderId="0" fillId="0" fontId="53" numFmtId="0" xfId="0" applyAlignment="1" applyFont="1">
      <alignment horizontal="right"/>
    </xf>
    <xf borderId="70" fillId="0" fontId="52" numFmtId="0" xfId="0" applyAlignment="1" applyBorder="1" applyFont="1">
      <alignment horizontal="left" shrinkToFit="0" vertical="center" wrapText="0"/>
    </xf>
    <xf borderId="70" fillId="0" fontId="52" numFmtId="173" xfId="0" applyAlignment="1" applyBorder="1" applyFont="1" applyNumberFormat="1">
      <alignment horizontal="right" shrinkToFit="0" vertical="center" wrapText="0"/>
    </xf>
    <xf borderId="71" fillId="0" fontId="53" numFmtId="0" xfId="0" applyAlignment="1" applyBorder="1" applyFont="1">
      <alignment horizontal="right"/>
    </xf>
    <xf borderId="71" fillId="0" fontId="53" numFmtId="3" xfId="0" applyAlignment="1" applyBorder="1" applyFont="1" applyNumberFormat="1">
      <alignment horizontal="right"/>
    </xf>
    <xf borderId="71" fillId="0" fontId="53" numFmtId="4" xfId="0" applyAlignment="1" applyBorder="1" applyFont="1" applyNumberFormat="1">
      <alignment horizontal="right"/>
    </xf>
    <xf borderId="72" fillId="0" fontId="52" numFmtId="173" xfId="0" applyAlignment="1" applyBorder="1" applyFont="1" applyNumberFormat="1">
      <alignment horizontal="right" shrinkToFit="0" vertical="center" wrapText="0"/>
    </xf>
    <xf borderId="70" fillId="0" fontId="54" numFmtId="10" xfId="0" applyAlignment="1" applyBorder="1" applyFont="1" applyNumberFormat="1">
      <alignment horizontal="right" shrinkToFit="0" vertical="center" wrapText="0"/>
    </xf>
    <xf borderId="73" fillId="0" fontId="52" numFmtId="0" xfId="0" applyAlignment="1" applyBorder="1" applyFont="1">
      <alignment horizontal="left"/>
    </xf>
    <xf borderId="73" fillId="0" fontId="52" numFmtId="173" xfId="0" applyAlignment="1" applyBorder="1" applyFont="1" applyNumberFormat="1">
      <alignment horizontal="right"/>
    </xf>
    <xf borderId="70" fillId="0" fontId="52" numFmtId="0" xfId="0" applyAlignment="1" applyBorder="1" applyFont="1">
      <alignment horizontal="right"/>
    </xf>
    <xf borderId="72" fillId="0" fontId="54" numFmtId="10" xfId="0" applyAlignment="1" applyBorder="1" applyFont="1" applyNumberFormat="1">
      <alignment horizontal="right" shrinkToFit="0" vertical="center" wrapText="0"/>
    </xf>
    <xf borderId="71" fillId="0" fontId="53" numFmtId="0" xfId="0" applyAlignment="1" applyBorder="1" applyFont="1">
      <alignment horizontal="left" shrinkToFit="0" vertical="center" wrapText="0"/>
    </xf>
    <xf borderId="71" fillId="0" fontId="53" numFmtId="173" xfId="0" applyAlignment="1" applyBorder="1" applyFont="1" applyNumberFormat="1">
      <alignment horizontal="right" shrinkToFit="0" vertical="center" wrapText="0"/>
    </xf>
    <xf borderId="74" fillId="0" fontId="53" numFmtId="173" xfId="0" applyAlignment="1" applyBorder="1" applyFont="1" applyNumberFormat="1">
      <alignment horizontal="right" shrinkToFit="0" vertical="center" wrapText="0"/>
    </xf>
    <xf borderId="72" fillId="0" fontId="54" numFmtId="0" xfId="0" applyAlignment="1" applyBorder="1" applyFont="1">
      <alignment horizontal="right" shrinkToFit="0" vertical="center" wrapText="0"/>
    </xf>
    <xf borderId="75" fillId="35" fontId="51" numFmtId="0" xfId="0" applyAlignment="1" applyBorder="1" applyFill="1" applyFont="1">
      <alignment horizontal="right"/>
    </xf>
    <xf borderId="70" fillId="0" fontId="52" numFmtId="179" xfId="0" applyAlignment="1" applyBorder="1" applyFont="1" applyNumberFormat="1">
      <alignment horizontal="right"/>
    </xf>
    <xf borderId="0" fillId="0" fontId="52" numFmtId="173" xfId="0" applyAlignment="1" applyFont="1" applyNumberFormat="1">
      <alignment horizontal="right" shrinkToFit="0" vertical="center" wrapText="0"/>
    </xf>
    <xf borderId="75" fillId="0" fontId="52" numFmtId="179" xfId="0" applyAlignment="1" applyBorder="1" applyFont="1" applyNumberFormat="1">
      <alignment horizontal="right"/>
    </xf>
    <xf borderId="71" fillId="0" fontId="53" numFmtId="179" xfId="0" applyAlignment="1" applyBorder="1" applyFont="1" applyNumberFormat="1">
      <alignment horizontal="right"/>
    </xf>
    <xf borderId="38" fillId="0" fontId="5" numFmtId="0" xfId="0" applyAlignment="1" applyBorder="1" applyFont="1">
      <alignment shrinkToFit="0" vertical="center" wrapText="0"/>
    </xf>
    <xf borderId="76" fillId="0" fontId="53" numFmtId="179" xfId="0" applyAlignment="1" applyBorder="1" applyFont="1" applyNumberFormat="1">
      <alignment horizontal="right"/>
    </xf>
    <xf borderId="0" fillId="0" fontId="53" numFmtId="4" xfId="0" applyAlignment="1" applyFont="1" applyNumberFormat="1">
      <alignment horizontal="right"/>
    </xf>
    <xf borderId="38" fillId="0" fontId="52" numFmtId="0" xfId="0" applyAlignment="1" applyBorder="1" applyFont="1">
      <alignment horizontal="left" shrinkToFit="0" vertical="center" wrapText="0"/>
    </xf>
    <xf borderId="73" fillId="0" fontId="52" numFmtId="179" xfId="0" applyAlignment="1" applyBorder="1" applyFont="1" applyNumberFormat="1">
      <alignment horizontal="right"/>
    </xf>
    <xf borderId="35" fillId="0" fontId="52" numFmtId="179" xfId="0" applyAlignment="1" applyBorder="1" applyFont="1" applyNumberFormat="1">
      <alignment horizontal="right"/>
    </xf>
    <xf borderId="73" fillId="0" fontId="52" numFmtId="0" xfId="0" applyAlignment="1" applyBorder="1" applyFont="1">
      <alignment horizontal="left" shrinkToFit="0" vertical="center" wrapText="0"/>
    </xf>
    <xf borderId="73" fillId="0" fontId="52" numFmtId="173" xfId="0" applyAlignment="1" applyBorder="1" applyFont="1" applyNumberFormat="1">
      <alignment horizontal="right" shrinkToFit="0" vertical="center" wrapText="0"/>
    </xf>
    <xf borderId="31" fillId="0" fontId="52" numFmtId="173" xfId="0" applyAlignment="1" applyBorder="1" applyFont="1" applyNumberFormat="1">
      <alignment horizontal="right" shrinkToFit="0" vertical="center" wrapText="0"/>
    </xf>
    <xf borderId="77" fillId="0" fontId="53" numFmtId="179" xfId="0" applyAlignment="1" applyBorder="1" applyFont="1" applyNumberFormat="1">
      <alignment horizontal="right"/>
    </xf>
    <xf borderId="0" fillId="0" fontId="53" numFmtId="3" xfId="0" applyAlignment="1" applyFont="1" applyNumberFormat="1">
      <alignment horizontal="right"/>
    </xf>
    <xf borderId="71" fillId="0" fontId="53" numFmtId="180" xfId="0" applyAlignment="1" applyBorder="1" applyFont="1" applyNumberFormat="1">
      <alignment horizontal="right"/>
    </xf>
    <xf borderId="76" fillId="0" fontId="53" numFmtId="180" xfId="0" applyAlignment="1" applyBorder="1" applyFont="1" applyNumberFormat="1">
      <alignment horizontal="right"/>
    </xf>
    <xf borderId="38" fillId="0" fontId="5" numFmtId="0" xfId="0" applyBorder="1" applyFont="1"/>
    <xf borderId="70" fillId="0" fontId="52" numFmtId="2" xfId="0" applyAlignment="1" applyBorder="1" applyFont="1" applyNumberFormat="1">
      <alignment horizontal="right" shrinkToFit="0" vertical="center" wrapText="0"/>
    </xf>
    <xf borderId="72" fillId="0" fontId="52" numFmtId="2" xfId="0" applyAlignment="1" applyBorder="1" applyFont="1" applyNumberFormat="1">
      <alignment horizontal="right" shrinkToFit="0" vertical="center" wrapText="0"/>
    </xf>
    <xf borderId="78" fillId="0" fontId="53" numFmtId="173" xfId="0" applyAlignment="1" applyBorder="1" applyFont="1" applyNumberFormat="1">
      <alignment horizontal="right" shrinkToFit="0" vertical="center" wrapText="0"/>
    </xf>
    <xf borderId="70" fillId="0" fontId="52" numFmtId="10" xfId="0" applyAlignment="1" applyBorder="1" applyFont="1" applyNumberFormat="1">
      <alignment horizontal="right" shrinkToFit="0" vertical="center" wrapText="0"/>
    </xf>
    <xf borderId="0" fillId="0" fontId="52" numFmtId="10" xfId="0" applyAlignment="1" applyFont="1" applyNumberFormat="1">
      <alignment horizontal="right" shrinkToFit="0" vertical="center" wrapText="0"/>
    </xf>
    <xf borderId="0" fillId="0" fontId="52" numFmtId="0" xfId="0" applyAlignment="1" applyFont="1">
      <alignment horizontal="left" shrinkToFit="0" vertical="center" wrapText="0"/>
    </xf>
    <xf borderId="52" fillId="0" fontId="52" numFmtId="10" xfId="0" applyAlignment="1" applyBorder="1" applyFont="1" applyNumberFormat="1">
      <alignment horizontal="right" shrinkToFit="0" vertical="center" wrapText="0"/>
    </xf>
    <xf borderId="69" fillId="35" fontId="51" numFmtId="0" xfId="0" applyAlignment="1" applyBorder="1" applyFill="1" applyFont="1">
      <alignment horizontal="left" readingOrder="0" shrinkToFit="0" vertical="center" wrapText="0"/>
    </xf>
    <xf borderId="69" fillId="35" fontId="51" numFmtId="0" xfId="0" applyAlignment="1" applyBorder="1" applyFill="1" applyFont="1">
      <alignment horizontal="right" readingOrder="0" shrinkToFit="0" vertical="center" wrapText="0"/>
    </xf>
    <xf borderId="69" fillId="35" fontId="51" numFmtId="0" xfId="0" applyAlignment="1" applyBorder="1" applyFill="1" applyFont="1">
      <alignment horizontal="center"/>
    </xf>
    <xf borderId="75" fillId="35" fontId="51" numFmtId="0" xfId="0" applyAlignment="1" applyBorder="1" applyFill="1" applyFont="1">
      <alignment horizontal="right" readingOrder="0" shrinkToFit="0" vertical="center" wrapText="0"/>
    </xf>
    <xf borderId="69" fillId="35" fontId="6" numFmtId="0" xfId="0" applyAlignment="1" applyBorder="1" applyFill="1" applyFont="1">
      <alignment horizontal="center"/>
    </xf>
    <xf borderId="70" fillId="0" fontId="52" numFmtId="4" xfId="0" applyAlignment="1" applyBorder="1" applyFont="1" applyNumberFormat="1">
      <alignment horizontal="right" shrinkToFit="0" vertical="center" wrapText="0"/>
    </xf>
    <xf borderId="70" fillId="0" fontId="32" numFmtId="0" xfId="0" applyAlignment="1" applyBorder="1" applyFont="1">
      <alignment horizontal="left"/>
    </xf>
    <xf borderId="70" fillId="0" fontId="32" numFmtId="4" xfId="0" applyAlignment="1" applyBorder="1" applyFont="1" applyNumberFormat="1">
      <alignment horizontal="right"/>
    </xf>
    <xf borderId="69" fillId="36" fontId="5" numFmtId="4" xfId="0" applyAlignment="1" applyBorder="1" applyFill="1" applyFont="1" applyNumberFormat="1">
      <alignment horizontal="right"/>
    </xf>
    <xf borderId="2" fillId="36" fontId="5" numFmtId="0" xfId="0" applyAlignment="1" applyBorder="1" applyFill="1" applyFont="1">
      <alignment horizontal="right"/>
    </xf>
    <xf borderId="72" fillId="0" fontId="52" numFmtId="4" xfId="0" applyAlignment="1" applyBorder="1" applyFont="1" applyNumberFormat="1">
      <alignment horizontal="right" shrinkToFit="0" vertical="center" wrapText="0"/>
    </xf>
    <xf borderId="69" fillId="3" fontId="5" numFmtId="4" xfId="0" applyAlignment="1" applyBorder="1" applyFill="1" applyFont="1" applyNumberFormat="1">
      <alignment horizontal="right"/>
    </xf>
    <xf borderId="2" fillId="3" fontId="5" numFmtId="0" xfId="0" applyAlignment="1" applyBorder="1" applyFill="1" applyFont="1">
      <alignment horizontal="right"/>
    </xf>
    <xf borderId="70" fillId="0" fontId="32" numFmtId="10" xfId="0" applyAlignment="1" applyBorder="1" applyFont="1" applyNumberFormat="1">
      <alignment horizontal="right"/>
    </xf>
    <xf borderId="70" fillId="0" fontId="32" numFmtId="9" xfId="0" applyAlignment="1" applyBorder="1" applyFont="1" applyNumberFormat="1">
      <alignment horizontal="right"/>
    </xf>
    <xf borderId="69" fillId="36" fontId="5" numFmtId="10" xfId="0" applyAlignment="1" applyBorder="1" applyFill="1" applyFont="1" applyNumberFormat="1">
      <alignment horizontal="right"/>
    </xf>
    <xf borderId="70" fillId="0" fontId="52" numFmtId="4" xfId="0" applyAlignment="1" applyBorder="1" applyFont="1" applyNumberFormat="1">
      <alignment horizontal="right" shrinkToFit="0" vertical="center" wrapText="0"/>
    </xf>
    <xf borderId="69" fillId="36" fontId="5" numFmtId="9" xfId="0" applyAlignment="1" applyBorder="1" applyFill="1" applyFont="1" applyNumberFormat="1">
      <alignment horizontal="right"/>
    </xf>
    <xf borderId="2" fillId="36" fontId="5" numFmtId="10" xfId="0" applyAlignment="1" applyBorder="1" applyFill="1" applyFont="1" applyNumberFormat="1">
      <alignment horizontal="right"/>
    </xf>
    <xf borderId="69" fillId="3" fontId="5" numFmtId="10" xfId="0" applyAlignment="1" applyBorder="1" applyFill="1" applyFont="1" applyNumberFormat="1">
      <alignment horizontal="right"/>
    </xf>
    <xf borderId="69" fillId="3" fontId="5" numFmtId="9" xfId="0" applyAlignment="1" applyBorder="1" applyFill="1" applyFont="1" applyNumberFormat="1">
      <alignment horizontal="right"/>
    </xf>
    <xf borderId="2" fillId="3" fontId="5" numFmtId="9" xfId="0" applyAlignment="1" applyBorder="1" applyFill="1" applyFont="1" applyNumberFormat="1">
      <alignment horizontal="right"/>
    </xf>
    <xf borderId="72" fillId="0" fontId="52" numFmtId="4" xfId="0" applyAlignment="1" applyBorder="1" applyFont="1" applyNumberFormat="1">
      <alignment horizontal="right" shrinkToFit="0" vertical="center" wrapText="0"/>
    </xf>
    <xf borderId="70" fillId="0" fontId="52" numFmtId="10" xfId="0" applyAlignment="1" applyBorder="1" applyFont="1" applyNumberFormat="1">
      <alignment horizontal="right" shrinkToFit="0" vertical="center" wrapText="0"/>
    </xf>
    <xf borderId="72" fillId="0" fontId="52" numFmtId="10" xfId="0" applyAlignment="1" applyBorder="1" applyFont="1" applyNumberFormat="1">
      <alignment horizontal="right" shrinkToFit="0" vertical="center" wrapText="0"/>
    </xf>
    <xf borderId="70" fillId="0" fontId="32" numFmtId="10" xfId="0" applyAlignment="1" applyBorder="1" applyFont="1" applyNumberFormat="1">
      <alignment horizontal="right"/>
    </xf>
    <xf borderId="0" fillId="0" fontId="32" numFmtId="10" xfId="0" applyAlignment="1" applyFont="1" applyNumberFormat="1">
      <alignment horizontal="right"/>
    </xf>
    <xf borderId="70" fillId="0" fontId="52" numFmtId="166" xfId="0" applyAlignment="1" applyBorder="1" applyFont="1" applyNumberFormat="1">
      <alignment horizontal="right" shrinkToFit="0" vertical="center" wrapText="0"/>
    </xf>
    <xf borderId="72" fillId="35" fontId="51" numFmtId="0" xfId="0" applyAlignment="1" applyBorder="1" applyFill="1" applyFont="1">
      <alignment horizontal="center"/>
    </xf>
    <xf borderId="72" fillId="0" fontId="52" numFmtId="166" xfId="0" applyAlignment="1" applyBorder="1" applyFont="1" applyNumberFormat="1">
      <alignment horizontal="right" shrinkToFit="0" vertical="center" wrapText="0"/>
    </xf>
    <xf borderId="72" fillId="0" fontId="32" numFmtId="10" xfId="0" applyAlignment="1" applyBorder="1" applyFont="1" applyNumberFormat="1">
      <alignment horizontal="right"/>
    </xf>
    <xf borderId="70" fillId="0" fontId="32" numFmtId="166" xfId="0" applyAlignment="1" applyBorder="1" applyFont="1" applyNumberFormat="1">
      <alignment horizontal="right"/>
    </xf>
    <xf borderId="72" fillId="0" fontId="32" numFmtId="166" xfId="0" applyAlignment="1" applyBorder="1" applyFont="1" applyNumberFormat="1">
      <alignment horizontal="right"/>
    </xf>
    <xf borderId="0" fillId="0" fontId="32" numFmtId="166" xfId="0" applyAlignment="1" applyFont="1" applyNumberFormat="1">
      <alignment horizontal="right"/>
    </xf>
    <xf borderId="70" fillId="0" fontId="32" numFmtId="172" xfId="0" applyAlignment="1" applyBorder="1" applyFont="1" applyNumberFormat="1">
      <alignment horizontal="right"/>
    </xf>
    <xf borderId="70" fillId="0" fontId="32" numFmtId="4" xfId="0" applyAlignment="1" applyBorder="1" applyFont="1" applyNumberFormat="1">
      <alignment horizontal="right"/>
    </xf>
    <xf borderId="72" fillId="0" fontId="32" numFmtId="172" xfId="0" applyAlignment="1" applyBorder="1" applyFont="1" applyNumberFormat="1">
      <alignment horizontal="right"/>
    </xf>
    <xf borderId="0" fillId="0" fontId="32" numFmtId="172" xfId="0" applyAlignment="1" applyFont="1" applyNumberFormat="1">
      <alignment horizontal="right"/>
    </xf>
    <xf borderId="72" fillId="0" fontId="32" numFmtId="4" xfId="0" applyAlignment="1" applyBorder="1" applyFont="1" applyNumberFormat="1">
      <alignment horizontal="right"/>
    </xf>
    <xf borderId="38" fillId="0" fontId="32" numFmtId="4" xfId="0" applyAlignment="1" applyBorder="1" applyFont="1" applyNumberFormat="1">
      <alignment horizontal="right"/>
    </xf>
    <xf borderId="72" fillId="0" fontId="32" numFmtId="10" xfId="0" applyAlignment="1" applyBorder="1" applyFont="1" applyNumberFormat="1">
      <alignment horizontal="right"/>
    </xf>
    <xf borderId="0" fillId="0" fontId="32" numFmtId="0" xfId="0" applyAlignment="1" applyFont="1">
      <alignment horizontal="right"/>
    </xf>
    <xf borderId="38" fillId="0" fontId="32" numFmtId="166" xfId="0" applyAlignment="1" applyBorder="1" applyFont="1" applyNumberFormat="1">
      <alignment horizontal="right"/>
    </xf>
    <xf borderId="0" fillId="0" fontId="52" numFmtId="166" xfId="0" applyAlignment="1" applyFont="1" applyNumberFormat="1">
      <alignment horizontal="right" shrinkToFit="0" vertical="center" wrapText="0"/>
    </xf>
    <xf borderId="0" fillId="0" fontId="32" numFmtId="4" xfId="0" applyAlignment="1" applyFont="1" applyNumberFormat="1">
      <alignment horizontal="right"/>
    </xf>
    <xf borderId="70" fillId="0" fontId="5" numFmtId="0" xfId="0" applyAlignment="1" applyBorder="1" applyFont="1">
      <alignment horizontal="left"/>
    </xf>
    <xf borderId="70" fillId="0" fontId="5" numFmtId="4" xfId="0" applyAlignment="1" applyBorder="1" applyFont="1" applyNumberFormat="1">
      <alignment horizontal="right"/>
    </xf>
    <xf borderId="0" fillId="0" fontId="5" numFmtId="4" xfId="0" applyAlignment="1" applyFont="1" applyNumberFormat="1">
      <alignment horizontal="right"/>
    </xf>
    <xf borderId="0" fillId="0" fontId="5" numFmtId="4" xfId="0" applyFont="1" applyNumberFormat="1"/>
    <xf borderId="0" fillId="0" fontId="4" numFmtId="0" xfId="0" applyAlignment="1" applyFont="1">
      <alignment shrinkToFit="0" wrapText="1"/>
    </xf>
    <xf borderId="0" fillId="0" fontId="55" numFmtId="0" xfId="0" applyFont="1"/>
    <xf borderId="0" fillId="0" fontId="5" numFmtId="166" xfId="0" applyFont="1" applyNumberFormat="1"/>
    <xf borderId="38" fillId="0" fontId="5" numFmtId="166" xfId="0" applyBorder="1" applyFont="1" applyNumberFormat="1"/>
    <xf borderId="55" fillId="0" fontId="23" numFmtId="0" xfId="0" applyAlignment="1" applyBorder="1" applyFont="1">
      <alignment horizontal="center"/>
    </xf>
    <xf borderId="57" fillId="0" fontId="9" numFmtId="0" xfId="0" applyBorder="1" applyFont="1"/>
    <xf borderId="33" fillId="0" fontId="23" numFmtId="17" xfId="0" applyBorder="1" applyFont="1" applyNumberFormat="1"/>
    <xf borderId="55" fillId="21" fontId="31" numFmtId="0" xfId="0" applyAlignment="1" applyBorder="1" applyFill="1" applyFont="1">
      <alignment horizontal="center"/>
    </xf>
    <xf borderId="34" fillId="21" fontId="25" numFmtId="0" xfId="0" applyAlignment="1" applyBorder="1" applyFill="1" applyFont="1">
      <alignment horizontal="left" shrinkToFit="0" vertical="top" wrapText="1"/>
    </xf>
    <xf borderId="31" fillId="0" fontId="9" numFmtId="0" xfId="0" applyBorder="1" applyFont="1"/>
    <xf borderId="35" fillId="0" fontId="9" numFmtId="0" xfId="0" applyBorder="1" applyFont="1"/>
    <xf borderId="34" fillId="0" fontId="28" numFmtId="0" xfId="0" applyAlignment="1" applyBorder="1" applyFont="1">
      <alignment horizontal="left" shrinkToFit="0" wrapText="1"/>
    </xf>
    <xf borderId="37" fillId="0" fontId="9" numFmtId="0" xfId="0" applyBorder="1" applyFont="1"/>
    <xf borderId="38" fillId="0" fontId="9" numFmtId="0" xfId="0" applyBorder="1" applyFont="1"/>
    <xf borderId="79" fillId="0" fontId="9" numFmtId="0" xfId="0" applyBorder="1" applyFont="1"/>
    <xf borderId="80" fillId="0" fontId="9" numFmtId="0" xfId="0" applyBorder="1" applyFont="1"/>
    <xf borderId="81" fillId="0" fontId="9" numFmtId="0" xfId="0" applyBorder="1" applyFont="1"/>
    <xf borderId="55" fillId="0" fontId="31" numFmtId="0" xfId="0" applyAlignment="1" applyBorder="1" applyFont="1">
      <alignment horizontal="center"/>
    </xf>
    <xf borderId="82" fillId="0" fontId="25" numFmtId="0" xfId="0" applyBorder="1" applyFont="1"/>
    <xf borderId="52" fillId="0" fontId="27" numFmtId="0" xfId="0" applyAlignment="1" applyBorder="1" applyFont="1">
      <alignment horizontal="center"/>
    </xf>
    <xf borderId="42" fillId="0" fontId="23" numFmtId="0" xfId="0" applyBorder="1" applyFont="1"/>
    <xf borderId="52" fillId="0" fontId="27" numFmtId="16" xfId="0" applyAlignment="1" applyBorder="1" applyFont="1" applyNumberFormat="1">
      <alignment horizontal="center"/>
    </xf>
    <xf borderId="43" fillId="0" fontId="23" numFmtId="0" xfId="0" applyAlignment="1" applyBorder="1" applyFont="1">
      <alignment horizontal="center"/>
    </xf>
    <xf borderId="83" fillId="0" fontId="27" numFmtId="0" xfId="0" applyAlignment="1" applyBorder="1" applyFont="1">
      <alignment horizontal="center"/>
    </xf>
    <xf borderId="43" fillId="0" fontId="25" numFmtId="0" xfId="0" applyAlignment="1" applyBorder="1" applyFont="1">
      <alignment horizontal="center"/>
    </xf>
    <xf borderId="84" fillId="0" fontId="25" numFmtId="0" xfId="0" applyBorder="1" applyFont="1"/>
    <xf borderId="0" fillId="0" fontId="56" numFmtId="0" xfId="0" applyFont="1"/>
    <xf borderId="33" fillId="0" fontId="25" numFmtId="170" xfId="0" applyAlignment="1" applyBorder="1" applyFont="1" applyNumberFormat="1">
      <alignment horizontal="center"/>
    </xf>
    <xf borderId="0" fillId="0" fontId="23" numFmtId="0" xfId="0" applyAlignment="1" applyFont="1">
      <alignment horizontal="center"/>
    </xf>
    <xf borderId="33" fillId="0" fontId="25" numFmtId="169" xfId="0" applyAlignment="1" applyBorder="1" applyFont="1" applyNumberFormat="1">
      <alignment horizontal="center"/>
    </xf>
    <xf borderId="0" fillId="0" fontId="27" numFmtId="0" xfId="0" applyAlignment="1" applyFont="1">
      <alignment horizontal="center"/>
    </xf>
    <xf borderId="0" fillId="0" fontId="57" numFmtId="0" xfId="0" applyFont="1"/>
    <xf borderId="46" fillId="0" fontId="27" numFmtId="0" xfId="0" applyAlignment="1" applyBorder="1" applyFont="1">
      <alignment horizontal="center"/>
    </xf>
    <xf borderId="33" fillId="0" fontId="25" numFmtId="0" xfId="0" applyAlignment="1" applyBorder="1" applyFont="1">
      <alignment shrinkToFit="0" wrapText="1"/>
    </xf>
    <xf borderId="33" fillId="21" fontId="25" numFmtId="10" xfId="0" applyAlignment="1" applyBorder="1" applyFill="1" applyFont="1" applyNumberFormat="1">
      <alignment horizontal="center"/>
    </xf>
    <xf borderId="39" fillId="0" fontId="23" numFmtId="0" xfId="0" applyAlignment="1" applyBorder="1" applyFont="1">
      <alignment horizontal="center"/>
    </xf>
    <xf borderId="85" fillId="21" fontId="25" numFmtId="0" xfId="0" applyAlignment="1" applyBorder="1" applyFill="1" applyFont="1">
      <alignment horizontal="left"/>
    </xf>
    <xf borderId="34" fillId="0" fontId="41" numFmtId="0" xfId="0" applyAlignment="1" applyBorder="1" applyFont="1">
      <alignment horizontal="left" shrinkToFit="0" vertical="center" wrapText="1"/>
    </xf>
    <xf borderId="39" fillId="0" fontId="58" numFmtId="17" xfId="0" applyAlignment="1" applyBorder="1" applyFont="1" applyNumberFormat="1">
      <alignment horizontal="center"/>
    </xf>
    <xf borderId="47" fillId="21" fontId="25" numFmtId="10" xfId="0" applyAlignment="1" applyBorder="1" applyFill="1" applyFont="1" applyNumberFormat="1">
      <alignment horizontal="center"/>
    </xf>
    <xf borderId="44" fillId="0" fontId="25" numFmtId="0" xfId="0" applyAlignment="1" applyBorder="1" applyFont="1">
      <alignment horizontal="center"/>
    </xf>
    <xf borderId="45" fillId="0" fontId="32" numFmtId="0" xfId="0" applyBorder="1" applyFont="1"/>
    <xf borderId="53" fillId="21" fontId="25" numFmtId="10" xfId="0" applyAlignment="1" applyBorder="1" applyFill="1" applyFont="1" applyNumberFormat="1">
      <alignment horizontal="center"/>
    </xf>
    <xf borderId="0" fillId="0" fontId="32" numFmtId="0" xfId="0" applyFont="1"/>
    <xf borderId="46" fillId="0" fontId="25" numFmtId="0" xfId="0" applyAlignment="1" applyBorder="1" applyFont="1">
      <alignment horizontal="center"/>
    </xf>
    <xf borderId="85" fillId="21" fontId="25" numFmtId="0" xfId="0" applyAlignment="1" applyBorder="1" applyFill="1" applyFont="1">
      <alignment shrinkToFit="0" wrapText="1"/>
    </xf>
    <xf borderId="46" fillId="0" fontId="32" numFmtId="0" xfId="0" applyBorder="1" applyFont="1"/>
    <xf borderId="39" fillId="0" fontId="58" numFmtId="0" xfId="0" applyAlignment="1" applyBorder="1" applyFont="1">
      <alignment horizontal="center"/>
    </xf>
    <xf borderId="42" fillId="0" fontId="58" numFmtId="0" xfId="0" applyAlignment="1" applyBorder="1" applyFont="1">
      <alignment horizontal="center"/>
    </xf>
    <xf borderId="85" fillId="21" fontId="25" numFmtId="0" xfId="0" applyBorder="1" applyFill="1" applyFont="1"/>
    <xf borderId="52" fillId="0" fontId="32" numFmtId="0" xfId="0" applyBorder="1" applyFont="1"/>
    <xf borderId="43" fillId="0" fontId="27" numFmtId="0" xfId="0" applyAlignment="1" applyBorder="1" applyFont="1">
      <alignment horizontal="center"/>
    </xf>
    <xf borderId="33" fillId="21" fontId="25" numFmtId="2" xfId="0" applyAlignment="1" applyBorder="1" applyFill="1" applyFont="1" applyNumberFormat="1">
      <alignment horizontal="center"/>
    </xf>
    <xf borderId="44" fillId="0" fontId="27" numFmtId="0" xfId="0" applyAlignment="1" applyBorder="1" applyFont="1">
      <alignment horizontal="center"/>
    </xf>
    <xf borderId="53" fillId="21" fontId="25" numFmtId="2" xfId="0" applyAlignment="1" applyBorder="1" applyFill="1" applyFont="1" applyNumberFormat="1">
      <alignment horizontal="center"/>
    </xf>
    <xf borderId="34" fillId="21" fontId="32" numFmtId="0" xfId="0" applyAlignment="1" applyBorder="1" applyFill="1" applyFont="1">
      <alignment horizontal="left" shrinkToFit="0" vertical="top" wrapText="1"/>
    </xf>
    <xf borderId="86" fillId="0" fontId="25" numFmtId="0" xfId="0" applyBorder="1" applyFont="1"/>
    <xf borderId="29" fillId="0" fontId="25" numFmtId="10" xfId="0" applyAlignment="1" applyBorder="1" applyFont="1" applyNumberFormat="1">
      <alignment horizontal="center"/>
    </xf>
    <xf borderId="55" fillId="21" fontId="25" numFmtId="10" xfId="0" applyAlignment="1" applyBorder="1" applyFill="1" applyFont="1" applyNumberFormat="1">
      <alignment horizontal="center"/>
    </xf>
    <xf borderId="55" fillId="0" fontId="56" numFmtId="0" xfId="0" applyAlignment="1" applyBorder="1" applyFont="1">
      <alignment horizontal="center"/>
    </xf>
    <xf borderId="35" fillId="0" fontId="25" numFmtId="10" xfId="0" applyAlignment="1" applyBorder="1" applyFont="1" applyNumberFormat="1">
      <alignment horizontal="center"/>
    </xf>
    <xf borderId="32" fillId="21" fontId="25" numFmtId="0" xfId="0" applyBorder="1" applyFill="1" applyFont="1"/>
    <xf borderId="84" fillId="0" fontId="32" numFmtId="0" xfId="0" applyBorder="1" applyFont="1"/>
    <xf borderId="87" fillId="0" fontId="25" numFmtId="0" xfId="0" applyBorder="1" applyFont="1"/>
    <xf borderId="88" fillId="0" fontId="25" numFmtId="0" xfId="0" applyAlignment="1" applyBorder="1" applyFont="1">
      <alignment horizontal="center"/>
    </xf>
    <xf borderId="33" fillId="0" fontId="32" numFmtId="10" xfId="0" applyBorder="1" applyFont="1" applyNumberFormat="1"/>
    <xf borderId="61" fillId="0" fontId="25" numFmtId="10" xfId="0" applyAlignment="1" applyBorder="1" applyFont="1" applyNumberFormat="1">
      <alignment horizontal="center"/>
    </xf>
    <xf borderId="33" fillId="0" fontId="32" numFmtId="0" xfId="0" applyBorder="1" applyFont="1"/>
    <xf borderId="89" fillId="21" fontId="25" numFmtId="0" xfId="0" applyBorder="1" applyFill="1" applyFont="1"/>
    <xf borderId="37" fillId="0" fontId="31" numFmtId="0" xfId="0" applyAlignment="1" applyBorder="1" applyFont="1">
      <alignment horizontal="center"/>
    </xf>
    <xf borderId="90" fillId="0" fontId="27" numFmtId="0" xfId="0" applyAlignment="1" applyBorder="1" applyFont="1">
      <alignment horizontal="center"/>
    </xf>
    <xf borderId="58" fillId="0" fontId="32" numFmtId="10" xfId="0" applyBorder="1" applyFont="1" applyNumberFormat="1"/>
    <xf borderId="91" fillId="0" fontId="27" numFmtId="0" xfId="0" applyAlignment="1" applyBorder="1" applyFont="1">
      <alignment horizontal="center"/>
    </xf>
    <xf borderId="91" fillId="0" fontId="27" numFmtId="181" xfId="0" applyAlignment="1" applyBorder="1" applyFont="1" applyNumberFormat="1">
      <alignment horizontal="center"/>
    </xf>
    <xf borderId="92" fillId="0" fontId="27" numFmtId="181" xfId="0" applyAlignment="1" applyBorder="1" applyFont="1" applyNumberFormat="1">
      <alignment horizontal="center"/>
    </xf>
    <xf borderId="33" fillId="0" fontId="32" numFmtId="173" xfId="0" applyBorder="1" applyFont="1" applyNumberFormat="1"/>
    <xf borderId="84" fillId="0" fontId="25" numFmtId="0" xfId="0" applyAlignment="1" applyBorder="1" applyFont="1">
      <alignment horizontal="center"/>
    </xf>
    <xf borderId="29" fillId="0" fontId="25" numFmtId="170" xfId="0" applyAlignment="1" applyBorder="1" applyFont="1" applyNumberFormat="1">
      <alignment horizontal="center"/>
    </xf>
    <xf borderId="55" fillId="0" fontId="25" numFmtId="170" xfId="0" applyAlignment="1" applyBorder="1" applyFont="1" applyNumberFormat="1">
      <alignment horizontal="center"/>
    </xf>
    <xf borderId="52" fillId="0" fontId="25" numFmtId="170" xfId="0" applyAlignment="1" applyBorder="1" applyFont="1" applyNumberFormat="1">
      <alignment horizontal="center"/>
    </xf>
    <xf borderId="52" fillId="0" fontId="25" numFmtId="10" xfId="0" applyAlignment="1" applyBorder="1" applyFont="1" applyNumberFormat="1">
      <alignment horizontal="center"/>
    </xf>
    <xf borderId="46" fillId="0" fontId="32" numFmtId="10" xfId="0" applyBorder="1" applyFont="1" applyNumberFormat="1"/>
    <xf borderId="33" fillId="0" fontId="38" numFmtId="0" xfId="0" applyAlignment="1" applyBorder="1" applyFont="1">
      <alignment horizontal="center"/>
    </xf>
    <xf borderId="90" fillId="21" fontId="32" numFmtId="167" xfId="0" applyBorder="1" applyFill="1" applyFont="1" applyNumberFormat="1"/>
    <xf borderId="93" fillId="21" fontId="32" numFmtId="175" xfId="0" applyBorder="1" applyFill="1" applyFont="1" applyNumberFormat="1"/>
    <xf borderId="33" fillId="0" fontId="32" numFmtId="0" xfId="0" applyAlignment="1" applyBorder="1" applyFont="1">
      <alignment horizontal="center"/>
    </xf>
    <xf borderId="49" fillId="0" fontId="25" numFmtId="0" xfId="0" applyAlignment="1" applyBorder="1" applyFont="1">
      <alignment horizontal="center"/>
    </xf>
    <xf borderId="50" fillId="0" fontId="25" numFmtId="0" xfId="0" applyAlignment="1" applyBorder="1" applyFont="1">
      <alignment horizontal="center"/>
    </xf>
    <xf borderId="94" fillId="21" fontId="32" numFmtId="0" xfId="0" applyBorder="1" applyFill="1" applyFont="1"/>
    <xf borderId="36" fillId="21" fontId="32" numFmtId="10" xfId="0" applyAlignment="1" applyBorder="1" applyFill="1" applyFont="1" applyNumberFormat="1">
      <alignment horizontal="center"/>
    </xf>
    <xf borderId="0" fillId="0" fontId="32" numFmtId="0" xfId="0" applyAlignment="1" applyFont="1">
      <alignment horizontal="center"/>
    </xf>
    <xf borderId="87" fillId="0" fontId="25" numFmtId="0" xfId="0" applyAlignment="1" applyBorder="1" applyFont="1">
      <alignment horizontal="center"/>
    </xf>
    <xf borderId="42" fillId="0" fontId="32" numFmtId="0" xfId="0" applyBorder="1" applyFont="1"/>
    <xf borderId="33" fillId="21" fontId="32" numFmtId="0" xfId="0" applyAlignment="1" applyBorder="1" applyFill="1" applyFont="1">
      <alignment horizontal="center"/>
    </xf>
    <xf borderId="46" fillId="0" fontId="32" numFmtId="0" xfId="0" applyAlignment="1" applyBorder="1" applyFont="1">
      <alignment horizontal="center"/>
    </xf>
    <xf borderId="61" fillId="0" fontId="25" numFmtId="170" xfId="0" applyAlignment="1" applyBorder="1" applyFont="1" applyNumberFormat="1">
      <alignment horizontal="center"/>
    </xf>
    <xf borderId="39" fillId="0" fontId="41" numFmtId="10" xfId="0" applyAlignment="1" applyBorder="1" applyFont="1" applyNumberFormat="1">
      <alignment horizontal="center"/>
    </xf>
    <xf borderId="95" fillId="0" fontId="58" numFmtId="0" xfId="0" applyAlignment="1" applyBorder="1" applyFont="1">
      <alignment horizontal="center" shrinkToFit="0" vertical="center" wrapText="1"/>
    </xf>
    <xf borderId="84" fillId="21" fontId="32" numFmtId="0" xfId="0" applyBorder="1" applyFill="1" applyFont="1"/>
    <xf borderId="58" fillId="21" fontId="32" numFmtId="175" xfId="0" applyBorder="1" applyFill="1" applyFont="1" applyNumberFormat="1"/>
    <xf borderId="51" fillId="0" fontId="59" numFmtId="0" xfId="0" applyAlignment="1" applyBorder="1" applyFont="1">
      <alignment horizontal="center" shrinkToFit="0" vertical="center" wrapText="1"/>
    </xf>
    <xf borderId="96" fillId="0" fontId="59" numFmtId="0" xfId="0" applyAlignment="1" applyBorder="1" applyFont="1">
      <alignment horizontal="center" shrinkToFit="0" vertical="center" wrapText="1"/>
    </xf>
    <xf borderId="95" fillId="0" fontId="32" numFmtId="0" xfId="0" applyAlignment="1" applyBorder="1" applyFont="1">
      <alignment vertical="center"/>
    </xf>
    <xf borderId="33" fillId="0" fontId="60" numFmtId="0" xfId="0" applyAlignment="1" applyBorder="1" applyFont="1">
      <alignment horizontal="left" shrinkToFit="0" vertical="top" wrapText="1"/>
    </xf>
    <xf borderId="33" fillId="0" fontId="32" numFmtId="0" xfId="0" applyAlignment="1" applyBorder="1" applyFont="1">
      <alignment horizontal="left" shrinkToFit="0" vertical="top" wrapText="1"/>
    </xf>
    <xf borderId="97" fillId="0" fontId="25" numFmtId="0" xfId="0" applyAlignment="1" applyBorder="1" applyFont="1">
      <alignment horizontal="left"/>
    </xf>
    <xf borderId="98" fillId="0" fontId="9" numFmtId="0" xfId="0" applyBorder="1" applyFont="1"/>
    <xf borderId="33" fillId="0" fontId="25" numFmtId="170" xfId="0" applyBorder="1" applyFont="1" applyNumberFormat="1"/>
    <xf borderId="33" fillId="21" fontId="32" numFmtId="10" xfId="0" applyBorder="1" applyFill="1" applyFont="1" applyNumberFormat="1"/>
    <xf borderId="43" fillId="0" fontId="25" numFmtId="175" xfId="0" applyBorder="1" applyFont="1" applyNumberFormat="1"/>
    <xf borderId="99" fillId="0" fontId="32" numFmtId="0" xfId="0" applyBorder="1" applyFont="1"/>
    <xf borderId="84" fillId="21" fontId="32" numFmtId="10" xfId="0" applyBorder="1" applyFill="1" applyFont="1" applyNumberFormat="1"/>
    <xf borderId="43" fillId="0" fontId="25" numFmtId="0" xfId="0" applyBorder="1" applyFont="1"/>
    <xf borderId="100" fillId="0" fontId="32" numFmtId="0" xfId="0" applyBorder="1" applyFont="1"/>
    <xf borderId="44" fillId="0" fontId="25" numFmtId="0" xfId="0" applyBorder="1" applyFont="1"/>
    <xf borderId="58" fillId="21" fontId="32" numFmtId="10" xfId="0" applyBorder="1" applyFill="1" applyFont="1" applyNumberFormat="1"/>
    <xf borderId="45" fillId="0" fontId="41" numFmtId="0" xfId="0" applyAlignment="1" applyBorder="1" applyFont="1">
      <alignment horizontal="left" shrinkToFit="0" vertical="center" wrapText="1"/>
    </xf>
    <xf borderId="33" fillId="0" fontId="32" numFmtId="175" xfId="0" applyBorder="1" applyFont="1" applyNumberFormat="1"/>
    <xf borderId="49" fillId="0" fontId="32" numFmtId="0" xfId="0" applyAlignment="1" applyBorder="1" applyFont="1">
      <alignment horizontal="center"/>
    </xf>
    <xf borderId="50" fillId="0" fontId="32" numFmtId="0" xfId="0" applyBorder="1" applyFont="1"/>
    <xf borderId="95" fillId="0" fontId="25" numFmtId="0" xfId="0" applyAlignment="1" applyBorder="1" applyFont="1">
      <alignment horizontal="left"/>
    </xf>
    <xf borderId="33" fillId="21" fontId="32" numFmtId="175" xfId="0" applyBorder="1" applyFill="1" applyFont="1" applyNumberFormat="1"/>
    <xf borderId="0" fillId="0" fontId="25" numFmtId="175" xfId="0" applyFont="1" applyNumberFormat="1"/>
    <xf borderId="58" fillId="21" fontId="32" numFmtId="173" xfId="0" applyBorder="1" applyFill="1" applyFont="1" applyNumberFormat="1"/>
    <xf borderId="101" fillId="21" fontId="25" numFmtId="175" xfId="0" applyAlignment="1" applyBorder="1" applyFill="1" applyFont="1" applyNumberFormat="1">
      <alignment horizontal="right"/>
    </xf>
    <xf borderId="53" fillId="21" fontId="25" numFmtId="10" xfId="0" applyAlignment="1" applyBorder="1" applyFill="1" applyFont="1" applyNumberFormat="1">
      <alignment horizontal="left"/>
    </xf>
    <xf borderId="33" fillId="0" fontId="25" numFmtId="178" xfId="0" applyBorder="1" applyFont="1" applyNumberFormat="1"/>
    <xf borderId="0" fillId="0" fontId="25" numFmtId="0" xfId="0" applyAlignment="1" applyFont="1">
      <alignment horizontal="left"/>
    </xf>
    <xf borderId="100" fillId="0" fontId="25" numFmtId="0" xfId="0" applyAlignment="1" applyBorder="1" applyFont="1">
      <alignment horizontal="left"/>
    </xf>
    <xf borderId="102" fillId="0" fontId="9" numFmtId="0" xfId="0" applyBorder="1" applyFont="1"/>
    <xf borderId="103" fillId="0" fontId="9" numFmtId="0" xfId="0" applyBorder="1" applyFont="1"/>
    <xf borderId="40" fillId="0" fontId="25" numFmtId="0" xfId="0" applyAlignment="1" applyBorder="1" applyFont="1">
      <alignment horizontal="right"/>
    </xf>
    <xf borderId="41" fillId="0" fontId="25" numFmtId="170" xfId="0" applyAlignment="1" applyBorder="1" applyFont="1" applyNumberFormat="1">
      <alignment horizontal="left"/>
    </xf>
    <xf borderId="33" fillId="21" fontId="32" numFmtId="0" xfId="0" applyBorder="1" applyFill="1" applyFont="1"/>
    <xf borderId="33" fillId="21" fontId="32" numFmtId="167" xfId="0" applyBorder="1" applyFill="1" applyFont="1" applyNumberFormat="1"/>
    <xf borderId="0" fillId="0" fontId="32" numFmtId="10" xfId="0" applyFont="1" applyNumberFormat="1"/>
    <xf borderId="84" fillId="21" fontId="32" numFmtId="178" xfId="0" applyBorder="1" applyFill="1" applyFont="1" applyNumberFormat="1"/>
    <xf borderId="58" fillId="21" fontId="32" numFmtId="178" xfId="0" applyBorder="1" applyFill="1" applyFont="1" applyNumberFormat="1"/>
    <xf borderId="33" fillId="0" fontId="32" numFmtId="176" xfId="0" applyBorder="1" applyFont="1" applyNumberFormat="1"/>
    <xf borderId="104" fillId="21" fontId="32" numFmtId="170" xfId="0" applyBorder="1" applyFill="1" applyFont="1" applyNumberFormat="1"/>
    <xf borderId="105" fillId="21" fontId="61" numFmtId="0" xfId="0" applyAlignment="1" applyBorder="1" applyFill="1" applyFont="1">
      <alignment horizontal="left" shrinkToFit="0" vertical="top" wrapText="1"/>
    </xf>
    <xf borderId="86" fillId="0" fontId="32" numFmtId="0" xfId="0" applyBorder="1" applyFont="1"/>
    <xf borderId="34" fillId="0" fontId="32" numFmtId="170" xfId="0" applyBorder="1" applyFont="1" applyNumberFormat="1"/>
    <xf borderId="33" fillId="21" fontId="32" numFmtId="2" xfId="0" applyBorder="1" applyFill="1" applyFont="1" applyNumberFormat="1"/>
    <xf borderId="33" fillId="20" fontId="25" numFmtId="2" xfId="0" applyBorder="1" applyFill="1" applyFont="1" applyNumberFormat="1"/>
    <xf borderId="33" fillId="21" fontId="32" numFmtId="170" xfId="0" applyBorder="1" applyFill="1" applyFont="1" applyNumberFormat="1"/>
    <xf borderId="33" fillId="20" fontId="25" numFmtId="4" xfId="0" applyBorder="1" applyFill="1" applyFont="1" applyNumberFormat="1"/>
    <xf borderId="55" fillId="0" fontId="23" numFmtId="170" xfId="0" applyAlignment="1" applyBorder="1" applyFont="1" applyNumberFormat="1">
      <alignment horizontal="center"/>
    </xf>
    <xf borderId="0" fillId="0" fontId="23" numFmtId="10" xfId="0" applyFont="1" applyNumberFormat="1"/>
    <xf borderId="55" fillId="0" fontId="23" numFmtId="167" xfId="0" applyAlignment="1" applyBorder="1" applyFont="1" applyNumberFormat="1">
      <alignment horizontal="center"/>
    </xf>
    <xf borderId="33" fillId="0" fontId="25" numFmtId="3" xfId="0" applyAlignment="1" applyBorder="1" applyFont="1" applyNumberFormat="1">
      <alignment horizontal="center"/>
    </xf>
    <xf borderId="33" fillId="0" fontId="23" numFmtId="10" xfId="0" applyAlignment="1" applyBorder="1" applyFont="1" applyNumberFormat="1">
      <alignment horizontal="center"/>
    </xf>
    <xf borderId="33" fillId="0" fontId="23" numFmtId="182" xfId="0" applyAlignment="1" applyBorder="1" applyFont="1" applyNumberFormat="1">
      <alignment horizontal="center"/>
    </xf>
    <xf borderId="42" fillId="21" fontId="25" numFmtId="0" xfId="0" applyAlignment="1" applyBorder="1" applyFill="1" applyFont="1">
      <alignment horizontal="left" shrinkToFit="0" wrapText="1"/>
    </xf>
    <xf borderId="55" fillId="0" fontId="23" numFmtId="2" xfId="0" applyAlignment="1" applyBorder="1" applyFont="1" applyNumberFormat="1">
      <alignment horizontal="center"/>
    </xf>
    <xf borderId="48" fillId="0" fontId="32" numFmtId="0" xfId="0" applyBorder="1" applyFont="1"/>
    <xf borderId="49" fillId="0" fontId="32" numFmtId="0" xfId="0" applyBorder="1" applyFont="1"/>
    <xf borderId="106" fillId="0" fontId="9" numFmtId="0" xfId="0" applyBorder="1" applyFont="1"/>
    <xf borderId="107" fillId="0" fontId="9" numFmtId="0" xfId="0" applyBorder="1" applyFont="1"/>
    <xf borderId="33" fillId="0" fontId="25" numFmtId="176" xfId="0" applyAlignment="1" applyBorder="1" applyFont="1" applyNumberFormat="1">
      <alignment horizontal="center"/>
    </xf>
    <xf borderId="3" fillId="5" fontId="25" numFmtId="0" xfId="0" applyAlignment="1" applyBorder="1" applyFill="1" applyFont="1">
      <alignment horizontal="center"/>
    </xf>
    <xf borderId="3" fillId="20" fontId="25" numFmtId="167" xfId="0" applyBorder="1" applyFill="1" applyFont="1" applyNumberFormat="1"/>
    <xf borderId="0" fillId="0" fontId="25" numFmtId="167" xfId="0" applyFont="1" applyNumberFormat="1"/>
    <xf borderId="3" fillId="20" fontId="25" numFmtId="177" xfId="0" applyBorder="1" applyFill="1" applyFont="1" applyNumberFormat="1"/>
    <xf borderId="3" fillId="20" fontId="25" numFmtId="170" xfId="0" applyBorder="1" applyFill="1" applyFont="1" applyNumberFormat="1"/>
    <xf borderId="3" fillId="20" fontId="25" numFmtId="10" xfId="0" applyBorder="1" applyFill="1" applyFont="1" applyNumberFormat="1"/>
    <xf borderId="3" fillId="20" fontId="23" numFmtId="2" xfId="0" applyAlignment="1" applyBorder="1" applyFill="1" applyFont="1" applyNumberFormat="1">
      <alignment horizontal="center"/>
    </xf>
    <xf borderId="108" fillId="20" fontId="23" numFmtId="0" xfId="0" applyAlignment="1" applyBorder="1" applyFill="1" applyFont="1">
      <alignment horizontal="center"/>
    </xf>
    <xf borderId="3" fillId="20" fontId="23" numFmtId="10" xfId="0" applyAlignment="1" applyBorder="1" applyFill="1" applyFont="1" applyNumberFormat="1">
      <alignment horizontal="center"/>
    </xf>
    <xf borderId="0" fillId="0" fontId="23" numFmtId="10" xfId="0" applyAlignment="1" applyFont="1" applyNumberFormat="1">
      <alignment horizontal="center"/>
    </xf>
    <xf borderId="0" fillId="0" fontId="31" numFmtId="10" xfId="0" applyAlignment="1" applyFont="1" applyNumberFormat="1">
      <alignment horizontal="center"/>
    </xf>
    <xf borderId="30" fillId="21" fontId="62" numFmtId="0" xfId="0" applyBorder="1" applyFill="1" applyFont="1"/>
    <xf borderId="30" fillId="21" fontId="63" numFmtId="0" xfId="0" applyBorder="1" applyFill="1" applyFont="1"/>
    <xf borderId="0" fillId="0" fontId="61" numFmtId="0" xfId="0" applyAlignment="1" applyFont="1">
      <alignment horizontal="center"/>
    </xf>
    <xf borderId="33" fillId="21" fontId="63" numFmtId="0" xfId="0" applyBorder="1" applyFill="1" applyFont="1"/>
    <xf borderId="33" fillId="21" fontId="63" numFmtId="10" xfId="0" applyBorder="1" applyFill="1" applyFont="1" applyNumberFormat="1"/>
    <xf borderId="81" fillId="0" fontId="32" numFmtId="10" xfId="0" applyAlignment="1" applyBorder="1" applyFont="1" applyNumberFormat="1">
      <alignment horizontal="center"/>
    </xf>
    <xf borderId="0" fillId="0" fontId="58" numFmtId="0" xfId="0" applyFont="1"/>
    <xf borderId="33" fillId="37" fontId="32" numFmtId="0" xfId="0" applyAlignment="1" applyBorder="1" applyFill="1" applyFont="1">
      <alignment horizontal="center"/>
    </xf>
    <xf borderId="33" fillId="37" fontId="32" numFmtId="167" xfId="0" applyBorder="1" applyFill="1" applyFont="1" applyNumberFormat="1"/>
    <xf borderId="29" fillId="0" fontId="30" numFmtId="2" xfId="0" applyAlignment="1" applyBorder="1" applyFont="1" applyNumberFormat="1">
      <alignment horizontal="center"/>
    </xf>
    <xf borderId="0" fillId="0" fontId="30" numFmtId="2" xfId="0" applyFont="1" applyNumberFormat="1"/>
    <xf borderId="0" fillId="0" fontId="32" numFmtId="2" xfId="0" applyFont="1" applyNumberFormat="1"/>
    <xf borderId="33" fillId="0" fontId="30" numFmtId="1" xfId="0" applyAlignment="1" applyBorder="1" applyFont="1" applyNumberFormat="1">
      <alignment horizontal="center"/>
    </xf>
    <xf borderId="33" fillId="37" fontId="30" numFmtId="2" xfId="0" applyAlignment="1" applyBorder="1" applyFill="1" applyFont="1" applyNumberFormat="1">
      <alignment horizontal="center"/>
    </xf>
    <xf borderId="0" fillId="0" fontId="64" numFmtId="2" xfId="0" applyFont="1" applyNumberFormat="1"/>
    <xf borderId="33" fillId="0" fontId="30" numFmtId="2" xfId="0" applyAlignment="1" applyBorder="1" applyFont="1" applyNumberFormat="1">
      <alignment horizontal="center"/>
    </xf>
    <xf borderId="55" fillId="0" fontId="30" numFmtId="2" xfId="0" applyAlignment="1" applyBorder="1" applyFont="1" applyNumberFormat="1">
      <alignment horizontal="center"/>
    </xf>
    <xf borderId="42" fillId="21" fontId="32" numFmtId="0" xfId="0" applyAlignment="1" applyBorder="1" applyFill="1" applyFont="1">
      <alignment horizontal="left" shrinkToFit="0" vertical="top" wrapText="1"/>
    </xf>
    <xf borderId="33" fillId="7" fontId="65" numFmtId="183" xfId="0" applyAlignment="1" applyBorder="1" applyFill="1" applyFont="1" applyNumberFormat="1">
      <alignment horizontal="right"/>
    </xf>
    <xf borderId="33" fillId="7" fontId="32" numFmtId="0" xfId="0" applyBorder="1" applyFill="1" applyFont="1"/>
    <xf borderId="3" fillId="7" fontId="32" numFmtId="10" xfId="0" applyAlignment="1" applyBorder="1" applyFill="1" applyFont="1" applyNumberFormat="1">
      <alignment horizontal="center"/>
    </xf>
    <xf borderId="29" fillId="0" fontId="30" numFmtId="167" xfId="0" applyBorder="1" applyFont="1" applyNumberFormat="1"/>
    <xf borderId="0" fillId="0" fontId="32" numFmtId="167" xfId="0" applyFont="1" applyNumberFormat="1"/>
    <xf borderId="3" fillId="0" fontId="32" numFmtId="167" xfId="0" applyBorder="1" applyFont="1" applyNumberFormat="1"/>
    <xf borderId="33" fillId="20" fontId="32" numFmtId="0" xfId="0" applyAlignment="1" applyBorder="1" applyFill="1" applyFont="1">
      <alignment horizontal="center"/>
    </xf>
    <xf borderId="0" fillId="0" fontId="30" numFmtId="167" xfId="0" applyFont="1" applyNumberFormat="1"/>
    <xf borderId="33" fillId="20" fontId="32" numFmtId="167" xfId="0" applyBorder="1" applyFill="1" applyFont="1" applyNumberFormat="1"/>
    <xf borderId="109" fillId="0" fontId="32" numFmtId="170" xfId="0" applyBorder="1" applyFont="1" applyNumberFormat="1"/>
    <xf borderId="33" fillId="0" fontId="32" numFmtId="184" xfId="0" applyBorder="1" applyFont="1" applyNumberFormat="1"/>
    <xf borderId="81" fillId="0" fontId="66" numFmtId="0" xfId="0" applyAlignment="1" applyBorder="1" applyFont="1">
      <alignment horizontal="left" readingOrder="0" shrinkToFit="0" vertical="center" wrapText="0"/>
    </xf>
    <xf borderId="29" fillId="0" fontId="32" numFmtId="0" xfId="0" applyBorder="1" applyFont="1"/>
    <xf borderId="80" fillId="0" fontId="66" numFmtId="0" xfId="0" applyAlignment="1" applyBorder="1" applyFont="1">
      <alignment horizontal="left" readingOrder="0" shrinkToFit="0" vertical="center" wrapText="0"/>
    </xf>
    <xf borderId="36" fillId="20" fontId="32" numFmtId="167" xfId="0" applyBorder="1" applyFill="1" applyFont="1" applyNumberFormat="1"/>
    <xf borderId="81" fillId="0" fontId="30" numFmtId="0" xfId="0" applyAlignment="1" applyBorder="1" applyFont="1">
      <alignment shrinkToFit="0" vertical="center" wrapText="0"/>
    </xf>
    <xf borderId="80" fillId="0" fontId="30" numFmtId="0" xfId="0" applyAlignment="1" applyBorder="1" applyFont="1">
      <alignment horizontal="center" shrinkToFit="0" vertical="center" wrapText="0"/>
    </xf>
    <xf borderId="3" fillId="0" fontId="32" numFmtId="0" xfId="0" applyBorder="1" applyFont="1"/>
    <xf borderId="3" fillId="20" fontId="32" numFmtId="0" xfId="0" applyBorder="1" applyFill="1" applyFont="1"/>
    <xf borderId="34" fillId="21" fontId="57" numFmtId="0" xfId="0" applyAlignment="1" applyBorder="1" applyFill="1" applyFont="1">
      <alignment horizontal="left" shrinkToFit="0" vertical="top" wrapText="1"/>
    </xf>
    <xf borderId="3" fillId="20" fontId="32" numFmtId="167" xfId="0" applyBorder="1" applyFill="1" applyFont="1" applyNumberFormat="1"/>
    <xf borderId="31" fillId="0" fontId="67" numFmtId="0" xfId="0" applyAlignment="1" applyBorder="1" applyFont="1">
      <alignment horizontal="center"/>
    </xf>
    <xf borderId="0" fillId="0" fontId="67" numFmtId="0" xfId="0" applyFont="1"/>
    <xf borderId="3" fillId="20" fontId="32" numFmtId="177" xfId="0" applyBorder="1" applyFill="1" applyFont="1" applyNumberFormat="1"/>
    <xf borderId="42" fillId="21" fontId="25" numFmtId="0" xfId="0" applyAlignment="1" applyBorder="1" applyFill="1" applyFont="1">
      <alignment horizontal="left" shrinkToFit="0" vertical="top" wrapText="1"/>
    </xf>
    <xf borderId="33" fillId="0" fontId="59" numFmtId="0" xfId="0" applyBorder="1" applyFont="1"/>
    <xf borderId="0" fillId="0" fontId="59" numFmtId="0" xfId="0" applyFont="1"/>
    <xf borderId="33" fillId="7" fontId="32" numFmtId="173" xfId="0" applyBorder="1" applyFill="1" applyFont="1" applyNumberFormat="1"/>
    <xf borderId="108" fillId="20" fontId="32" numFmtId="167" xfId="0" applyBorder="1" applyFill="1" applyFont="1" applyNumberFormat="1"/>
    <xf borderId="33" fillId="20" fontId="32" numFmtId="10" xfId="0" applyBorder="1" applyFill="1" applyFont="1" applyNumberFormat="1"/>
    <xf borderId="33" fillId="20" fontId="30" numFmtId="170" xfId="0" applyBorder="1" applyFill="1" applyFont="1" applyNumberFormat="1"/>
    <xf borderId="4" fillId="38" fontId="32" numFmtId="0" xfId="0" applyAlignment="1" applyBorder="1" applyFill="1" applyFont="1">
      <alignment horizontal="center" shrinkToFit="0" vertical="center" wrapText="1"/>
    </xf>
    <xf borderId="0" fillId="0" fontId="25" numFmtId="0" xfId="0" applyAlignment="1" applyFont="1">
      <alignment horizontal="left" shrinkToFit="0" vertical="top" wrapText="1"/>
    </xf>
    <xf borderId="33" fillId="7" fontId="25" numFmtId="0" xfId="0" applyAlignment="1" applyBorder="1" applyFill="1" applyFont="1">
      <alignment horizontal="center" readingOrder="0" shrinkToFit="0" vertical="top" wrapText="1"/>
    </xf>
    <xf borderId="33" fillId="7" fontId="30" numFmtId="10" xfId="0" applyAlignment="1" applyBorder="1" applyFill="1" applyFont="1" applyNumberFormat="1">
      <alignment horizontal="center"/>
    </xf>
    <xf borderId="33" fillId="20" fontId="25" numFmtId="10" xfId="0" applyAlignment="1" applyBorder="1" applyFill="1" applyFont="1" applyNumberFormat="1">
      <alignment horizontal="center" shrinkToFit="0" vertical="top" wrapText="1"/>
    </xf>
    <xf borderId="39" fillId="0" fontId="68" numFmtId="0" xfId="0" applyAlignment="1" applyBorder="1" applyFont="1">
      <alignment horizontal="center"/>
    </xf>
    <xf borderId="0" fillId="0" fontId="68" numFmtId="0" xfId="0" applyFont="1"/>
    <xf borderId="33" fillId="7" fontId="30" numFmtId="0" xfId="0" applyBorder="1" applyFill="1" applyFont="1"/>
    <xf borderId="33" fillId="7" fontId="30" numFmtId="10" xfId="0" applyBorder="1" applyFill="1" applyFont="1" applyNumberFormat="1"/>
    <xf borderId="80" fillId="0" fontId="68" numFmtId="0" xfId="0" applyBorder="1" applyFont="1"/>
    <xf borderId="33" fillId="20" fontId="32" numFmtId="2" xfId="0" applyBorder="1" applyFill="1" applyFont="1" applyNumberFormat="1"/>
    <xf borderId="33" fillId="20" fontId="32" numFmtId="0" xfId="0" applyBorder="1" applyFill="1" applyFont="1"/>
    <xf borderId="33" fillId="20" fontId="32" numFmtId="173" xfId="0" applyBorder="1" applyFill="1" applyFont="1" applyNumberFormat="1"/>
    <xf borderId="33" fillId="20" fontId="32" numFmtId="185" xfId="0" applyBorder="1" applyFill="1" applyFont="1" applyNumberFormat="1"/>
    <xf borderId="33" fillId="7" fontId="32" numFmtId="2" xfId="0" applyBorder="1" applyFill="1" applyFont="1" applyNumberFormat="1"/>
    <xf borderId="33" fillId="7" fontId="32" numFmtId="0" xfId="0" applyAlignment="1" applyBorder="1" applyFill="1" applyFont="1">
      <alignment horizontal="center" readingOrder="0"/>
    </xf>
    <xf borderId="0" fillId="0" fontId="19" numFmtId="0" xfId="0" applyAlignment="1" applyFont="1">
      <alignment horizontal="left" readingOrder="0" shrinkToFit="0" vertical="center" wrapText="0"/>
    </xf>
    <xf borderId="33" fillId="7" fontId="32" numFmtId="10" xfId="0" applyAlignment="1" applyBorder="1" applyFill="1" applyFont="1" applyNumberFormat="1">
      <alignment horizontal="center"/>
    </xf>
    <xf borderId="33" fillId="20" fontId="32" numFmtId="10" xfId="0" applyAlignment="1" applyBorder="1" applyFill="1" applyFont="1" applyNumberFormat="1">
      <alignment horizontal="center"/>
    </xf>
    <xf borderId="0" fillId="0" fontId="19" numFmtId="0" xfId="0" applyAlignment="1" applyFont="1">
      <alignment shrinkToFit="0" vertical="center" wrapText="0"/>
    </xf>
    <xf borderId="0" fillId="0" fontId="19" numFmtId="10" xfId="0" applyAlignment="1" applyFont="1" applyNumberFormat="1">
      <alignment shrinkToFit="0" vertical="center" wrapText="0"/>
    </xf>
    <xf borderId="33" fillId="7" fontId="32" numFmtId="10" xfId="0" applyBorder="1" applyFill="1" applyFont="1" applyNumberFormat="1"/>
    <xf borderId="33" fillId="37" fontId="32" numFmtId="0" xfId="0" applyBorder="1" applyFill="1" applyFont="1"/>
    <xf borderId="33" fillId="37" fontId="32" numFmtId="186" xfId="0" applyBorder="1" applyFill="1" applyFont="1" applyNumberFormat="1"/>
    <xf borderId="33" fillId="7" fontId="32" numFmtId="165" xfId="0" applyBorder="1" applyFill="1" applyFont="1" applyNumberFormat="1"/>
    <xf borderId="33" fillId="20" fontId="32" numFmtId="176" xfId="0" applyBorder="1" applyFill="1" applyFont="1" applyNumberFormat="1"/>
    <xf borderId="33" fillId="20" fontId="32" numFmtId="165" xfId="0" applyBorder="1" applyFill="1" applyFont="1" applyNumberFormat="1"/>
    <xf borderId="33" fillId="20" fontId="32" numFmtId="176" xfId="0" applyAlignment="1" applyBorder="1" applyFill="1" applyFont="1" applyNumberFormat="1">
      <alignment horizontal="center"/>
    </xf>
    <xf borderId="33" fillId="20" fontId="32" numFmtId="9" xfId="0" applyAlignment="1" applyBorder="1" applyFill="1" applyFont="1" applyNumberFormat="1">
      <alignment horizontal="center"/>
    </xf>
    <xf borderId="0" fillId="0" fontId="56" numFmtId="0" xfId="0" applyAlignment="1" applyFont="1">
      <alignment horizontal="center"/>
    </xf>
    <xf borderId="0" fillId="0" fontId="69" numFmtId="0" xfId="0" applyFont="1"/>
    <xf borderId="39" fillId="21" fontId="58" numFmtId="0" xfId="0" applyAlignment="1" applyBorder="1" applyFill="1" applyFont="1">
      <alignment horizontal="center"/>
    </xf>
    <xf borderId="34" fillId="21" fontId="30" numFmtId="0" xfId="0" applyAlignment="1" applyBorder="1" applyFill="1" applyFont="1">
      <alignment horizontal="left" shrinkToFit="0" vertical="top" wrapText="1"/>
    </xf>
    <xf borderId="38" fillId="0" fontId="30" numFmtId="0" xfId="0" applyAlignment="1" applyBorder="1" applyFont="1">
      <alignment shrinkToFit="0" vertical="center" wrapText="0"/>
    </xf>
    <xf borderId="0" fillId="0" fontId="30" numFmtId="0" xfId="0" applyAlignment="1" applyFont="1">
      <alignment horizontal="center" shrinkToFit="0" vertical="center" wrapText="0"/>
    </xf>
    <xf borderId="0" fillId="0" fontId="1" numFmtId="0" xfId="0" applyAlignment="1" applyFont="1">
      <alignment shrinkToFit="0" vertical="center" wrapText="0"/>
    </xf>
    <xf borderId="2" fillId="21" fontId="63" numFmtId="0" xfId="0" applyBorder="1" applyFill="1" applyFont="1"/>
    <xf borderId="0" fillId="0" fontId="30" numFmtId="0" xfId="0" applyAlignment="1" applyFont="1">
      <alignment horizontal="center"/>
    </xf>
    <xf borderId="33" fillId="20" fontId="30" numFmtId="0" xfId="0" applyBorder="1" applyFill="1" applyFont="1"/>
    <xf borderId="29" fillId="0" fontId="61" numFmtId="0" xfId="0" applyAlignment="1" applyBorder="1" applyFont="1">
      <alignment horizontal="center" shrinkToFit="0" textRotation="90" vertical="center" wrapText="1"/>
    </xf>
    <xf borderId="33" fillId="20" fontId="30" numFmtId="165" xfId="0" applyBorder="1" applyFill="1" applyFont="1" applyNumberFormat="1"/>
    <xf borderId="33" fillId="20" fontId="30" numFmtId="176" xfId="0" applyBorder="1" applyFill="1" applyFont="1" applyNumberFormat="1"/>
    <xf borderId="0" fillId="0" fontId="30" numFmtId="10" xfId="0" applyFont="1" applyNumberFormat="1"/>
    <xf borderId="33" fillId="20" fontId="30" numFmtId="176" xfId="0" applyAlignment="1" applyBorder="1" applyFill="1" applyFont="1" applyNumberFormat="1">
      <alignment horizontal="center"/>
    </xf>
    <xf borderId="33" fillId="20" fontId="30" numFmtId="10" xfId="0" applyAlignment="1" applyBorder="1" applyFill="1" applyFont="1" applyNumberFormat="1">
      <alignment horizontal="center"/>
    </xf>
    <xf borderId="0" fillId="0" fontId="67" numFmtId="0" xfId="0" applyAlignment="1" applyFont="1">
      <alignment horizontal="left"/>
    </xf>
    <xf borderId="0" fillId="0" fontId="19" numFmtId="4" xfId="0" applyAlignment="1" applyFont="1" applyNumberFormat="1">
      <alignment shrinkToFit="0" vertical="center" wrapText="0"/>
    </xf>
    <xf borderId="0" fillId="0" fontId="19" numFmtId="4" xfId="0" applyAlignment="1" applyFont="1" applyNumberFormat="1">
      <alignment shrinkToFit="0" vertical="center" wrapText="0"/>
    </xf>
    <xf borderId="33" fillId="0" fontId="56" numFmtId="0" xfId="0" applyAlignment="1" applyBorder="1" applyFont="1">
      <alignment horizontal="center"/>
    </xf>
    <xf borderId="33" fillId="20" fontId="32" numFmtId="175" xfId="0" applyBorder="1" applyFill="1" applyFont="1" applyNumberFormat="1"/>
    <xf borderId="36" fillId="20" fontId="32" numFmtId="10" xfId="0" applyBorder="1" applyFill="1" applyFont="1" applyNumberFormat="1"/>
    <xf borderId="47" fillId="20" fontId="32" numFmtId="10" xfId="0" applyBorder="1" applyFill="1" applyFont="1" applyNumberFormat="1"/>
    <xf borderId="33" fillId="21" fontId="27" numFmtId="0" xfId="0" applyBorder="1" applyFill="1" applyFont="1"/>
    <xf borderId="3" fillId="20" fontId="32" numFmtId="10" xfId="0" applyBorder="1" applyFill="1" applyFont="1" applyNumberFormat="1"/>
    <xf borderId="33" fillId="21" fontId="25" numFmtId="0" xfId="0" applyAlignment="1" applyBorder="1" applyFill="1" applyFont="1">
      <alignment horizontal="center"/>
    </xf>
    <xf borderId="33" fillId="21" fontId="27" numFmtId="0" xfId="0" applyAlignment="1" applyBorder="1" applyFill="1" applyFont="1">
      <alignment horizontal="center"/>
    </xf>
    <xf borderId="33" fillId="21" fontId="25" numFmtId="0" xfId="0" applyBorder="1" applyFill="1" applyFont="1"/>
    <xf borderId="33" fillId="0" fontId="30" numFmtId="0" xfId="0" applyAlignment="1" applyBorder="1" applyFont="1">
      <alignment horizontal="center"/>
    </xf>
    <xf borderId="33" fillId="0" fontId="30" numFmtId="10" xfId="0" applyAlignment="1" applyBorder="1" applyFont="1" applyNumberFormat="1">
      <alignment horizontal="center"/>
    </xf>
    <xf borderId="39" fillId="0" fontId="27" numFmtId="0" xfId="0" applyAlignment="1" applyBorder="1" applyFont="1">
      <alignment horizontal="center"/>
    </xf>
    <xf borderId="36" fillId="7" fontId="32" numFmtId="0" xfId="0" applyBorder="1" applyFill="1" applyFont="1"/>
    <xf borderId="3" fillId="20" fontId="30" numFmtId="10" xfId="0" applyAlignment="1" applyBorder="1" applyFill="1" applyFont="1" applyNumberFormat="1">
      <alignment horizontal="center"/>
    </xf>
    <xf borderId="33" fillId="7" fontId="30" numFmtId="0" xfId="0" applyAlignment="1" applyBorder="1" applyFill="1" applyFont="1">
      <alignment horizontal="center"/>
    </xf>
    <xf borderId="33" fillId="21" fontId="30" numFmtId="0" xfId="0" applyBorder="1" applyFill="1" applyFont="1"/>
    <xf borderId="33" fillId="21" fontId="30" numFmtId="0" xfId="0" applyAlignment="1" applyBorder="1" applyFill="1" applyFont="1">
      <alignment horizontal="center" shrinkToFit="0" wrapText="1"/>
    </xf>
    <xf borderId="33" fillId="21" fontId="30" numFmtId="9" xfId="0" applyAlignment="1" applyBorder="1" applyFill="1" applyFont="1" applyNumberFormat="1">
      <alignment horizontal="center" shrinkToFit="0" wrapText="1"/>
    </xf>
    <xf borderId="33" fillId="21" fontId="30" numFmtId="10" xfId="0" applyAlignment="1" applyBorder="1" applyFill="1" applyFont="1" applyNumberFormat="1">
      <alignment horizontal="center"/>
    </xf>
    <xf borderId="0" fillId="0" fontId="30" numFmtId="185" xfId="0" applyFont="1" applyNumberFormat="1"/>
    <xf borderId="33" fillId="0" fontId="25" numFmtId="0" xfId="0" applyAlignment="1" applyBorder="1" applyFont="1">
      <alignment horizontal="left"/>
    </xf>
    <xf borderId="0" fillId="0" fontId="30" numFmtId="0" xfId="0" applyAlignment="1" applyFont="1">
      <alignment horizontal="left" shrinkToFit="0" vertical="top" wrapText="1"/>
    </xf>
    <xf borderId="0" fillId="0" fontId="30" numFmtId="0" xfId="0" applyAlignment="1" applyFont="1">
      <alignment horizontal="center" shrinkToFit="0" wrapText="1"/>
    </xf>
    <xf borderId="0" fillId="0" fontId="30" numFmtId="9" xfId="0" applyAlignment="1" applyFont="1" applyNumberFormat="1">
      <alignment horizontal="center" shrinkToFit="0" wrapText="1"/>
    </xf>
    <xf borderId="0" fillId="0" fontId="30" numFmtId="10" xfId="0" applyAlignment="1" applyFont="1" applyNumberFormat="1">
      <alignment horizontal="center"/>
    </xf>
    <xf borderId="33" fillId="0" fontId="70" numFmtId="10" xfId="0" applyAlignment="1" applyBorder="1" applyFont="1" applyNumberFormat="1">
      <alignment horizontal="center"/>
    </xf>
    <xf borderId="33" fillId="0" fontId="30" numFmtId="0" xfId="0" applyAlignment="1" applyBorder="1" applyFont="1">
      <alignment horizontal="left"/>
    </xf>
    <xf borderId="1" fillId="39" fontId="3" numFmtId="0" xfId="0" applyAlignment="1" applyBorder="1" applyFill="1" applyFont="1">
      <alignment horizontal="center" shrinkToFit="0" wrapText="1"/>
    </xf>
    <xf borderId="33" fillId="0" fontId="57" numFmtId="0" xfId="0" applyAlignment="1" applyBorder="1" applyFont="1">
      <alignment shrinkToFit="0" wrapText="1"/>
    </xf>
    <xf borderId="33" fillId="0" fontId="57" numFmtId="0" xfId="0" applyAlignment="1" applyBorder="1" applyFont="1">
      <alignment horizontal="center" shrinkToFit="0" wrapText="1"/>
    </xf>
    <xf borderId="33" fillId="0" fontId="57" numFmtId="10" xfId="0" applyAlignment="1" applyBorder="1" applyFont="1" applyNumberFormat="1">
      <alignment horizontal="center" shrinkToFit="0" wrapText="1"/>
    </xf>
    <xf borderId="33" fillId="0" fontId="57" numFmtId="2" xfId="0" applyAlignment="1" applyBorder="1" applyFont="1" applyNumberFormat="1">
      <alignment horizontal="center" shrinkToFit="0" wrapText="1"/>
    </xf>
    <xf borderId="0" fillId="0" fontId="32" numFmtId="0" xfId="0" applyAlignment="1" applyFont="1">
      <alignment horizontal="left"/>
    </xf>
    <xf borderId="0" fillId="0" fontId="32" numFmtId="10" xfId="0" applyAlignment="1" applyFont="1" applyNumberFormat="1">
      <alignment horizontal="center"/>
    </xf>
    <xf borderId="0" fillId="0" fontId="32" numFmtId="2" xfId="0" applyAlignment="1" applyFont="1" applyNumberFormat="1">
      <alignment horizontal="center"/>
    </xf>
    <xf borderId="0" fillId="0" fontId="65" numFmtId="10" xfId="0" applyAlignment="1" applyFont="1" applyNumberFormat="1">
      <alignment horizontal="center"/>
    </xf>
    <xf borderId="33" fillId="0" fontId="57" numFmtId="0" xfId="0" applyBorder="1" applyFont="1"/>
    <xf borderId="33" fillId="0" fontId="57" numFmtId="0" xfId="0" applyAlignment="1" applyBorder="1" applyFont="1">
      <alignment horizontal="center"/>
    </xf>
    <xf borderId="33" fillId="0" fontId="30" numFmtId="0" xfId="0" applyBorder="1" applyFont="1"/>
    <xf borderId="33" fillId="0" fontId="30" numFmtId="173" xfId="0" applyAlignment="1" applyBorder="1" applyFont="1" applyNumberFormat="1">
      <alignment horizontal="center"/>
    </xf>
    <xf borderId="0" fillId="0" fontId="57" numFmtId="0" xfId="0" applyAlignment="1" applyFont="1">
      <alignment horizontal="center"/>
    </xf>
    <xf borderId="33" fillId="0" fontId="71" numFmtId="10" xfId="0" applyAlignment="1" applyBorder="1" applyFont="1" applyNumberFormat="1">
      <alignment horizontal="center"/>
    </xf>
    <xf borderId="0" fillId="0" fontId="72" numFmtId="0" xfId="0" applyAlignment="1" applyFont="1">
      <alignment vertical="center"/>
    </xf>
    <xf borderId="0" fillId="0" fontId="72" numFmtId="0" xfId="0" applyAlignment="1" applyFont="1">
      <alignment horizontal="center"/>
    </xf>
    <xf borderId="80" fillId="0" fontId="72" numFmtId="10" xfId="0" applyAlignment="1" applyBorder="1" applyFont="1" applyNumberFormat="1">
      <alignment horizontal="center"/>
    </xf>
    <xf borderId="80" fillId="0" fontId="72" numFmtId="2" xfId="0" applyAlignment="1" applyBorder="1" applyFont="1" applyNumberFormat="1">
      <alignment horizontal="center"/>
    </xf>
    <xf borderId="0" fillId="0" fontId="72" numFmtId="2" xfId="0" applyAlignment="1" applyFont="1" applyNumberFormat="1">
      <alignment horizontal="center"/>
    </xf>
    <xf borderId="33" fillId="0" fontId="72" numFmtId="0" xfId="0" applyAlignment="1" applyBorder="1" applyFont="1">
      <alignment horizontal="center" shrinkToFit="0" wrapText="1"/>
    </xf>
    <xf borderId="57" fillId="0" fontId="72" numFmtId="0" xfId="0" applyAlignment="1" applyBorder="1" applyFont="1">
      <alignment horizontal="center" shrinkToFit="0" wrapText="1"/>
    </xf>
    <xf borderId="57" fillId="0" fontId="72" numFmtId="10" xfId="0" applyAlignment="1" applyBorder="1" applyFont="1" applyNumberFormat="1">
      <alignment horizontal="center" shrinkToFit="0" wrapText="1"/>
    </xf>
    <xf borderId="57" fillId="0" fontId="72" numFmtId="2" xfId="0" applyAlignment="1" applyBorder="1" applyFont="1" applyNumberFormat="1">
      <alignment horizontal="center" shrinkToFit="0" wrapText="1"/>
    </xf>
    <xf borderId="0" fillId="0" fontId="30" numFmtId="0" xfId="0" applyAlignment="1" applyFont="1">
      <alignment vertical="center"/>
    </xf>
    <xf borderId="0" fillId="0" fontId="30" numFmtId="3" xfId="0" applyAlignment="1" applyFont="1" applyNumberFormat="1">
      <alignment horizontal="center"/>
    </xf>
    <xf borderId="0" fillId="0" fontId="30" numFmtId="2" xfId="0" applyAlignment="1" applyFont="1" applyNumberFormat="1">
      <alignment horizontal="center"/>
    </xf>
    <xf borderId="33" fillId="0" fontId="30" numFmtId="170" xfId="0" applyAlignment="1" applyBorder="1" applyFont="1" applyNumberFormat="1">
      <alignment horizontal="center"/>
    </xf>
    <xf borderId="33" fillId="0" fontId="30" numFmtId="170" xfId="0" applyBorder="1" applyFont="1" applyNumberFormat="1"/>
    <xf borderId="0" fillId="0" fontId="57" numFmtId="170" xfId="0" applyAlignment="1" applyFont="1" applyNumberFormat="1">
      <alignment horizontal="center"/>
    </xf>
    <xf borderId="0" fillId="0" fontId="57" numFmtId="170" xfId="0" applyFont="1" applyNumberFormat="1"/>
    <xf borderId="0" fillId="0" fontId="65" numFmtId="183" xfId="0" applyAlignment="1" applyFont="1" applyNumberFormat="1">
      <alignment horizontal="right"/>
    </xf>
    <xf borderId="0" fillId="0" fontId="30" numFmtId="170" xfId="0" applyAlignment="1" applyFont="1" applyNumberFormat="1">
      <alignment horizontal="center"/>
    </xf>
    <xf borderId="0" fillId="0" fontId="30" numFmtId="170" xfId="0" applyFont="1" applyNumberFormat="1"/>
    <xf borderId="37" fillId="0" fontId="30" numFmtId="170" xfId="0" applyAlignment="1" applyBorder="1" applyFont="1" applyNumberFormat="1">
      <alignment horizontal="center" shrinkToFit="0" vertical="center" wrapText="1"/>
    </xf>
    <xf borderId="33" fillId="7" fontId="30" numFmtId="170" xfId="0" applyAlignment="1" applyBorder="1" applyFill="1" applyFont="1" applyNumberFormat="1">
      <alignment horizontal="center"/>
    </xf>
    <xf borderId="33" fillId="7" fontId="30" numFmtId="167" xfId="0" applyAlignment="1" applyBorder="1" applyFill="1" applyFont="1" applyNumberFormat="1">
      <alignment horizontal="center"/>
    </xf>
    <xf borderId="0" fillId="0" fontId="30" numFmtId="187" xfId="0" applyFont="1" applyNumberFormat="1"/>
    <xf borderId="0" fillId="0" fontId="64" numFmtId="0" xfId="0" applyFont="1"/>
    <xf borderId="33" fillId="0" fontId="30" numFmtId="9" xfId="0" applyBorder="1" applyFont="1" applyNumberFormat="1"/>
    <xf borderId="63" fillId="40" fontId="73" numFmtId="0" xfId="0" applyAlignment="1" applyBorder="1" applyFill="1" applyFont="1">
      <alignment horizontal="center" vertical="center"/>
    </xf>
    <xf borderId="110" fillId="41" fontId="74" numFmtId="0" xfId="0" applyAlignment="1" applyBorder="1" applyFill="1" applyFont="1">
      <alignment horizontal="center" readingOrder="0" shrinkToFit="0" vertical="center" wrapText="0"/>
    </xf>
    <xf borderId="2" fillId="41" fontId="74" numFmtId="0" xfId="0" applyAlignment="1" applyBorder="1" applyFill="1" applyFont="1">
      <alignment horizontal="center" readingOrder="0" shrinkToFit="0" vertical="center" wrapText="0"/>
    </xf>
    <xf borderId="110" fillId="42" fontId="32" numFmtId="0" xfId="0" applyAlignment="1" applyBorder="1" applyFill="1" applyFont="1">
      <alignment horizontal="left" shrinkToFit="0" vertical="center" wrapText="0"/>
    </xf>
    <xf borderId="110" fillId="42" fontId="32" numFmtId="10" xfId="0" applyAlignment="1" applyBorder="1" applyFill="1" applyFont="1" applyNumberFormat="1">
      <alignment horizontal="right" shrinkToFit="0" vertical="center" wrapText="0"/>
    </xf>
    <xf borderId="2" fillId="42" fontId="32" numFmtId="10" xfId="0" applyAlignment="1" applyBorder="1" applyFill="1" applyFont="1" applyNumberFormat="1">
      <alignment horizontal="right" shrinkToFit="0" vertical="center" wrapText="0"/>
    </xf>
    <xf borderId="110" fillId="3" fontId="32" numFmtId="0" xfId="0" applyAlignment="1" applyBorder="1" applyFill="1" applyFont="1">
      <alignment horizontal="left" shrinkToFit="0" vertical="center" wrapText="0"/>
    </xf>
    <xf borderId="110" fillId="3" fontId="32" numFmtId="10" xfId="0" applyAlignment="1" applyBorder="1" applyFill="1" applyFont="1" applyNumberFormat="1">
      <alignment horizontal="right" shrinkToFit="0" vertical="center" wrapText="0"/>
    </xf>
    <xf borderId="2" fillId="3" fontId="32" numFmtId="10" xfId="0" applyAlignment="1" applyBorder="1" applyFill="1" applyFont="1" applyNumberFormat="1">
      <alignment horizontal="right" shrinkToFit="0" vertical="center" wrapText="0"/>
    </xf>
    <xf borderId="0" fillId="3" fontId="32" numFmtId="0" xfId="0" applyAlignment="1" applyFill="1" applyFont="1">
      <alignment horizontal="left" readingOrder="0" shrinkToFit="0" vertical="center" wrapText="0"/>
    </xf>
    <xf borderId="0" fillId="0" fontId="1" numFmtId="0" xfId="0" applyFont="1"/>
    <xf borderId="0" fillId="3" fontId="32" numFmtId="10" xfId="0" applyAlignment="1" applyFill="1" applyFont="1" applyNumberFormat="1">
      <alignment horizontal="right" shrinkToFit="0" vertical="center" wrapText="0"/>
    </xf>
    <xf borderId="0" fillId="0" fontId="1" numFmtId="165" xfId="0" applyFont="1" applyNumberFormat="1"/>
    <xf borderId="0" fillId="0" fontId="75" numFmtId="0" xfId="0" applyAlignment="1" applyFont="1">
      <alignment readingOrder="0"/>
    </xf>
    <xf borderId="0" fillId="0" fontId="76" numFmtId="0" xfId="0" applyAlignment="1" applyFont="1">
      <alignment readingOrder="0" shrinkToFit="0" wrapText="1"/>
    </xf>
    <xf borderId="0" fillId="43" fontId="77" numFmtId="0" xfId="0" applyAlignment="1" applyFill="1" applyFont="1">
      <alignment readingOrder="0"/>
    </xf>
    <xf borderId="0" fillId="0" fontId="77" numFmtId="0" xfId="0" applyAlignment="1" applyFont="1">
      <alignment readingOrder="0" vertical="top"/>
    </xf>
    <xf borderId="0" fillId="0" fontId="1" numFmtId="10" xfId="0" applyAlignment="1" applyFont="1" applyNumberFormat="1">
      <alignment vertical="top"/>
    </xf>
    <xf borderId="0" fillId="0" fontId="1" numFmtId="0" xfId="0" applyAlignment="1" applyFont="1">
      <alignment vertical="top"/>
    </xf>
    <xf borderId="110" fillId="0" fontId="74" numFmtId="0" xfId="0" applyAlignment="1" applyBorder="1" applyFont="1">
      <alignment horizontal="center" readingOrder="0" shrinkToFit="0" vertical="center" wrapText="0"/>
    </xf>
    <xf borderId="0" fillId="0" fontId="77" numFmtId="0" xfId="0" applyAlignment="1" applyFont="1">
      <alignment readingOrder="0"/>
    </xf>
    <xf borderId="110" fillId="42" fontId="32" numFmtId="0" xfId="0" applyAlignment="1" applyBorder="1" applyFill="1" applyFont="1">
      <alignment horizontal="left" readingOrder="0" shrinkToFit="0" vertical="center" wrapText="0"/>
    </xf>
    <xf borderId="0" fillId="0" fontId="1" numFmtId="0" xfId="0" applyAlignment="1" applyFont="1">
      <alignment shrinkToFit="0" vertical="top" wrapText="1"/>
    </xf>
    <xf borderId="0" fillId="0" fontId="1" numFmtId="166" xfId="0" applyFont="1" applyNumberFormat="1"/>
    <xf borderId="0" fillId="0" fontId="1" numFmtId="10" xfId="0" applyFont="1" applyNumberFormat="1"/>
    <xf borderId="0" fillId="0" fontId="1" numFmtId="2" xfId="0" applyAlignment="1" applyFont="1" applyNumberFormat="1">
      <alignment vertical="top"/>
    </xf>
    <xf borderId="0" fillId="42" fontId="32" numFmtId="10" xfId="0" applyAlignment="1" applyFill="1" applyFont="1" applyNumberFormat="1">
      <alignment horizontal="right" shrinkToFit="0" vertical="center" wrapText="0"/>
    </xf>
    <xf borderId="0" fillId="0" fontId="78" numFmtId="0" xfId="0" applyAlignment="1" applyFont="1">
      <alignment readingOrder="0" shrinkToFit="0" vertical="top" wrapText="1"/>
    </xf>
  </cellXfs>
  <cellStyles count="1">
    <cellStyle xfId="0" name="Normal" builtinId="0"/>
  </cellStyles>
  <dxfs count="19">
    <dxf>
      <font/>
      <fill>
        <patternFill patternType="none"/>
      </fill>
      <border/>
    </dxf>
    <dxf>
      <font/>
      <fill>
        <patternFill patternType="solid">
          <fgColor rgb="FFE5E5E5"/>
          <bgColor rgb="FFE5E5E5"/>
        </patternFill>
      </fill>
      <border/>
    </dxf>
    <dxf>
      <font/>
      <fill>
        <patternFill patternType="solid">
          <fgColor rgb="FFFFFFFF"/>
          <bgColor rgb="FFFFFFFF"/>
        </patternFill>
      </fill>
      <border/>
    </dxf>
    <dxf>
      <font/>
      <fill>
        <patternFill patternType="solid">
          <fgColor rgb="FFF2F2F2"/>
          <bgColor rgb="FFF2F2F2"/>
        </patternFill>
      </fill>
      <border/>
    </dxf>
    <dxf>
      <border>
        <left style="thin">
          <color rgb="FFE5E5E5"/>
        </left>
        <right style="thin">
          <color rgb="FFE5E5E5"/>
        </right>
        <top style="thin">
          <color rgb="FFE5E5E5"/>
        </top>
        <bottom style="thin">
          <color rgb="FFE5E5E5"/>
        </bottom>
      </border>
    </dxf>
    <dxf>
      <font/>
      <fill>
        <patternFill patternType="solid">
          <fgColor rgb="FFF8F8FF"/>
          <bgColor rgb="FFF8F8FF"/>
        </patternFill>
      </fill>
      <border/>
    </dxf>
    <dxf>
      <font>
        <color rgb="FF197F19"/>
      </font>
      <fill>
        <patternFill patternType="solid">
          <fgColor rgb="FFCCEDCC"/>
          <bgColor rgb="FFCCEDCC"/>
        </patternFill>
      </fill>
      <border/>
    </dxf>
    <dxf>
      <font>
        <color rgb="FF990000"/>
      </font>
      <fill>
        <patternFill patternType="solid">
          <fgColor rgb="FFF9CCCC"/>
          <bgColor rgb="FFF9CCCC"/>
        </patternFill>
      </fill>
      <border/>
    </dxf>
    <dxf>
      <font/>
      <fill>
        <patternFill patternType="solid">
          <fgColor rgb="FFEDECF3"/>
          <bgColor rgb="FFEDECF3"/>
        </patternFill>
      </fill>
      <border/>
    </dxf>
    <dxf>
      <font/>
      <fill>
        <patternFill patternType="solid">
          <fgColor rgb="FF3E5F90"/>
          <bgColor rgb="FF3E5F90"/>
        </patternFill>
      </fill>
      <border/>
    </dxf>
    <dxf>
      <border>
        <left style="thin">
          <color rgb="FF3E5F90"/>
        </left>
        <right style="thin">
          <color rgb="FF3E5F90"/>
        </right>
        <top style="thin">
          <color rgb="FF3E5F90"/>
        </top>
        <bottom style="thin">
          <color rgb="FF3E5F90"/>
        </bottom>
      </border>
    </dxf>
    <dxf>
      <border>
        <left style="thin">
          <color rgb="FFFFFFFF"/>
        </left>
        <right style="thin">
          <color rgb="FFFFFFFF"/>
        </right>
        <top style="thin">
          <color rgb="FFFFFFFF"/>
        </top>
        <bottom style="thin">
          <color rgb="FFFFFFFF"/>
        </bottom>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none"/>
      </fill>
      <border/>
    </dxf>
    <dxf>
      <font/>
      <fill>
        <patternFill patternType="solid">
          <fgColor rgb="FF1A365D"/>
          <bgColor rgb="FF1A365D"/>
        </patternFill>
      </fill>
      <border/>
    </dxf>
    <dxf>
      <font/>
      <fill>
        <patternFill patternType="solid">
          <fgColor rgb="FFF0F5F8"/>
          <bgColor rgb="FFF0F5F8"/>
        </patternFill>
      </fill>
      <border/>
    </dxf>
    <dxf>
      <border>
        <left style="thin">
          <color rgb="FF1A365D"/>
        </left>
        <right style="thin">
          <color rgb="FF1A365D"/>
        </right>
        <top style="thin">
          <color rgb="FF1A365D"/>
        </top>
        <bottom style="thin">
          <color rgb="FF1A365D"/>
        </bottom>
      </border>
    </dxf>
  </dxfs>
  <tableStyles count="36">
    <tableStyle count="4" pivot="0" name="EVFCFF-style">
      <tableStyleElement dxfId="1" type="headerRow"/>
      <tableStyleElement dxfId="2" type="firstRowStripe"/>
      <tableStyleElement dxfId="3" type="secondRowStripe"/>
      <tableStyleElement dxfId="4" size="0" type="wholeTable"/>
    </tableStyle>
    <tableStyle count="4" pivot="0" name="EVFCFF-style 2">
      <tableStyleElement dxfId="1" type="headerRow"/>
      <tableStyleElement dxfId="2" type="firstRowStripe"/>
      <tableStyleElement dxfId="3" type="secondRowStripe"/>
      <tableStyleElement dxfId="4" size="0" type="wholeTable"/>
    </tableStyle>
    <tableStyle count="4" pivot="0" name="EVFCFF-style 3">
      <tableStyleElement dxfId="1" type="headerRow"/>
      <tableStyleElement dxfId="2" type="firstRowStripe"/>
      <tableStyleElement dxfId="3" type="secondRowStripe"/>
      <tableStyleElement dxfId="4" size="0" type="wholeTable"/>
    </tableStyle>
    <tableStyle count="2" pivot="0" name="POCF-style">
      <tableStyleElement dxfId="2" type="firstRowStripe"/>
      <tableStyleElement dxfId="3" type="secondRowStripe"/>
    </tableStyle>
    <tableStyle count="2" pivot="0" name="POCF-style 2">
      <tableStyleElement dxfId="2" type="firstRowStripe"/>
      <tableStyleElement dxfId="3" type="secondRowStripe"/>
    </tableStyle>
    <tableStyle count="2" pivot="0" name="Resumen de Valoración-style">
      <tableStyleElement dxfId="5" type="firstRowStripe"/>
      <tableStyleElement dxfId="2" type="secondRowStripe"/>
    </tableStyle>
    <tableStyle count="2" pivot="0" name="Resumen de Valoración-style 2">
      <tableStyleElement dxfId="2" type="firstRowStripe"/>
      <tableStyleElement dxfId="3" type="secondRowStripe"/>
    </tableStyle>
    <tableStyle count="4" pivot="0" name="PE-style">
      <tableStyleElement dxfId="1" type="headerRow"/>
      <tableStyleElement dxfId="2" type="firstRowStripe"/>
      <tableStyleElement dxfId="3" type="secondRowStripe"/>
      <tableStyleElement dxfId="4" size="0" type="wholeTable"/>
    </tableStyle>
    <tableStyle count="4" pivot="0" name="PE-style 2">
      <tableStyleElement dxfId="1" type="headerRow"/>
      <tableStyleElement dxfId="2" type="firstRowStripe"/>
      <tableStyleElement dxfId="3" type="secondRowStripe"/>
      <tableStyleElement dxfId="4" size="0" type="wholeTable"/>
    </tableStyle>
    <tableStyle count="4" pivot="0" name="PE-style 3">
      <tableStyleElement dxfId="1" type="headerRow"/>
      <tableStyleElement dxfId="2" type="firstRowStripe"/>
      <tableStyleElement dxfId="3" type="secondRowStripe"/>
      <tableStyleElement dxfId="4" size="0" type="wholeTable"/>
    </tableStyle>
    <tableStyle count="2" pivot="0" name="PFCFE-style">
      <tableStyleElement dxfId="2" type="firstRowStripe"/>
      <tableStyleElement dxfId="3" type="secondRowStripe"/>
    </tableStyle>
    <tableStyle count="4" pivot="0" name="EVEBITDA-style">
      <tableStyleElement dxfId="1" type="headerRow"/>
      <tableStyleElement dxfId="2" type="firstRowStripe"/>
      <tableStyleElement dxfId="3" type="secondRowStripe"/>
      <tableStyleElement dxfId="4" size="0" type="wholeTable"/>
    </tableStyle>
    <tableStyle count="4" pivot="0" name="EVEBITDA-style 2">
      <tableStyleElement dxfId="1" type="headerRow"/>
      <tableStyleElement dxfId="2" type="firstRowStripe"/>
      <tableStyleElement dxfId="3" type="secondRowStripe"/>
      <tableStyleElement dxfId="4" size="0" type="wholeTable"/>
    </tableStyle>
    <tableStyle count="4" pivot="0" name="EVEBITDA-style 3">
      <tableStyleElement dxfId="1" type="headerRow"/>
      <tableStyleElement dxfId="2" type="firstRowStripe"/>
      <tableStyleElement dxfId="3" type="secondRowStripe"/>
      <tableStyleElement dxfId="4" size="0" type="wholeTable"/>
    </tableStyle>
    <tableStyle count="2" pivot="0" name="Financials Multiples-style">
      <tableStyleElement dxfId="8" type="firstRowStripe"/>
      <tableStyleElement dxfId="2" type="secondRowStripe"/>
    </tableStyle>
    <tableStyle count="2" pivot="0" name="Financials Multiples-style 2">
      <tableStyleElement dxfId="8" type="firstRowStripe"/>
      <tableStyleElement dxfId="2" type="secondRowStripe"/>
    </tableStyle>
    <tableStyle count="2" pivot="0" name="Financials Multiples-style 3">
      <tableStyleElement dxfId="8" type="firstRowStripe"/>
      <tableStyleElement dxfId="2" type="secondRowStripe"/>
    </tableStyle>
    <tableStyle count="2" pivot="0" name="Balance Sheet-style">
      <tableStyleElement dxfId="5" type="firstRowStripe"/>
      <tableStyleElement dxfId="2" type="secondRowStripe"/>
    </tableStyle>
    <tableStyle count="4" pivot="0" name="Income Statement-style">
      <tableStyleElement dxfId="9" type="headerRow"/>
      <tableStyleElement dxfId="5" type="firstRowStripe"/>
      <tableStyleElement dxfId="2" type="secondRowStripe"/>
      <tableStyleElement dxfId="10" size="0" type="wholeTable"/>
    </tableStyle>
    <tableStyle count="2" pivot="0" name="Balance Sheet-style 2">
      <tableStyleElement dxfId="5" type="firstRowStripe"/>
      <tableStyleElement dxfId="2" type="secondRowStripe"/>
    </tableStyle>
    <tableStyle count="2" pivot="0" name="Balance Sheet-style 3">
      <tableStyleElement dxfId="5" type="firstRowStripe"/>
      <tableStyleElement dxfId="2" type="secondRowStripe"/>
    </tableStyle>
    <tableStyle count="2" pivot="0" name="Cash Flow Statement-style">
      <tableStyleElement dxfId="2" type="firstRowStripe"/>
      <tableStyleElement dxfId="5" type="secondRowStripe"/>
    </tableStyle>
    <tableStyle count="2" pivot="0" name="Cash Flow Statement-style 2">
      <tableStyleElement dxfId="2" type="firstRowStripe"/>
      <tableStyleElement dxfId="5" type="secondRowStripe"/>
    </tableStyle>
    <tableStyle count="2" pivot="0" name="Cash Flow Statement-style 3">
      <tableStyleElement dxfId="2" type="firstRowStripe"/>
      <tableStyleElement dxfId="5" type="secondRowStripe"/>
    </tableStyle>
    <tableStyle count="2" pivot="0" name="Cash Flow Statement-style 4">
      <tableStyleElement dxfId="2" type="firstRowStripe"/>
      <tableStyleElement dxfId="5" type="secondRowStripe"/>
    </tableStyle>
    <tableStyle count="4" pivot="0" name="Trailing Valuation-style">
      <tableStyleElement dxfId="9" type="headerRow"/>
      <tableStyleElement dxfId="2" type="firstRowStripe"/>
      <tableStyleElement dxfId="5" type="secondRowStripe"/>
      <tableStyleElement dxfId="10" size="0" type="wholeTable"/>
    </tableStyle>
    <tableStyle count="2" pivot="0" name="Forward Valuation-style">
      <tableStyleElement dxfId="5" type="firstRowStripe"/>
      <tableStyleElement dxfId="2" type="secondRowStripe"/>
    </tableStyle>
    <tableStyle count="2" pivot="0" name="Dividendos-style">
      <tableStyleElement dxfId="5" type="firstRowStripe"/>
      <tableStyleElement dxfId="2" type="secondRowStripe"/>
    </tableStyle>
    <tableStyle count="2" pivot="0" name="Márgenes-style">
      <tableStyleElement dxfId="5" type="firstRowStripe"/>
      <tableStyleElement dxfId="2" type="secondRowStripe"/>
    </tableStyle>
    <tableStyle count="2" pivot="0" name="Eficiencia de capital-style">
      <tableStyleElement dxfId="5" type="firstRowStripe"/>
      <tableStyleElement dxfId="2" type="secondRowStripe"/>
    </tableStyle>
    <tableStyle count="2" pivot="0" name="Salud Financiera-style">
      <tableStyleElement dxfId="5" type="firstRowStripe"/>
      <tableStyleElement dxfId="2" type="secondRowStripe"/>
    </tableStyle>
    <tableStyle count="2" pivot="0" name="Por acción-style">
      <tableStyleElement dxfId="5" type="firstRowStripe"/>
      <tableStyleElement dxfId="2" type="secondRowStripe"/>
    </tableStyle>
    <tableStyle count="4" pivot="0" name="R&amp; D converter-style">
      <tableStyleElement dxfId="2" type="headerRow"/>
      <tableStyleElement dxfId="2" type="firstRowStripe"/>
      <tableStyleElement dxfId="2" type="secondRowStripe"/>
      <tableStyleElement dxfId="11" size="0" type="wholeTable"/>
    </tableStyle>
    <tableStyle count="4" pivot="0" name="Sector-style">
      <tableStyleElement dxfId="12" type="headerRow"/>
      <tableStyleElement dxfId="2" type="firstRowStripe"/>
      <tableStyleElement dxfId="13" type="secondRowStripe"/>
      <tableStyleElement dxfId="14" size="0" type="wholeTable"/>
    </tableStyle>
    <tableStyle count="4" pivot="0" name="Crecimiento y Márgenes-style">
      <tableStyleElement dxfId="16" type="headerRow"/>
      <tableStyleElement dxfId="2" type="firstRowStripe"/>
      <tableStyleElement dxfId="17" type="secondRowStripe"/>
      <tableStyleElement dxfId="18" size="0" type="wholeTable"/>
    </tableStyle>
    <tableStyle count="4" pivot="0" name="Crecimiento y Márgenes-style 2">
      <tableStyleElement dxfId="16" type="headerRow"/>
      <tableStyleElement dxfId="2" type="firstRowStripe"/>
      <tableStyleElement dxfId="17" type="secondRowStripe"/>
      <tableStyleElement dxfId="18"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48" Type="http://schemas.openxmlformats.org/officeDocument/2006/relationships/worksheet" Target="worksheets/sheet44.xml"/><Relationship Id="rId25" Type="http://schemas.openxmlformats.org/officeDocument/2006/relationships/worksheet" Target="worksheets/sheet21.xml"/><Relationship Id="rId47" Type="http://schemas.openxmlformats.org/officeDocument/2006/relationships/worksheet" Target="worksheets/sheet43.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Zonas de Compra</a:t>
            </a:r>
          </a:p>
        </c:rich>
      </c:tx>
      <c:overlay val="0"/>
    </c:title>
    <c:plotArea>
      <c:layout/>
      <c:barChart>
        <c:barDir val="col"/>
        <c:ser>
          <c:idx val="0"/>
          <c:order val="0"/>
          <c:tx>
            <c:strRef>
              <c:f>'Presentación'!$C$11</c:f>
            </c:strRef>
          </c:tx>
          <c:spPr>
            <a:solidFill>
              <a:schemeClr val="accent1"/>
            </a:solidFill>
            <a:ln cmpd="sng">
              <a:noFill/>
            </a:ln>
          </c:spPr>
          <c:cat>
            <c:strRef>
              <c:f>'Presentación'!$B$12:$B$15</c:f>
            </c:strRef>
          </c:cat>
          <c:val>
            <c:numRef>
              <c:f>'Presentación'!$C$12:$C$15</c:f>
              <c:numCache/>
            </c:numRef>
          </c:val>
        </c:ser>
        <c:ser>
          <c:idx val="1"/>
          <c:order val="1"/>
          <c:tx>
            <c:strRef>
              <c:f>'Presentación'!$D$11</c:f>
            </c:strRef>
          </c:tx>
          <c:spPr>
            <a:solidFill>
              <a:schemeClr val="accent2"/>
            </a:solidFill>
            <a:ln cmpd="sng">
              <a:noFill/>
            </a:ln>
          </c:spPr>
          <c:cat>
            <c:strRef>
              <c:f>'Presentación'!$B$12:$B$15</c:f>
            </c:strRef>
          </c:cat>
          <c:val>
            <c:numRef>
              <c:f>'Presentación'!$D$12:$D$15</c:f>
              <c:numCache/>
            </c:numRef>
          </c:val>
        </c:ser>
        <c:axId val="1532943332"/>
        <c:axId val="574008951"/>
      </c:barChart>
      <c:catAx>
        <c:axId val="153294333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Categoría</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574008951"/>
      </c:catAx>
      <c:valAx>
        <c:axId val="57400895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32943332"/>
      </c:valAx>
    </c:plotArea>
    <c:legend>
      <c:legendPos val="b"/>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Comparación de Precios por Escenario</a:t>
            </a:r>
          </a:p>
        </c:rich>
      </c:tx>
      <c:overlay val="0"/>
    </c:title>
    <c:plotArea>
      <c:layout/>
      <c:barChart>
        <c:barDir val="col"/>
        <c:ser>
          <c:idx val="0"/>
          <c:order val="0"/>
          <c:tx>
            <c:strRef>
              <c:f>'Resumen de Valoración'!$C$5</c:f>
            </c:strRef>
          </c:tx>
          <c:spPr>
            <a:solidFill>
              <a:schemeClr val="accent1"/>
            </a:solidFill>
            <a:ln cmpd="sng">
              <a:noFill/>
            </a:ln>
          </c:spPr>
          <c:cat>
            <c:strRef>
              <c:f>'Resumen de Valoración'!$A$6:$A$12</c:f>
            </c:strRef>
          </c:cat>
          <c:val>
            <c:numRef>
              <c:f>'Resumen de Valoración'!$C$6:$C$12</c:f>
              <c:numCache/>
            </c:numRef>
          </c:val>
        </c:ser>
        <c:ser>
          <c:idx val="1"/>
          <c:order val="1"/>
          <c:tx>
            <c:strRef>
              <c:f>'Resumen de Valoración'!$D$5</c:f>
            </c:strRef>
          </c:tx>
          <c:spPr>
            <a:solidFill>
              <a:schemeClr val="accent2"/>
            </a:solidFill>
            <a:ln cmpd="sng">
              <a:noFill/>
            </a:ln>
          </c:spPr>
          <c:cat>
            <c:strRef>
              <c:f>'Resumen de Valoración'!$A$6:$A$12</c:f>
            </c:strRef>
          </c:cat>
          <c:val>
            <c:numRef>
              <c:f>'Resumen de Valoración'!$D$6:$D$12</c:f>
              <c:numCache/>
            </c:numRef>
          </c:val>
        </c:ser>
        <c:ser>
          <c:idx val="2"/>
          <c:order val="2"/>
          <c:tx>
            <c:strRef>
              <c:f>'Resumen de Valoración'!$E$5</c:f>
            </c:strRef>
          </c:tx>
          <c:spPr>
            <a:solidFill>
              <a:schemeClr val="accent3"/>
            </a:solidFill>
            <a:ln cmpd="sng">
              <a:noFill/>
            </a:ln>
          </c:spPr>
          <c:cat>
            <c:strRef>
              <c:f>'Resumen de Valoración'!$A$6:$A$12</c:f>
            </c:strRef>
          </c:cat>
          <c:val>
            <c:numRef>
              <c:f>'Resumen de Valoración'!$E$6:$E$12</c:f>
              <c:numCache/>
            </c:numRef>
          </c:val>
        </c:ser>
        <c:axId val="1799827664"/>
        <c:axId val="1140002237"/>
      </c:barChart>
      <c:catAx>
        <c:axId val="179982766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Método de Valoración</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140002237"/>
      </c:catAx>
      <c:valAx>
        <c:axId val="114000223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9827664"/>
      </c:valAx>
    </c:plotArea>
    <c:legend>
      <c:legendPos val="b"/>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10</xdr:row>
      <xdr:rowOff>0</xdr:rowOff>
    </xdr:from>
    <xdr:ext cx="4762500" cy="23812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29</xdr:row>
      <xdr:rowOff>0</xdr:rowOff>
    </xdr:from>
    <xdr:ext cx="5715000" cy="38100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504825</xdr:colOff>
      <xdr:row>1</xdr:row>
      <xdr:rowOff>9525</xdr:rowOff>
    </xdr:from>
    <xdr:ext cx="2781300" cy="2571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E10" displayName="Table_6" name="Table_6" id="6">
  <tableColumns count="5">
    <tableColumn name="Column1" id="1"/>
    <tableColumn name="Column2" id="2"/>
    <tableColumn name="Column3" id="3"/>
    <tableColumn name="Column4" id="4"/>
    <tableColumn name="Column5" id="5"/>
  </tableColumns>
  <tableStyleInfo name="Resumen de Valoración-style" showColumnStripes="0" showFirstColumn="1" showLastColumn="1" showRowStripes="1"/>
</table>
</file>

<file path=xl/tables/table2.xml><?xml version="1.0" encoding="utf-8"?>
<table xmlns="http://schemas.openxmlformats.org/spreadsheetml/2006/main" headerRowCount="0" ref="A14:E17" displayName="Table_7" name="Table_7" id="7">
  <tableColumns count="5">
    <tableColumn name="Column1" id="1"/>
    <tableColumn name="Column2" id="2"/>
    <tableColumn name="Column3" id="3"/>
    <tableColumn name="Column4" id="4"/>
    <tableColumn name="Column5" id="5"/>
  </tableColumns>
  <tableStyleInfo name="Resumen de Valoración-style 2" showColumnStripes="0" showFirstColumn="1" showLastColumn="1" showRowStripes="1"/>
</table>
</file>

<file path=xl/tables/table3.xml><?xml version="1.0" encoding="utf-8"?>
<table xmlns="http://schemas.openxmlformats.org/spreadsheetml/2006/main" ref="A6:H14" displayName="Table_3" name="Table_3" id="1">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EVFCFF-style" showColumnStripes="0" showFirstColumn="1" showLastColumn="1" showRowStripes="1"/>
</table>
</file>

<file path=xl/tables/table4.xml><?xml version="1.0" encoding="utf-8"?>
<table xmlns="http://schemas.openxmlformats.org/spreadsheetml/2006/main" ref="A17:H25" displayName="Table_4" name="Table_4" id="2">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EVFCFF-style 2" showColumnStripes="0" showFirstColumn="1" showLastColumn="1" showRowStripes="1"/>
</table>
</file>

<file path=xl/tables/table5.xml><?xml version="1.0" encoding="utf-8"?>
<table xmlns="http://schemas.openxmlformats.org/spreadsheetml/2006/main" ref="A28:H36" displayName="Table_5" name="Table_5" id="3">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EVFCFF-style 3" showColumnStripes="0" showFirstColumn="1" showLastColumn="1" showRowStripes="1"/>
</table>
</file>

<file path=xl/tables/table6.xml><?xml version="1.0" encoding="utf-8"?>
<table xmlns="http://schemas.openxmlformats.org/spreadsheetml/2006/main" headerRowCount="0" ref="A5:M32" displayName="Table_1" name="Table_1" id="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OCF-style" showColumnStripes="0" showFirstColumn="1" showLastColumn="1" showRowStripes="1"/>
</table>
</file>

<file path=xl/tables/table7.xml><?xml version="1.0" encoding="utf-8"?>
<table xmlns="http://schemas.openxmlformats.org/spreadsheetml/2006/main" headerRowCount="0" ref="A35:J56" displayName="Table_2" name="Table_2"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OCF-style 2" showColumnStripes="0" showFirstColumn="1" showLastColumn="1" showRowStripes="1"/>
</table>
</file>

<file path=xl/tables/table8.xml><?xml version="1.0" encoding="utf-8"?>
<table xmlns="http://schemas.openxmlformats.org/spreadsheetml/2006/main" ref="A6:H14" displayName="Table_8" name="Table_8" id="8">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PE-style" showColumnStripes="0" showFirstColumn="1" showLastColumn="1" showRowStripes="1"/>
</table>
</file>

<file path=xl/tables/table9.xml><?xml version="1.0" encoding="utf-8"?>
<table xmlns="http://schemas.openxmlformats.org/spreadsheetml/2006/main" ref="A17:H25" displayName="Table_9" name="Table_9" id="9">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PE-style 2" showColumnStripes="0" showFirstColumn="1" showLastColumn="1" showRowStripes="1"/>
</table>
</file>

<file path=xl/tables/table10.xml><?xml version="1.0" encoding="utf-8"?>
<table xmlns="http://schemas.openxmlformats.org/spreadsheetml/2006/main" ref="A28:H56" displayName="Table_10" name="Table_10" id="10">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PE-style 3" showColumnStripes="0" showFirstColumn="1" showLastColumn="1" showRowStripes="1"/>
</table>
</file>

<file path=xl/tables/table11.xml><?xml version="1.0" encoding="utf-8"?>
<table xmlns="http://schemas.openxmlformats.org/spreadsheetml/2006/main" headerRowCount="0" ref="A5:M34" displayName="Table_11" name="Table_11" id="1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FCFE-style" showColumnStripes="0" showFirstColumn="1" showLastColumn="1" showRowStripes="1"/>
</table>
</file>

<file path=xl/tables/table12.xml><?xml version="1.0" encoding="utf-8"?>
<table xmlns="http://schemas.openxmlformats.org/spreadsheetml/2006/main" ref="A6:H14" displayName="Table_12" name="Table_12" id="12">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EVEBITDA-style" showColumnStripes="0" showFirstColumn="1" showLastColumn="1" showRowStripes="1"/>
</table>
</file>

<file path=xl/tables/table13.xml><?xml version="1.0" encoding="utf-8"?>
<table xmlns="http://schemas.openxmlformats.org/spreadsheetml/2006/main" ref="A17:H25" displayName="Table_13" name="Table_13" id="13">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EVEBITDA-style 2" showColumnStripes="0" showFirstColumn="1" showLastColumn="1" showRowStripes="1"/>
</table>
</file>

<file path=xl/tables/table14.xml><?xml version="1.0" encoding="utf-8"?>
<table xmlns="http://schemas.openxmlformats.org/spreadsheetml/2006/main" ref="A28:H56" displayName="Table_14" name="Table_14" id="14">
  <tableColumns count="8">
    <tableColumn name="Realized At" id="1"/>
    <tableColumn name="Dec '22" id="2"/>
    <tableColumn name="Dec '23" id="3"/>
    <tableColumn name="Nov '24" id="4"/>
    <tableColumn name="Nov '25" id="5"/>
    <tableColumn name="FY+1 (Estimate)" id="6"/>
    <tableColumn name="FY+2 (Estimate)" id="7"/>
    <tableColumn name="FY+3 (Estimate)" id="8"/>
  </tableColumns>
  <tableStyleInfo name="EVEBITDA-style 3" showColumnStripes="0" showFirstColumn="1" showLastColumn="1" showRowStripes="1"/>
</table>
</file>

<file path=xl/tables/table15.xml><?xml version="1.0" encoding="utf-8"?>
<table xmlns="http://schemas.openxmlformats.org/spreadsheetml/2006/main" headerRowCount="0" ref="A4:H39" displayName="Table_15" name="Table_15" id="15">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showColumnStripes="0" showFirstColumn="1" showLastColumn="1" showRowStripes="1"/>
</table>
</file>

<file path=xl/tables/table16.xml><?xml version="1.0" encoding="utf-8"?>
<table xmlns="http://schemas.openxmlformats.org/spreadsheetml/2006/main" headerRowCount="0" ref="A43:H78" displayName="Table_16" name="Table_16" id="16">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2" showColumnStripes="0" showFirstColumn="1" showLastColumn="1" showRowStripes="1"/>
</table>
</file>

<file path=xl/tables/table17.xml><?xml version="1.0" encoding="utf-8"?>
<table xmlns="http://schemas.openxmlformats.org/spreadsheetml/2006/main" headerRowCount="0" ref="A83:H118" displayName="Table_17" name="Table_17" id="17">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3" showColumnStripes="0" showFirstColumn="1" showLastColumn="1" showRowStripes="1"/>
</table>
</file>

<file path=xl/tables/table18.xml><?xml version="1.0" encoding="utf-8"?>
<table xmlns="http://schemas.openxmlformats.org/spreadsheetml/2006/main" ref="A2:M30" displayName="Table_18" name="Table_18" id="18">
  <tableColumns count="13">
    <tableColumn name="Income Statement" id="1"/>
    <tableColumn name="Dec '16" id="2"/>
    <tableColumn name="Dec '17" id="3"/>
    <tableColumn name="Nov '18" id="4"/>
    <tableColumn name="Nov '19" id="5"/>
    <tableColumn name="Nov '20" id="6"/>
    <tableColumn name="Dec '21" id="7"/>
    <tableColumn name="Dec '22" id="8"/>
    <tableColumn name="Dec '23" id="9"/>
    <tableColumn name="Nov '24" id="10"/>
    <tableColumn name="Nov '25" id="11"/>
    <tableColumn name="LTM" id="12"/>
    <tableColumn name="Nov '26 (E)" id="13"/>
  </tableColumns>
  <tableStyleInfo name="Income Statement-style" showColumnStripes="0" showFirstColumn="1" showLastColumn="1" showRowStripes="1"/>
</table>
</file>

<file path=xl/tables/table19.xml><?xml version="1.0" encoding="utf-8"?>
<table xmlns="http://schemas.openxmlformats.org/spreadsheetml/2006/main" headerRowCount="0" ref="A3:M16" displayName="Table_19" name="Table_19" id="1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showColumnStripes="0" showFirstColumn="1" showLastColumn="1" showRowStripes="1"/>
</table>
</file>

<file path=xl/tables/table20.xml><?xml version="1.0" encoding="utf-8"?>
<table xmlns="http://schemas.openxmlformats.org/spreadsheetml/2006/main" headerRowCount="0" ref="A18:M29" displayName="Table_20" name="Table_20" id="2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2" showColumnStripes="0" showFirstColumn="1" showLastColumn="1" showRowStripes="1"/>
</table>
</file>

<file path=xl/tables/table21.xml><?xml version="1.0" encoding="utf-8"?>
<table xmlns="http://schemas.openxmlformats.org/spreadsheetml/2006/main" headerRowCount="0" ref="A31:M36" displayName="Table_21" name="Table_21" id="2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3" showColumnStripes="0" showFirstColumn="1" showLastColumn="1" showRowStripes="1"/>
</table>
</file>

<file path=xl/tables/table22.xml><?xml version="1.0" encoding="utf-8"?>
<table xmlns="http://schemas.openxmlformats.org/spreadsheetml/2006/main" headerRowCount="0" ref="A3:M13" displayName="Table_22" name="Table_22" id="2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showColumnStripes="0" showFirstColumn="1" showLastColumn="1" showRowStripes="1"/>
</table>
</file>

<file path=xl/tables/table23.xml><?xml version="1.0" encoding="utf-8"?>
<table xmlns="http://schemas.openxmlformats.org/spreadsheetml/2006/main" headerRowCount="0" ref="A15:M22" displayName="Table_23" name="Table_23" id="2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2" showColumnStripes="0" showFirstColumn="1" showLastColumn="1" showRowStripes="1"/>
</table>
</file>

<file path=xl/tables/table24.xml><?xml version="1.0" encoding="utf-8"?>
<table xmlns="http://schemas.openxmlformats.org/spreadsheetml/2006/main" headerRowCount="0" ref="A24:M34" displayName="Table_24" name="Table_24" id="2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3" showColumnStripes="0" showFirstColumn="1" showLastColumn="1" showRowStripes="1"/>
</table>
</file>

<file path=xl/tables/table25.xml><?xml version="1.0" encoding="utf-8"?>
<table xmlns="http://schemas.openxmlformats.org/spreadsheetml/2006/main" headerRowCount="0" ref="A36:M40" displayName="Table_25" name="Table_25" id="2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4" showColumnStripes="0" showFirstColumn="1" showLastColumn="1" showRowStripes="1"/>
</table>
</file>

<file path=xl/tables/table26.xml><?xml version="1.0" encoding="utf-8"?>
<table xmlns="http://schemas.openxmlformats.org/spreadsheetml/2006/main" ref="A2:L24" displayName="Table_26" name="Table_26" id="26">
  <tableColumns count="12">
    <tableColumn name="Trailing Valuation" id="1"/>
    <tableColumn name="Dec '16" id="2"/>
    <tableColumn name="Dec '17" id="3"/>
    <tableColumn name="Nov '18" id="4"/>
    <tableColumn name="Nov '19" id="5"/>
    <tableColumn name="Nov '20" id="6"/>
    <tableColumn name="Dec '21" id="7"/>
    <tableColumn name="Dec '22" id="8"/>
    <tableColumn name="Dec '23" id="9"/>
    <tableColumn name="Nov '24" id="10"/>
    <tableColumn name="Nov '25" id="11"/>
    <tableColumn name="LTM" id="12"/>
  </tableColumns>
  <tableStyleInfo name="Trailing Valuation-style" showColumnStripes="0" showFirstColumn="1" showLastColumn="1" showRowStripes="1"/>
</table>
</file>

<file path=xl/tables/table27.xml><?xml version="1.0" encoding="utf-8"?>
<table xmlns="http://schemas.openxmlformats.org/spreadsheetml/2006/main" headerRowCount="0" ref="A3:N13" displayName="Table_27" name="Table_27" id="2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Forward Valuation-style" showColumnStripes="0" showFirstColumn="1" showLastColumn="1" showRowStripes="1"/>
</table>
</file>

<file path=xl/tables/table28.xml><?xml version="1.0" encoding="utf-8"?>
<table xmlns="http://schemas.openxmlformats.org/spreadsheetml/2006/main" headerRowCount="0" ref="A3:G5" displayName="Table_28" name="Table_28" id="28">
  <tableColumns count="7">
    <tableColumn name="Column1" id="1"/>
    <tableColumn name="Column2" id="2"/>
    <tableColumn name="Column3" id="3"/>
    <tableColumn name="Column4" id="4"/>
    <tableColumn name="Column5" id="5"/>
    <tableColumn name="Column6" id="6"/>
    <tableColumn name="Column7" id="7"/>
  </tableColumns>
  <tableStyleInfo name="Dividendos-style" showColumnStripes="0" showFirstColumn="1" showLastColumn="1" showRowStripes="1"/>
</table>
</file>

<file path=xl/tables/table29.xml><?xml version="1.0" encoding="utf-8"?>
<table xmlns="http://schemas.openxmlformats.org/spreadsheetml/2006/main" headerRowCount="0" ref="A3:L14" displayName="Table_29" name="Table_29" id="2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árgenes-style" showColumnStripes="0" showFirstColumn="1" showLastColumn="1" showRowStripes="1"/>
</table>
</file>

<file path=xl/tables/table30.xml><?xml version="1.0" encoding="utf-8"?>
<table xmlns="http://schemas.openxmlformats.org/spreadsheetml/2006/main" headerRowCount="0" ref="A3:L21" displayName="Table_30" name="Table_30" id="3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Eficiencia de capital-style" showColumnStripes="0" showFirstColumn="1" showLastColumn="1" showRowStripes="1"/>
</table>
</file>

<file path=xl/tables/table31.xml><?xml version="1.0" encoding="utf-8"?>
<table xmlns="http://schemas.openxmlformats.org/spreadsheetml/2006/main" headerRowCount="0" ref="A3:L19" displayName="Table_31" name="Table_31" id="3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alud Financiera-style" showColumnStripes="0" showFirstColumn="1" showLastColumn="1" showRowStripes="1"/>
</table>
</file>

<file path=xl/tables/table32.xml><?xml version="1.0" encoding="utf-8"?>
<table xmlns="http://schemas.openxmlformats.org/spreadsheetml/2006/main" headerRowCount="0" ref="A3:L12" displayName="Table_32" name="Table_32" id="3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or acción-style" showColumnStripes="0" showFirstColumn="1" showLastColumn="1" showRowStripes="1"/>
</table>
</file>

<file path=xl/tables/table33.xml><?xml version="1.0" encoding="utf-8"?>
<table xmlns="http://schemas.openxmlformats.org/spreadsheetml/2006/main" ref="A44:B142" displayName="Table_33" name="Table_33" id="33">
  <tableColumns count="2">
    <tableColumn name="Industry Name" id="1"/>
    <tableColumn name="Amortization Period" id="2"/>
  </tableColumns>
  <tableStyleInfo name="R&amp; D converter-style" showColumnStripes="0" showFirstColumn="1" showLastColumn="1" showRowStripes="1"/>
</table>
</file>

<file path=xl/tables/table34.xml><?xml version="1.0" encoding="utf-8"?>
<table xmlns="http://schemas.openxmlformats.org/spreadsheetml/2006/main" ref="A1:Y29" displayName="Table_34" name="Table_34" id="34">
  <tableColumns count="25">
    <tableColumn name="Company" id="1"/>
    <tableColumn name="Ticker" id="2"/>
    <tableColumn name="Market Cap" id="3"/>
    <tableColumn name="Gross Profit Margin" id="4"/>
    <tableColumn name="Forward P/E" id="5"/>
    <tableColumn name="P/E" id="6"/>
    <tableColumn name="EV/FCF" id="7"/>
    <tableColumn name="P/FCF" id="8"/>
    <tableColumn name="EV/EBITDA" id="9"/>
    <tableColumn name="P/OCF" id="10"/>
    <tableColumn name="Operating Margin" id="11"/>
    <tableColumn name="Revenue 3Y CAGR" id="12"/>
    <tableColumn name="Revenue 5Y CAGR" id="13"/>
    <tableColumn name="Revenue 10Y CAGR" id="14"/>
    <tableColumn name="Columna 1" id="15"/>
    <tableColumn name="Columna 2" id="16"/>
    <tableColumn name="Columna 3" id="17"/>
    <tableColumn name="Columna 4" id="18"/>
    <tableColumn name="Columna 5" id="19"/>
    <tableColumn name="Columna 6" id="20"/>
    <tableColumn name="Columna 7" id="21"/>
    <tableColumn name="Columna 8" id="22"/>
    <tableColumn name="Columna 9" id="23"/>
    <tableColumn name="Columna 10" id="24"/>
    <tableColumn name="Columna 11" id="25"/>
  </tableColumns>
  <tableStyleInfo name="Sector-style" showColumnStripes="0" showFirstColumn="1" showLastColumn="1" showRowStripes="1"/>
</table>
</file>

<file path=xl/tables/table35.xml><?xml version="1.0" encoding="utf-8"?>
<table xmlns="http://schemas.openxmlformats.org/spreadsheetml/2006/main" ref="B5:F11" displayName="Table_35" name="Table_35" id="35">
  <tableColumns count="5">
    <tableColumn name="Periodo" id="1"/>
    <tableColumn name="Crecimiento (Ingresos)" id="2"/>
    <tableColumn name="Margen EBIT" id="3"/>
    <tableColumn name="Margen EBITDA" id="4"/>
    <tableColumn name="Margen EBIT mediana" id="5"/>
  </tableColumns>
  <tableStyleInfo name="Crecimiento y Márgenes-style" showColumnStripes="0" showFirstColumn="1" showLastColumn="1" showRowStripes="1"/>
</table>
</file>

<file path=xl/tables/table36.xml><?xml version="1.0" encoding="utf-8"?>
<table xmlns="http://schemas.openxmlformats.org/spreadsheetml/2006/main" ref="B14:F20" displayName="Table_36" name="Table_36" id="36">
  <tableColumns count="5">
    <tableColumn name="Periodo" id="1"/>
    <tableColumn name="CAGR 3Y" id="2"/>
    <tableColumn name="CAGR 5Y" id="3"/>
    <tableColumn name="Margen EBIT" id="4"/>
    <tableColumn name="Margen EBITDA" id="5"/>
  </tableColumns>
  <tableStyleInfo name="Crecimiento y Márgen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6.xml"/><Relationship Id="rId5"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8.xml"/><Relationship Id="rId6" Type="http://schemas.openxmlformats.org/officeDocument/2006/relationships/table" Target="../tables/table9.xml"/><Relationship Id="rId7"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12.xml"/><Relationship Id="rId6" Type="http://schemas.openxmlformats.org/officeDocument/2006/relationships/table" Target="../tables/table13.xml"/><Relationship Id="rId7"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15.xml"/><Relationship Id="rId6" Type="http://schemas.openxmlformats.org/officeDocument/2006/relationships/table" Target="../tables/table16.xml"/><Relationship Id="rId7"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5" Type="http://schemas.openxmlformats.org/officeDocument/2006/relationships/table" Target="../tables/table19.xml"/><Relationship Id="rId6" Type="http://schemas.openxmlformats.org/officeDocument/2006/relationships/table" Target="../tables/table20.xml"/><Relationship Id="rId7"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9" Type="http://schemas.openxmlformats.org/officeDocument/2006/relationships/table" Target="../tables/table25.xml"/><Relationship Id="rId6" Type="http://schemas.openxmlformats.org/officeDocument/2006/relationships/table" Target="../tables/table22.xml"/><Relationship Id="rId7" Type="http://schemas.openxmlformats.org/officeDocument/2006/relationships/table" Target="../tables/table23.xml"/><Relationship Id="rId8" Type="http://schemas.openxmlformats.org/officeDocument/2006/relationships/table" Target="../tables/table2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3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3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4" Type="http://schemas.openxmlformats.org/officeDocument/2006/relationships/table" Target="../tables/table35.xml"/><Relationship Id="rId5" Type="http://schemas.openxmlformats.org/officeDocument/2006/relationships/table" Target="../tables/table3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outlinePr summaryBelow="0" summaryRight="0"/>
    <pageSetUpPr/>
  </sheetPr>
  <sheetViews>
    <sheetView showGridLines="0" workbookViewId="0"/>
  </sheetViews>
  <sheetFormatPr customHeight="1" defaultColWidth="12.63" defaultRowHeight="15.0"/>
  <cols>
    <col customWidth="1" min="1" max="1" width="11.25"/>
    <col customWidth="1" min="2" max="2" width="21.25"/>
    <col customWidth="1" min="3" max="26" width="11.25"/>
  </cols>
  <sheetData>
    <row r="1" ht="37.5" customHeight="1">
      <c r="A1" s="18" t="s">
        <v>72</v>
      </c>
      <c r="B1" s="18" t="str">
        <f>'Input sheet'!A1</f>
        <v>Novo Nordisk (NYSE:NVO)</v>
      </c>
      <c r="C1" s="18" t="s">
        <v>57</v>
      </c>
      <c r="D1" s="22">
        <f>'Input sheet'!D1</f>
        <v>39.4</v>
      </c>
      <c r="E1" s="7"/>
      <c r="F1" s="7"/>
      <c r="G1" s="7"/>
    </row>
    <row r="2" ht="14.25" customHeight="1">
      <c r="A2" s="9"/>
      <c r="B2" s="9"/>
      <c r="C2" s="9"/>
      <c r="D2" s="9"/>
      <c r="E2" s="9"/>
      <c r="F2" s="9"/>
      <c r="G2" s="9"/>
    </row>
    <row r="3" ht="14.25" customHeight="1">
      <c r="A3" s="9"/>
      <c r="B3" s="24" t="s">
        <v>76</v>
      </c>
      <c r="C3" s="27"/>
      <c r="D3" s="27"/>
      <c r="E3" s="27"/>
      <c r="F3" s="27"/>
      <c r="G3" s="27"/>
      <c r="H3" s="27"/>
      <c r="I3" s="27"/>
      <c r="J3" s="27"/>
    </row>
    <row r="4" ht="14.25" customHeight="1">
      <c r="A4" s="9"/>
      <c r="B4" s="28"/>
    </row>
    <row r="5" ht="14.25" customHeight="1">
      <c r="A5" s="9"/>
      <c r="B5" s="9"/>
      <c r="C5" s="9"/>
      <c r="D5" s="9"/>
      <c r="E5" s="9"/>
      <c r="F5" s="9"/>
      <c r="G5" s="9"/>
    </row>
    <row r="6" ht="14.25" customHeight="1">
      <c r="A6" s="9"/>
      <c r="B6" s="29" t="s">
        <v>77</v>
      </c>
      <c r="C6" s="31"/>
      <c r="D6" s="32"/>
      <c r="E6" s="29" t="s">
        <v>78</v>
      </c>
      <c r="F6" s="31"/>
      <c r="G6" s="32"/>
      <c r="H6" s="29" t="s">
        <v>79</v>
      </c>
      <c r="I6" s="31"/>
      <c r="J6" s="32"/>
      <c r="K6" s="38" t="str">
        <f>"PRECIO ("&amp;TEXT('Input sheet'!B4,"dd-mmm-yy")&amp;")"</f>
        <v>PRECIO (23-Sep-26)</v>
      </c>
      <c r="L6" s="31"/>
      <c r="M6" s="32"/>
    </row>
    <row r="7" ht="14.25" customHeight="1">
      <c r="A7" s="9"/>
      <c r="B7" s="40">
        <f>'Input sheet'!D1</f>
        <v>39.4</v>
      </c>
      <c r="C7" s="42"/>
      <c r="D7" s="44"/>
      <c r="E7" s="40">
        <f>'Resumen de Valoración'!D12</f>
        <v>58.1644252932236</v>
      </c>
      <c r="F7" s="42"/>
      <c r="G7" s="44"/>
      <c r="H7" s="47">
        <f>'Resumen de Valoración'!D13</f>
        <v>0.138641669606701</v>
      </c>
      <c r="I7" s="42"/>
      <c r="J7" s="44"/>
      <c r="K7" s="50">
        <f>'Resumen de Valoración'!C25</f>
        <v>39.4</v>
      </c>
      <c r="L7" s="42"/>
      <c r="M7" s="44"/>
    </row>
    <row r="8" ht="14.25" customHeight="1">
      <c r="A8" s="9"/>
      <c r="B8" s="52"/>
      <c r="C8" s="53"/>
      <c r="D8" s="55"/>
      <c r="E8" s="52"/>
      <c r="F8" s="53"/>
      <c r="G8" s="55"/>
      <c r="H8" s="52"/>
      <c r="I8" s="53"/>
      <c r="J8" s="55"/>
      <c r="K8" s="52"/>
      <c r="L8" s="53"/>
      <c r="M8" s="55"/>
    </row>
    <row r="9" ht="14.25" customHeight="1">
      <c r="A9" s="9"/>
      <c r="B9" s="9"/>
      <c r="C9" s="9"/>
      <c r="D9" s="9"/>
      <c r="E9" s="9"/>
      <c r="F9" s="9"/>
      <c r="G9" s="9"/>
    </row>
    <row r="10" ht="14.25" customHeight="1">
      <c r="A10" s="9"/>
      <c r="B10" s="9"/>
      <c r="C10" s="9"/>
      <c r="D10" s="9"/>
      <c r="E10" s="9"/>
      <c r="F10" s="9"/>
      <c r="G10" s="9"/>
    </row>
    <row r="11" ht="14.25" customHeight="1">
      <c r="A11" s="9"/>
      <c r="B11" s="60" t="str">
        <f>'Resumen de Valoración'!A15</f>
        <v>Valores de compra</v>
      </c>
      <c r="C11" s="60" t="str">
        <f>'Resumen de Valoración'!B15</f>
        <v>Max</v>
      </c>
      <c r="D11" s="60" t="str">
        <f>'Resumen de Valoración'!C15</f>
        <v>Min</v>
      </c>
      <c r="E11" s="9"/>
      <c r="F11" s="9"/>
      <c r="G11" s="9"/>
    </row>
    <row r="12" ht="14.25" customHeight="1">
      <c r="A12" s="9"/>
      <c r="B12" s="63" t="str">
        <f>'Resumen de Valoración'!A16</f>
        <v>Value</v>
      </c>
      <c r="C12" s="64">
        <f>'Resumen de Valoración'!B16</f>
        <v>40.7150977052565</v>
      </c>
      <c r="D12" s="64">
        <f>'Resumen de Valoración'!C16</f>
        <v>37.8068764405953</v>
      </c>
      <c r="E12" s="9"/>
      <c r="F12" s="9"/>
      <c r="G12" s="9"/>
    </row>
    <row r="13" ht="14.25" customHeight="1">
      <c r="A13" s="9"/>
      <c r="B13" s="66" t="str">
        <f>'Resumen de Valoración'!A17</f>
        <v>Deep Value</v>
      </c>
      <c r="C13" s="68">
        <f>'Resumen de Valoración'!B17</f>
        <v>34.8986551759341</v>
      </c>
      <c r="D13" s="68">
        <f>'Resumen de Valoración'!C17</f>
        <v>31.990433911273</v>
      </c>
      <c r="E13" s="9"/>
      <c r="F13" s="9"/>
      <c r="G13" s="9"/>
    </row>
    <row r="14" ht="14.25" customHeight="1">
      <c r="A14" s="9"/>
      <c r="B14" s="63" t="str">
        <f>'Resumen de Valoración'!A18</f>
        <v>Valoración histórica</v>
      </c>
      <c r="C14" s="64">
        <f>'Resumen de Valoración'!B18</f>
        <v>29.0822126466118</v>
      </c>
      <c r="D14" s="64">
        <f>'Resumen de Valoración'!C18</f>
        <v>26.1739913819506</v>
      </c>
      <c r="E14" s="9"/>
      <c r="F14" s="9"/>
      <c r="G14" s="9"/>
    </row>
    <row r="15" ht="14.25" customHeight="1">
      <c r="A15" s="9"/>
      <c r="B15" s="72" t="str">
        <f>'Resumen de Valoración'!A19</f>
        <v>Precio con MOS</v>
      </c>
      <c r="C15" s="74">
        <f>'Resumen de Valoración'!B19</f>
        <v>37.8068764405953</v>
      </c>
      <c r="D15" s="74">
        <f>'Resumen de Valoración'!C19</f>
        <v>37.1044448456337</v>
      </c>
      <c r="E15" s="9"/>
      <c r="F15" s="9"/>
      <c r="G15" s="9"/>
    </row>
    <row r="16" ht="14.25" customHeight="1">
      <c r="A16" s="9"/>
      <c r="B16" s="9"/>
      <c r="C16" s="9"/>
      <c r="D16" s="9"/>
      <c r="E16" s="9"/>
      <c r="F16" s="9"/>
      <c r="G16" s="9"/>
    </row>
    <row r="17" ht="14.25" customHeight="1">
      <c r="A17" s="9"/>
      <c r="B17" s="9"/>
      <c r="C17" s="9"/>
      <c r="D17" s="9"/>
      <c r="E17" s="9"/>
      <c r="F17" s="9"/>
      <c r="G17" s="9"/>
    </row>
    <row r="18" ht="14.25" customHeight="1">
      <c r="A18" s="9"/>
      <c r="B18" s="9"/>
      <c r="C18" s="9"/>
      <c r="D18" s="9"/>
      <c r="E18" s="9"/>
      <c r="F18" s="9"/>
      <c r="G18" s="9"/>
    </row>
    <row r="19" ht="14.25" customHeight="1">
      <c r="A19" s="9"/>
      <c r="B19" s="9"/>
      <c r="C19" s="9"/>
      <c r="D19" s="9"/>
      <c r="E19" s="9"/>
      <c r="F19" s="9"/>
      <c r="G19" s="9"/>
    </row>
    <row r="20" ht="14.25" customHeight="1">
      <c r="A20" s="9"/>
      <c r="B20" s="9"/>
      <c r="C20" s="9"/>
      <c r="D20" s="9"/>
      <c r="E20" s="9"/>
      <c r="F20" s="9"/>
      <c r="G20" s="9"/>
    </row>
    <row r="21" ht="14.25" customHeight="1">
      <c r="A21" s="9"/>
      <c r="B21" s="9"/>
      <c r="C21" s="9"/>
      <c r="D21" s="9"/>
      <c r="E21" s="9"/>
      <c r="F21" s="9"/>
      <c r="G21" s="9"/>
    </row>
    <row r="22" ht="14.25" customHeight="1">
      <c r="A22" s="9"/>
      <c r="B22" s="9"/>
      <c r="C22" s="9"/>
      <c r="D22" s="9"/>
      <c r="E22" s="9"/>
      <c r="F22" s="9"/>
      <c r="G22" s="9"/>
    </row>
    <row r="23" ht="14.25" customHeight="1">
      <c r="A23" s="9"/>
      <c r="B23" s="9"/>
      <c r="C23" s="9"/>
      <c r="D23" s="9"/>
      <c r="E23" s="9"/>
      <c r="F23" s="9"/>
      <c r="G23" s="9"/>
    </row>
    <row r="24" ht="14.25" customHeight="1">
      <c r="A24" s="9"/>
      <c r="B24" s="9"/>
      <c r="C24" s="9"/>
      <c r="D24" s="9"/>
      <c r="E24" s="9"/>
      <c r="F24" s="9"/>
      <c r="G24" s="9"/>
    </row>
    <row r="25" ht="14.25" customHeight="1">
      <c r="A25" s="9"/>
      <c r="B25" s="9"/>
      <c r="C25" s="9"/>
      <c r="D25" s="9"/>
      <c r="E25" s="9"/>
      <c r="F25" s="9"/>
      <c r="G25" s="9"/>
    </row>
    <row r="26" ht="14.25" customHeight="1">
      <c r="A26" s="9"/>
      <c r="B26" s="9"/>
      <c r="C26" s="9"/>
      <c r="D26" s="9"/>
      <c r="E26" s="9"/>
      <c r="F26" s="9"/>
      <c r="G26" s="9"/>
    </row>
    <row r="27" ht="14.25" customHeight="1">
      <c r="A27" s="9"/>
      <c r="B27" s="9"/>
      <c r="C27" s="9"/>
      <c r="D27" s="9"/>
      <c r="E27" s="9"/>
      <c r="F27" s="9"/>
      <c r="G27" s="9"/>
    </row>
    <row r="28" ht="14.25" customHeight="1">
      <c r="A28" s="9"/>
      <c r="B28" s="9"/>
      <c r="C28" s="9"/>
      <c r="D28" s="9"/>
      <c r="E28" s="9"/>
      <c r="F28" s="9"/>
      <c r="G28" s="9"/>
    </row>
    <row r="29" ht="14.25" customHeight="1">
      <c r="A29" s="9"/>
      <c r="B29" s="9"/>
      <c r="C29" s="9"/>
      <c r="D29" s="9"/>
      <c r="E29" s="9"/>
      <c r="F29" s="9"/>
      <c r="G29" s="9"/>
    </row>
    <row r="30" ht="14.25" customHeight="1">
      <c r="A30" s="9"/>
      <c r="B30" s="9"/>
      <c r="C30" s="9"/>
      <c r="D30" s="9"/>
      <c r="E30" s="9"/>
      <c r="F30" s="9"/>
      <c r="G30" s="9"/>
    </row>
    <row r="31" ht="15.75" customHeight="1">
      <c r="B31" s="77"/>
    </row>
    <row r="32" ht="15.75" customHeight="1">
      <c r="B32" s="77"/>
    </row>
    <row r="33" ht="15.75" customHeight="1">
      <c r="B33" s="77"/>
    </row>
    <row r="34" ht="15.75" customHeight="1">
      <c r="B34" s="77"/>
    </row>
    <row r="35" ht="15.75" customHeight="1">
      <c r="B35" s="77"/>
    </row>
    <row r="36" ht="15.75" customHeight="1">
      <c r="B36" s="77"/>
    </row>
    <row r="37" ht="15.75" customHeight="1">
      <c r="B37" s="77"/>
    </row>
    <row r="38" ht="15.75" customHeight="1">
      <c r="B38" s="77"/>
    </row>
    <row r="39" ht="15.75" customHeight="1">
      <c r="B39" s="77"/>
    </row>
    <row r="40" ht="15.75" customHeight="1">
      <c r="B40" s="77"/>
    </row>
    <row r="41" ht="15.75" customHeight="1">
      <c r="B41" s="77"/>
    </row>
    <row r="42" ht="15.75" customHeight="1">
      <c r="B42" s="77"/>
    </row>
    <row r="43" ht="15.75" customHeight="1">
      <c r="B43" s="77"/>
    </row>
    <row r="44" ht="15.75" customHeight="1">
      <c r="B44" s="77"/>
    </row>
    <row r="45" ht="15.75" customHeight="1">
      <c r="B45" s="77"/>
    </row>
    <row r="46" ht="15.75" customHeight="1">
      <c r="B46" s="77"/>
    </row>
    <row r="47" ht="15.75" customHeight="1">
      <c r="B47" s="77"/>
    </row>
    <row r="48" ht="15.75" customHeight="1">
      <c r="B48" s="77"/>
    </row>
    <row r="49" ht="15.75" customHeight="1">
      <c r="B49" s="77"/>
    </row>
    <row r="50" ht="15.75" customHeight="1">
      <c r="B50" s="77"/>
    </row>
    <row r="51" ht="15.75" customHeight="1">
      <c r="B51" s="77"/>
    </row>
    <row r="52" ht="15.75" customHeight="1">
      <c r="B52" s="77"/>
    </row>
    <row r="53" ht="15.75" customHeight="1">
      <c r="B53" s="77"/>
    </row>
    <row r="54" ht="15.75" customHeight="1">
      <c r="B54" s="77"/>
    </row>
    <row r="55" ht="15.75" customHeight="1">
      <c r="B55" s="77"/>
    </row>
    <row r="56" ht="15.75" customHeight="1">
      <c r="B56" s="77"/>
    </row>
    <row r="57" ht="15.75" customHeight="1">
      <c r="B57" s="77"/>
    </row>
    <row r="58" ht="15.75" customHeight="1">
      <c r="B58" s="77"/>
    </row>
    <row r="59" ht="15.75" customHeight="1">
      <c r="B59" s="77"/>
    </row>
    <row r="60" ht="15.75" customHeight="1">
      <c r="B60" s="77"/>
    </row>
    <row r="61" ht="15.75" customHeight="1">
      <c r="B61" s="77"/>
    </row>
    <row r="62" ht="15.75" customHeight="1">
      <c r="B62" s="77"/>
    </row>
    <row r="63" ht="15.75" customHeight="1">
      <c r="B63" s="77"/>
    </row>
    <row r="64" ht="15.75" customHeight="1">
      <c r="B64" s="77"/>
    </row>
    <row r="65" ht="15.75" customHeight="1">
      <c r="B65" s="77"/>
    </row>
    <row r="66" ht="15.75" customHeight="1">
      <c r="B66" s="77"/>
    </row>
    <row r="67" ht="15.75" customHeight="1">
      <c r="B67" s="77"/>
    </row>
    <row r="68" ht="15.75" customHeight="1">
      <c r="B68" s="77"/>
    </row>
    <row r="69" ht="15.75" customHeight="1">
      <c r="B69" s="77"/>
    </row>
    <row r="70" ht="15.75" customHeight="1">
      <c r="B70" s="77"/>
    </row>
    <row r="71" ht="15.75" customHeight="1">
      <c r="B71" s="77"/>
    </row>
    <row r="72" ht="15.75" customHeight="1">
      <c r="B72" s="77"/>
    </row>
    <row r="73" ht="15.75" customHeight="1">
      <c r="B73" s="77"/>
    </row>
    <row r="74" ht="15.75" customHeight="1">
      <c r="B74" s="77"/>
    </row>
    <row r="75" ht="15.75" customHeight="1">
      <c r="B75" s="77"/>
    </row>
    <row r="76" ht="15.75" customHeight="1">
      <c r="B76" s="77"/>
    </row>
    <row r="77" ht="15.75" customHeight="1">
      <c r="B77" s="77"/>
    </row>
    <row r="78" ht="15.75" customHeight="1">
      <c r="B78" s="77"/>
    </row>
    <row r="79" ht="15.75" customHeight="1">
      <c r="B79" s="77"/>
    </row>
    <row r="80" ht="15.75" customHeight="1">
      <c r="B80" s="77"/>
    </row>
    <row r="81" ht="15.75" customHeight="1">
      <c r="B81" s="77"/>
    </row>
    <row r="82" ht="15.75" customHeight="1">
      <c r="B82" s="77"/>
    </row>
    <row r="83" ht="15.75" customHeight="1">
      <c r="B83" s="77"/>
    </row>
    <row r="84" ht="15.75" customHeight="1">
      <c r="B84" s="77"/>
    </row>
    <row r="85" ht="15.75" customHeight="1">
      <c r="B85" s="77"/>
    </row>
    <row r="86" ht="15.75" customHeight="1">
      <c r="B86" s="77"/>
    </row>
    <row r="87" ht="15.75" customHeight="1">
      <c r="B87" s="77"/>
    </row>
    <row r="88" ht="15.75" customHeight="1">
      <c r="B88" s="77"/>
    </row>
    <row r="89" ht="15.75" customHeight="1">
      <c r="B89" s="77"/>
    </row>
    <row r="90" ht="15.75" customHeight="1">
      <c r="B90" s="77"/>
    </row>
    <row r="91" ht="15.75" customHeight="1">
      <c r="B91" s="77"/>
    </row>
    <row r="92" ht="15.75" customHeight="1">
      <c r="B92" s="77"/>
    </row>
    <row r="93" ht="15.75" customHeight="1">
      <c r="B93" s="77"/>
    </row>
    <row r="94" ht="15.75" customHeight="1">
      <c r="B94" s="77"/>
    </row>
    <row r="95" ht="15.75" customHeight="1">
      <c r="B95" s="77"/>
    </row>
    <row r="96" ht="15.75" customHeight="1">
      <c r="B96" s="77"/>
    </row>
    <row r="97" ht="15.75" customHeight="1">
      <c r="B97" s="77"/>
    </row>
    <row r="98" ht="15.75" customHeight="1">
      <c r="B98" s="77"/>
    </row>
    <row r="99" ht="15.75" customHeight="1">
      <c r="B99" s="77"/>
    </row>
    <row r="100" ht="15.75" customHeight="1">
      <c r="B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7:J8"/>
    <mergeCell ref="K7:M8"/>
    <mergeCell ref="B3:J4"/>
    <mergeCell ref="B6:D6"/>
    <mergeCell ref="E6:G6"/>
    <mergeCell ref="H6:J6"/>
    <mergeCell ref="K6:M6"/>
    <mergeCell ref="B7:D8"/>
    <mergeCell ref="E7:G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pageSetUpPr/>
  </sheetPr>
  <sheetViews>
    <sheetView showGridLines="0" workbookViewId="0"/>
  </sheetViews>
  <sheetFormatPr customHeight="1" defaultColWidth="12.63" defaultRowHeight="15.0"/>
  <cols>
    <col customWidth="1" min="1" max="1" width="21.75"/>
    <col customWidth="1" min="2" max="2" width="11.5"/>
    <col customWidth="1" min="3" max="3" width="10.25"/>
    <col customWidth="1" min="4" max="4" width="8.63"/>
    <col customWidth="1" min="5" max="5" width="8.38"/>
    <col customWidth="1" min="6" max="6" width="21.13"/>
    <col customWidth="1" min="7" max="26" width="11.25"/>
  </cols>
  <sheetData>
    <row r="1" ht="37.5" customHeight="1">
      <c r="A1" s="33" t="str">
        <f>'Input sheet'!A1</f>
        <v>Novo Nordisk (NYSE:NVO)</v>
      </c>
      <c r="B1" s="35"/>
      <c r="C1" s="33" t="s">
        <v>57</v>
      </c>
      <c r="D1" s="37">
        <f>'Input sheet'!D1</f>
        <v>39.4</v>
      </c>
      <c r="E1" s="7"/>
      <c r="F1" s="7"/>
      <c r="G1" s="7"/>
      <c r="H1" s="7"/>
      <c r="I1" s="7"/>
      <c r="J1" s="7"/>
      <c r="K1" s="7"/>
      <c r="L1" s="7"/>
      <c r="M1" s="7"/>
      <c r="N1" s="7"/>
      <c r="O1" s="7"/>
      <c r="P1" s="7"/>
      <c r="Q1" s="7"/>
      <c r="R1" s="7"/>
      <c r="S1" s="7"/>
      <c r="T1" s="7"/>
      <c r="U1" s="7"/>
      <c r="V1" s="7"/>
    </row>
    <row r="2" ht="14.25" customHeight="1">
      <c r="A2" s="41" t="s">
        <v>82</v>
      </c>
      <c r="B2" s="46" t="str">
        <f>TODAY()</f>
        <v>2026-09-23 00:00:00</v>
      </c>
      <c r="C2" s="41"/>
      <c r="D2" s="41"/>
      <c r="E2" s="41"/>
      <c r="F2" s="9"/>
      <c r="G2" s="9"/>
      <c r="H2" s="9"/>
      <c r="I2" s="9"/>
      <c r="J2" s="9"/>
      <c r="K2" s="9"/>
      <c r="L2" s="9"/>
      <c r="M2" s="9"/>
      <c r="N2" s="9"/>
      <c r="O2" s="9"/>
      <c r="P2" s="9"/>
      <c r="Q2" s="9"/>
      <c r="R2" s="9"/>
      <c r="S2" s="9"/>
      <c r="T2" s="9"/>
      <c r="U2" s="9"/>
      <c r="V2" s="9"/>
    </row>
    <row r="3" ht="14.25" customHeight="1">
      <c r="A3" s="41" t="s">
        <v>84</v>
      </c>
      <c r="B3" s="48">
        <f>C25</f>
        <v>39.4</v>
      </c>
      <c r="C3" s="41"/>
      <c r="D3" s="41"/>
      <c r="E3" s="41"/>
      <c r="F3" s="8" t="s">
        <v>86</v>
      </c>
      <c r="G3" s="9" t="inlineStr">
        <is>
          <t xml:space="preserve">Biotech/Farma</t>
        </is>
      </c>
      <c r="H3" s="9"/>
      <c r="I3" s="9"/>
      <c r="J3" s="9"/>
      <c r="K3" s="9"/>
      <c r="L3" s="9"/>
      <c r="M3" s="9"/>
      <c r="N3" s="9"/>
      <c r="O3" s="9"/>
      <c r="P3" s="9"/>
      <c r="Q3" s="9"/>
      <c r="R3" s="9"/>
      <c r="S3" s="9"/>
      <c r="T3" s="9"/>
      <c r="U3" s="9"/>
      <c r="V3" s="9"/>
    </row>
    <row r="4" ht="14.25" customHeight="1">
      <c r="A4" s="41"/>
      <c r="B4" s="41"/>
      <c r="C4" s="41"/>
      <c r="D4" s="41"/>
      <c r="E4" s="41"/>
      <c r="F4" s="8" t="s">
        <v>90</v>
      </c>
      <c r="G4" s="56">
        <v>0.35</v>
      </c>
      <c r="H4" s="9"/>
      <c r="I4" s="9"/>
      <c r="J4" s="9"/>
      <c r="K4" s="9"/>
      <c r="L4" s="9"/>
      <c r="M4" s="9"/>
      <c r="N4" s="9"/>
      <c r="O4" s="9"/>
      <c r="P4" s="9"/>
      <c r="Q4" s="9"/>
      <c r="R4" s="9"/>
      <c r="S4" s="9"/>
      <c r="T4" s="9"/>
      <c r="U4" s="9"/>
      <c r="V4" s="9"/>
    </row>
    <row r="5" ht="14.25" customHeight="1">
      <c r="A5" s="41" t="s">
        <v>91</v>
      </c>
      <c r="B5" s="41" t="s">
        <v>92</v>
      </c>
      <c r="C5" s="41" t="s">
        <v>16</v>
      </c>
      <c r="D5" s="41" t="s">
        <v>17</v>
      </c>
      <c r="E5" s="41" t="s">
        <v>18</v>
      </c>
      <c r="F5" s="9"/>
      <c r="G5" s="9"/>
      <c r="H5" s="9"/>
      <c r="I5" s="58" t="s">
        <v>91</v>
      </c>
      <c r="J5" s="58" t="s">
        <v>94</v>
      </c>
      <c r="K5" s="58" t="s">
        <v>95</v>
      </c>
      <c r="L5" s="58" t="s">
        <v>88</v>
      </c>
      <c r="M5" s="58" t="s">
        <v>96</v>
      </c>
      <c r="N5" s="58" t="s">
        <v>97</v>
      </c>
      <c r="O5" s="58" t="s">
        <v>98</v>
      </c>
      <c r="P5" s="58" t="s">
        <v>99</v>
      </c>
      <c r="Q5" s="58" t="s">
        <v>100</v>
      </c>
      <c r="R5" s="58" t="s">
        <v>101</v>
      </c>
      <c r="S5" s="58" t="s">
        <v>102</v>
      </c>
      <c r="T5" s="61" t="s">
        <v>103</v>
      </c>
      <c r="U5" s="61" t="s">
        <v>104</v>
      </c>
      <c r="V5" s="9"/>
    </row>
    <row r="6" ht="14.25" customHeight="1">
      <c r="A6" s="62" t="s">
        <v>105</v>
      </c>
      <c r="B6" s="65">
        <f t="shared" ref="B6:B11" si="1">VLOOKUP(A6, $I$6:$U$11, MATCH($G$3, $I$5:$U$5, 0), FALSE)</f>
        <v>0.55</v>
      </c>
      <c r="C6" s="67">
        <f>'Valuation output'!B86</f>
        <v>45.5246671720948</v>
      </c>
      <c r="D6" s="67">
        <f>'Valuation output'!B35</f>
        <v>44.0908764223439</v>
      </c>
      <c r="E6" s="67">
        <f>'Valuation output'!B137</f>
        <v>35.6815335857878</v>
      </c>
      <c r="F6" s="9"/>
      <c r="G6" s="9"/>
      <c r="H6" s="9"/>
      <c r="I6" s="69" t="s">
        <v>105</v>
      </c>
      <c r="J6" s="70">
        <v>0.6</v>
      </c>
      <c r="K6" s="70">
        <v>0.4</v>
      </c>
      <c r="L6" s="70">
        <v>0.5</v>
      </c>
      <c r="M6" s="70">
        <v>0.3</v>
      </c>
      <c r="N6" s="70">
        <v>0.4</v>
      </c>
      <c r="O6" s="70">
        <v>0.2</v>
      </c>
      <c r="P6" s="70">
        <v>0.4</v>
      </c>
      <c r="Q6" s="70">
        <v>0.4</v>
      </c>
      <c r="R6" s="70">
        <v>0.25</v>
      </c>
      <c r="S6" s="70">
        <v>0.6</v>
      </c>
      <c r="T6" s="71">
        <v>0.8</v>
      </c>
      <c r="U6" s="71">
        <v>0.55</v>
      </c>
      <c r="V6" s="9"/>
    </row>
    <row r="7" ht="14.25" customHeight="1">
      <c r="A7" s="62" t="s">
        <v>107</v>
      </c>
      <c r="B7" s="65">
        <f t="shared" si="1"/>
        <v>0.05</v>
      </c>
      <c r="C7" s="75">
        <f>EVEBITDA!$H$12</f>
        <v>59.774652718725</v>
      </c>
      <c r="D7" s="75">
        <f>EVEBITDA!$H$23</f>
        <v>63.8870987283714</v>
      </c>
      <c r="E7" s="75">
        <f>EVEBITDA!$H$34</f>
        <v>61.6228586249977</v>
      </c>
      <c r="F7" s="9"/>
      <c r="G7" s="9"/>
      <c r="H7" s="9"/>
      <c r="I7" s="69" t="s">
        <v>107</v>
      </c>
      <c r="J7" s="70">
        <v>0.1</v>
      </c>
      <c r="K7" s="70">
        <v>0.2</v>
      </c>
      <c r="L7" s="70">
        <v>0.1</v>
      </c>
      <c r="M7" s="70">
        <v>0.2</v>
      </c>
      <c r="N7" s="70">
        <v>0.25</v>
      </c>
      <c r="O7" s="70">
        <v>0.4</v>
      </c>
      <c r="P7" s="70">
        <v>0.0</v>
      </c>
      <c r="Q7" s="70">
        <v>0.15</v>
      </c>
      <c r="R7" s="70">
        <v>0.15</v>
      </c>
      <c r="S7" s="70">
        <v>0.1</v>
      </c>
      <c r="T7" s="71">
        <v>0.0</v>
      </c>
      <c r="U7" s="71">
        <v>0.05</v>
      </c>
      <c r="V7" s="9"/>
    </row>
    <row r="8" ht="14.25" customHeight="1">
      <c r="A8" s="62" t="s">
        <v>108</v>
      </c>
      <c r="B8" s="65">
        <f t="shared" si="1"/>
        <v>0.2</v>
      </c>
      <c r="C8" s="75">
        <f>EVFCFF!H12</f>
        <v>81.4643763083329</v>
      </c>
      <c r="D8" s="75">
        <f>EVFCFF!H23</f>
        <v>85.4484451533346</v>
      </c>
      <c r="E8" s="75">
        <f>EVFCFF!H34</f>
        <v>83.1280688098159</v>
      </c>
      <c r="F8" s="9"/>
      <c r="G8" s="9"/>
      <c r="H8" s="9"/>
      <c r="I8" s="69" t="s">
        <v>108</v>
      </c>
      <c r="J8" s="70">
        <v>0.15</v>
      </c>
      <c r="K8" s="70">
        <v>0.1</v>
      </c>
      <c r="L8" s="70">
        <v>0.1</v>
      </c>
      <c r="M8" s="70">
        <v>0.1</v>
      </c>
      <c r="N8" s="70">
        <v>0.15</v>
      </c>
      <c r="O8" s="70">
        <v>0.15</v>
      </c>
      <c r="P8" s="70">
        <v>0.0</v>
      </c>
      <c r="Q8" s="70">
        <v>0.25</v>
      </c>
      <c r="R8" s="70">
        <v>0.15</v>
      </c>
      <c r="S8" s="70">
        <v>0.15</v>
      </c>
      <c r="T8" s="71">
        <v>0.1</v>
      </c>
      <c r="U8" s="71">
        <v>0.2</v>
      </c>
      <c r="V8" s="9"/>
    </row>
    <row r="9" ht="14.25" customHeight="1">
      <c r="A9" s="62" t="s">
        <v>109</v>
      </c>
      <c r="B9" s="65">
        <f t="shared" si="1"/>
        <v>0.05</v>
      </c>
      <c r="C9" s="75">
        <f>PE!$H$12</f>
        <v>58.1447946584561</v>
      </c>
      <c r="D9" s="75">
        <f>PE!H23</f>
        <v>61.7277451170749</v>
      </c>
      <c r="E9" s="75">
        <f>PE!$H$34</f>
        <v>59.9827484207308</v>
      </c>
      <c r="F9" s="9"/>
      <c r="G9" s="9"/>
      <c r="H9" s="9"/>
      <c r="I9" s="69" t="s">
        <v>109</v>
      </c>
      <c r="J9" s="70">
        <v>0.05</v>
      </c>
      <c r="K9" s="70">
        <v>0.2</v>
      </c>
      <c r="L9" s="70">
        <v>0.1</v>
      </c>
      <c r="M9" s="70">
        <v>0.25</v>
      </c>
      <c r="N9" s="70">
        <v>0.05</v>
      </c>
      <c r="O9" s="70">
        <v>0.05</v>
      </c>
      <c r="P9" s="70">
        <v>0.35</v>
      </c>
      <c r="Q9" s="70">
        <v>0.1</v>
      </c>
      <c r="R9" s="70">
        <v>0.05</v>
      </c>
      <c r="S9" s="70">
        <v>0.05</v>
      </c>
      <c r="T9" s="71">
        <v>0.0</v>
      </c>
      <c r="U9" s="71">
        <v>0.05</v>
      </c>
      <c r="V9" s="9"/>
    </row>
    <row r="10" ht="14.25" customHeight="1">
      <c r="A10" s="62" t="s">
        <v>110</v>
      </c>
      <c r="B10" s="65">
        <f t="shared" si="1"/>
        <v>0.1</v>
      </c>
      <c r="C10" s="75">
        <f>PFCFE!$H$12</f>
        <v>69.8960766211446</v>
      </c>
      <c r="D10" s="75">
        <f>PFCFE!$H$23</f>
        <v>74.6684560131942</v>
      </c>
      <c r="E10" s="75">
        <f>PFCFE!$H$34</f>
        <v>71.4238618606543</v>
      </c>
      <c r="F10" s="9"/>
      <c r="G10" s="9"/>
      <c r="H10" s="9"/>
      <c r="I10" s="69" t="s">
        <v>110</v>
      </c>
      <c r="J10" s="70">
        <v>0.05</v>
      </c>
      <c r="K10" s="70">
        <v>0.05</v>
      </c>
      <c r="L10" s="70">
        <v>0.1</v>
      </c>
      <c r="M10" s="70">
        <v>0.1</v>
      </c>
      <c r="N10" s="70">
        <v>0.1</v>
      </c>
      <c r="O10" s="70">
        <v>0.1</v>
      </c>
      <c r="P10" s="70">
        <v>0.2</v>
      </c>
      <c r="Q10" s="70">
        <v>0.05</v>
      </c>
      <c r="R10" s="70">
        <v>0.3</v>
      </c>
      <c r="S10" s="70">
        <v>0.05</v>
      </c>
      <c r="T10" s="71">
        <v>0.05</v>
      </c>
      <c r="U10" s="71">
        <v>0.1</v>
      </c>
      <c r="V10" s="9"/>
    </row>
    <row r="11" ht="14.25" customHeight="1">
      <c r="A11" s="80" t="s">
        <v>111</v>
      </c>
      <c r="B11" s="81">
        <f t="shared" si="1"/>
        <v>0.05</v>
      </c>
      <c r="C11" s="83">
        <f>POCF!$H$12</f>
        <v>57.3347812736547</v>
      </c>
      <c r="D11" s="83">
        <f>POCF!H23</f>
        <v>61.5433287335157</v>
      </c>
      <c r="E11" s="83">
        <f>POCF!$H$34</f>
        <v>58.6019732152587</v>
      </c>
      <c r="F11" s="9"/>
      <c r="G11" s="9"/>
      <c r="H11" s="9"/>
      <c r="I11" s="69" t="s">
        <v>111</v>
      </c>
      <c r="J11" s="70">
        <v>0.05</v>
      </c>
      <c r="K11" s="70">
        <v>0.05</v>
      </c>
      <c r="L11" s="70">
        <v>0.1</v>
      </c>
      <c r="M11" s="70">
        <v>0.05</v>
      </c>
      <c r="N11" s="70">
        <v>0.05</v>
      </c>
      <c r="O11" s="70">
        <v>0.1</v>
      </c>
      <c r="P11" s="70">
        <v>0.05</v>
      </c>
      <c r="Q11" s="70">
        <v>0.05</v>
      </c>
      <c r="R11" s="70">
        <v>0.1</v>
      </c>
      <c r="S11" s="70">
        <v>0.05</v>
      </c>
      <c r="T11" s="71">
        <v>0.05</v>
      </c>
      <c r="U11" s="71">
        <v>0.05</v>
      </c>
      <c r="V11" s="9"/>
    </row>
    <row r="12" ht="14.25" customHeight="1">
      <c r="A12" s="86" t="s">
        <v>112</v>
      </c>
      <c r="B12" s="87">
        <f>SUM(B6:B11)</f>
        <v>1.0</v>
      </c>
      <c r="C12" s="88">
        <f t="shared" ref="C12:E12" si="2">SUMPRODUCT($B6:$B11, C6:C11)</f>
        <v>57.083761300975</v>
      </c>
      <c r="D12" s="88">
        <f t="shared" si="2"/>
        <v>58.1644252932236</v>
      </c>
      <c r="E12" s="88">
        <f t="shared" si="2"/>
        <v>52.4032224332613</v>
      </c>
      <c r="F12" s="9"/>
      <c r="G12" s="9"/>
      <c r="H12" s="9"/>
      <c r="I12" s="69" t="s">
        <v>114</v>
      </c>
      <c r="J12" s="89">
        <v>1.0</v>
      </c>
      <c r="K12" s="89">
        <v>1.0</v>
      </c>
      <c r="L12" s="89">
        <v>1.0</v>
      </c>
      <c r="M12" s="89">
        <v>1.0</v>
      </c>
      <c r="N12" s="89">
        <v>1.0</v>
      </c>
      <c r="O12" s="89">
        <v>1.0</v>
      </c>
      <c r="P12" s="89">
        <v>1.0</v>
      </c>
      <c r="Q12" s="89">
        <v>1.0</v>
      </c>
      <c r="R12" s="89">
        <v>1.0</v>
      </c>
      <c r="S12" s="89">
        <v>1.0</v>
      </c>
      <c r="T12" s="9">
        <f t="shared" ref="T12:U12" si="3">SUM(T6:T11)</f>
        <v>1.0</v>
      </c>
      <c r="U12" s="9">
        <f t="shared" si="3"/>
        <v>1.0</v>
      </c>
      <c r="V12" s="9"/>
    </row>
    <row r="13" ht="14.25" customHeight="1">
      <c r="A13" s="9" t="s">
        <v>115</v>
      </c>
      <c r="B13" s="9"/>
      <c r="C13" s="90">
        <f t="shared" ref="C13:E13" si="4">(C12 / $B$3) ^ (1 / 3) - 1</f>
        <v>0.131545755432551</v>
      </c>
      <c r="D13" s="90">
        <f t="shared" si="4"/>
        <v>0.138641669606701</v>
      </c>
      <c r="E13" s="90">
        <f t="shared" si="4"/>
        <v>0.0997330002729258</v>
      </c>
      <c r="F13" s="9"/>
      <c r="G13" s="9"/>
      <c r="H13" s="9"/>
      <c r="I13" s="9"/>
      <c r="J13" s="9"/>
      <c r="K13" s="9"/>
      <c r="L13" s="9"/>
      <c r="M13" s="9"/>
      <c r="N13" s="9"/>
      <c r="O13" s="9"/>
      <c r="P13" s="9"/>
      <c r="Q13" s="9"/>
      <c r="R13" s="9"/>
      <c r="S13" s="9"/>
      <c r="T13" s="9"/>
      <c r="U13" s="9"/>
      <c r="V13" s="9"/>
    </row>
    <row r="14" ht="14.25" customHeight="1">
      <c r="A14" s="91" t="s">
        <v>116</v>
      </c>
      <c r="B14" s="91"/>
      <c r="C14" s="92">
        <f t="shared" ref="C14:E14" si="5">(C12-$B$3)/C12</f>
        <v>0.309786196598663</v>
      </c>
      <c r="D14" s="92">
        <f t="shared" si="5"/>
        <v>0.322610000848916</v>
      </c>
      <c r="E14" s="93">
        <f t="shared" si="5"/>
        <v>0.248137840183811</v>
      </c>
      <c r="F14" s="9"/>
      <c r="G14" s="9"/>
      <c r="H14" s="9"/>
      <c r="I14" s="9"/>
      <c r="J14" s="9"/>
      <c r="K14" s="9"/>
      <c r="L14" s="9"/>
      <c r="M14" s="9"/>
      <c r="N14" s="9"/>
      <c r="O14" s="9"/>
      <c r="P14" s="9"/>
      <c r="Q14" s="9"/>
      <c r="R14" s="9"/>
      <c r="S14" s="9"/>
      <c r="T14" s="9"/>
      <c r="U14" s="9"/>
      <c r="V14" s="9"/>
    </row>
    <row r="15" ht="14.25" customHeight="1">
      <c r="A15" s="94" t="s">
        <v>117</v>
      </c>
      <c r="B15" s="94" t="s">
        <v>118</v>
      </c>
      <c r="C15" s="94" t="s">
        <v>119</v>
      </c>
      <c r="D15" s="94" t="s">
        <v>120</v>
      </c>
      <c r="E15" s="94" t="s">
        <v>121</v>
      </c>
      <c r="F15" s="9"/>
      <c r="G15" s="9"/>
      <c r="H15" s="9"/>
      <c r="I15" s="9"/>
      <c r="J15" s="9"/>
      <c r="K15" s="9"/>
      <c r="L15" s="9"/>
      <c r="M15" s="9"/>
      <c r="N15" s="9"/>
      <c r="O15" s="9"/>
      <c r="P15" s="9"/>
      <c r="Q15" s="9"/>
      <c r="R15" s="9"/>
      <c r="S15" s="9"/>
      <c r="T15" s="9"/>
      <c r="U15" s="9"/>
      <c r="V15" s="9"/>
    </row>
    <row r="16" ht="14.25" customHeight="1">
      <c r="A16" s="62" t="s">
        <v>122</v>
      </c>
      <c r="B16" s="75">
        <f>$D$12 * 0.7</f>
        <v>40.7150977052565</v>
      </c>
      <c r="C16" s="75">
        <f>$D$12 * 0.65</f>
        <v>37.8068764405953</v>
      </c>
      <c r="D16" s="93">
        <f t="shared" ref="D16:E16" si="6">(B16 / $B$3) ^ (1 / 3) - 1</f>
        <v>0.0110044949946664</v>
      </c>
      <c r="E16" s="93">
        <f t="shared" si="6"/>
        <v>-0.0136640588160193</v>
      </c>
      <c r="F16" s="9"/>
      <c r="G16" s="9"/>
      <c r="H16" s="9"/>
      <c r="I16" s="9"/>
      <c r="J16" s="9"/>
      <c r="K16" s="9"/>
      <c r="L16" s="9"/>
      <c r="M16" s="9"/>
      <c r="N16" s="9"/>
      <c r="O16" s="9"/>
      <c r="P16" s="9"/>
      <c r="Q16" s="9"/>
      <c r="R16" s="9"/>
      <c r="S16" s="9"/>
      <c r="T16" s="9"/>
      <c r="U16" s="9"/>
      <c r="V16" s="9"/>
    </row>
    <row r="17" ht="14.25" customHeight="1">
      <c r="A17" s="62" t="s">
        <v>123</v>
      </c>
      <c r="B17" s="75">
        <f>$D$12 * 0.6</f>
        <v>34.8986551759341</v>
      </c>
      <c r="C17" s="75">
        <f>$D$12 * 0.55</f>
        <v>31.990433911273</v>
      </c>
      <c r="D17" s="93">
        <f t="shared" ref="D17:E17" si="7">(B17 / $B$3) ^ (1 / 3) - 1</f>
        <v>-0.0396324217799862</v>
      </c>
      <c r="E17" s="93">
        <f t="shared" si="7"/>
        <v>-0.0670866604989967</v>
      </c>
      <c r="F17" s="9"/>
      <c r="G17" s="9"/>
      <c r="H17" s="9"/>
      <c r="I17" s="9"/>
      <c r="J17" s="9"/>
      <c r="K17" s="9"/>
      <c r="L17" s="9"/>
      <c r="M17" s="9"/>
      <c r="N17" s="9"/>
      <c r="O17" s="9"/>
      <c r="P17" s="9"/>
      <c r="Q17" s="9"/>
      <c r="R17" s="9"/>
      <c r="S17" s="9"/>
      <c r="T17" s="9"/>
      <c r="U17" s="9"/>
      <c r="V17" s="9"/>
    </row>
    <row r="18" ht="14.25" customHeight="1">
      <c r="A18" s="100" t="s">
        <v>124</v>
      </c>
      <c r="B18" s="101">
        <f>$D$12 * 0.5</f>
        <v>29.0822126466118</v>
      </c>
      <c r="C18" s="101">
        <f>$D$12 * 0.45</f>
        <v>26.1739913819506</v>
      </c>
      <c r="D18" s="90">
        <f t="shared" ref="D18:E18" si="8">(B18 / $B$3) ^ (1 / 3) - 1</f>
        <v>-0.0962595079257477</v>
      </c>
      <c r="E18" s="90">
        <f t="shared" si="8"/>
        <v>-0.127448148464041</v>
      </c>
      <c r="F18" s="9"/>
      <c r="G18" s="9"/>
      <c r="H18" s="9"/>
      <c r="I18" s="9"/>
      <c r="J18" s="9"/>
      <c r="K18" s="9"/>
      <c r="L18" s="9"/>
      <c r="M18" s="9"/>
      <c r="N18" s="9"/>
      <c r="O18" s="9"/>
      <c r="P18" s="9"/>
      <c r="Q18" s="9"/>
      <c r="R18" s="9"/>
      <c r="S18" s="9"/>
      <c r="T18" s="9"/>
      <c r="U18" s="9"/>
      <c r="V18" s="9"/>
    </row>
    <row r="19" ht="14.25" customHeight="1">
      <c r="A19" s="8" t="s">
        <v>125</v>
      </c>
      <c r="B19" s="104">
        <f>D12 * (1 - $G$4)</f>
        <v>37.8068764405953</v>
      </c>
      <c r="C19" s="104">
        <f>C12 * (1 - $G$4)</f>
        <v>37.1044448456337</v>
      </c>
      <c r="D19" s="9"/>
      <c r="E19" s="9"/>
      <c r="F19" s="9"/>
      <c r="G19" s="9"/>
      <c r="H19" s="9"/>
      <c r="I19" s="9"/>
      <c r="J19" s="9"/>
      <c r="K19" s="9"/>
      <c r="L19" s="9"/>
      <c r="M19" s="9"/>
      <c r="N19" s="9"/>
      <c r="O19" s="9"/>
      <c r="P19" s="9"/>
      <c r="Q19" s="9"/>
      <c r="R19" s="9"/>
      <c r="S19" s="9"/>
      <c r="T19" s="9"/>
      <c r="U19" s="9"/>
      <c r="V19" s="9"/>
    </row>
    <row r="20" ht="14.25" customHeight="1">
      <c r="A20" s="9"/>
      <c r="B20" s="9"/>
      <c r="C20" s="9"/>
      <c r="D20" s="9"/>
      <c r="E20" s="9"/>
      <c r="F20" s="9"/>
      <c r="G20" s="9"/>
      <c r="H20" s="9"/>
      <c r="I20" s="9"/>
      <c r="J20" s="9"/>
      <c r="K20" s="9"/>
      <c r="L20" s="9"/>
      <c r="M20" s="9"/>
      <c r="N20" s="9"/>
      <c r="O20" s="9"/>
      <c r="P20" s="9"/>
      <c r="Q20" s="9"/>
      <c r="R20" s="9"/>
      <c r="S20" s="9"/>
      <c r="T20" s="9"/>
      <c r="U20" s="9"/>
      <c r="V20" s="9"/>
    </row>
    <row r="21" ht="14.25" customHeight="1">
      <c r="A21" s="106" t="s">
        <v>128</v>
      </c>
      <c r="B21" s="9"/>
      <c r="C21" s="9"/>
      <c r="D21" s="9"/>
      <c r="E21" s="9"/>
      <c r="F21" s="9"/>
      <c r="G21" s="9"/>
      <c r="H21" s="9"/>
      <c r="I21" s="9"/>
      <c r="J21" s="9"/>
      <c r="K21" s="9"/>
      <c r="L21" s="9"/>
      <c r="M21" s="9"/>
      <c r="N21" s="9"/>
      <c r="O21" s="9"/>
      <c r="P21" s="9"/>
      <c r="Q21" s="9"/>
      <c r="R21" s="9"/>
      <c r="S21" s="9"/>
      <c r="T21" s="9"/>
      <c r="U21" s="9"/>
      <c r="V21" s="9"/>
    </row>
    <row r="22" ht="14.25" customHeight="1">
      <c r="A22" s="107" t="s">
        <v>130</v>
      </c>
      <c r="B22" s="108">
        <f>D12</f>
        <v>58.1644252932236</v>
      </c>
      <c r="C22" s="9"/>
      <c r="D22" s="9"/>
      <c r="E22" s="9"/>
      <c r="F22" s="9"/>
      <c r="G22" s="9"/>
      <c r="H22" s="9"/>
      <c r="I22" s="9"/>
      <c r="J22" s="9"/>
      <c r="K22" s="9"/>
      <c r="L22" s="9"/>
      <c r="M22" s="9"/>
      <c r="N22" s="9"/>
      <c r="O22" s="9"/>
      <c r="P22" s="9"/>
      <c r="Q22" s="9"/>
      <c r="R22" s="9"/>
      <c r="S22" s="9"/>
      <c r="T22" s="9"/>
      <c r="U22" s="9"/>
      <c r="V22" s="9"/>
    </row>
    <row r="23" ht="14.25" customHeight="1">
      <c r="A23" s="107" t="s">
        <v>132</v>
      </c>
      <c r="B23" s="108">
        <f>C12</f>
        <v>57.083761300975</v>
      </c>
      <c r="C23" s="108">
        <f>E12</f>
        <v>52.4032224332613</v>
      </c>
      <c r="D23" s="9"/>
      <c r="E23" s="9"/>
      <c r="F23" s="9"/>
      <c r="G23" s="9"/>
      <c r="H23" s="9"/>
      <c r="I23" s="9"/>
      <c r="J23" s="9"/>
      <c r="K23" s="9"/>
      <c r="L23" s="9"/>
      <c r="M23" s="9"/>
      <c r="N23" s="9"/>
      <c r="O23" s="9"/>
      <c r="P23" s="9"/>
      <c r="Q23" s="9"/>
      <c r="R23" s="9"/>
      <c r="S23" s="9"/>
      <c r="T23" s="9"/>
      <c r="U23" s="9"/>
      <c r="V23" s="9"/>
    </row>
    <row r="24" ht="14.25" customHeight="1">
      <c r="A24" s="107" t="s">
        <v>134</v>
      </c>
      <c r="B24" s="108">
        <f>'Input sheet'!D1</f>
        <v>39.4</v>
      </c>
      <c r="C24" s="9"/>
      <c r="D24" s="9"/>
      <c r="E24" s="9"/>
      <c r="F24" s="9"/>
      <c r="G24" s="9"/>
      <c r="H24" s="9"/>
      <c r="I24" s="9"/>
      <c r="J24" s="9"/>
      <c r="K24" s="9"/>
      <c r="L24" s="9"/>
      <c r="M24" s="9"/>
      <c r="N24" s="9"/>
      <c r="O24" s="9"/>
      <c r="P24" s="9"/>
      <c r="Q24" s="9"/>
      <c r="R24" s="9"/>
      <c r="S24" s="9"/>
      <c r="T24" s="9"/>
      <c r="U24" s="9"/>
      <c r="V24" s="9"/>
    </row>
    <row r="25" ht="14.25" customHeight="1">
      <c r="A25" s="107" t="str">
        <f>"Precio al Día del Análisis ("&amp;TEXT('Input sheet'!B4,"dd-mmm-yyyy")&amp;")"</f>
        <v>Precio al Día del Análisis (23-Sep-2026)</v>
      </c>
      <c r="B25" s="9"/>
      <c r="C25" s="108">
        <f>'Input sheet'!D1</f>
        <v>39.4</v>
      </c>
      <c r="D25" s="9"/>
      <c r="E25" s="9"/>
      <c r="F25" s="9"/>
      <c r="G25" s="9"/>
      <c r="H25" s="9"/>
      <c r="I25" s="9"/>
      <c r="J25" s="9"/>
      <c r="K25" s="9"/>
      <c r="L25" s="9"/>
      <c r="M25" s="9"/>
      <c r="N25" s="9"/>
      <c r="O25" s="9"/>
      <c r="P25" s="9"/>
      <c r="Q25" s="9"/>
      <c r="R25" s="9"/>
      <c r="S25" s="9"/>
      <c r="T25" s="9"/>
      <c r="U25" s="9"/>
      <c r="V25" s="9"/>
    </row>
    <row r="26" ht="14.25" customHeight="1">
      <c r="A26" s="107" t="s">
        <v>136</v>
      </c>
      <c r="B26" s="113">
        <f>(D12-B24)/B24</f>
        <v>0.476254449066588</v>
      </c>
      <c r="C26" s="9"/>
      <c r="D26" s="9"/>
      <c r="E26" s="9"/>
      <c r="F26" s="9"/>
      <c r="G26" s="9"/>
      <c r="H26" s="9"/>
      <c r="I26" s="9"/>
      <c r="J26" s="9"/>
      <c r="K26" s="9"/>
      <c r="L26" s="9"/>
      <c r="M26" s="9"/>
      <c r="N26" s="9"/>
      <c r="O26" s="9"/>
      <c r="P26" s="9"/>
      <c r="Q26" s="9"/>
      <c r="R26" s="9"/>
      <c r="S26" s="9"/>
      <c r="T26" s="9"/>
      <c r="U26" s="9"/>
      <c r="V26" s="9"/>
    </row>
    <row r="27" ht="14.25" customHeight="1">
      <c r="A27" s="9"/>
      <c r="B27" s="9"/>
      <c r="C27" s="9"/>
      <c r="D27" s="9"/>
      <c r="E27" s="9"/>
      <c r="F27" s="9"/>
      <c r="G27" s="9"/>
      <c r="H27" s="9"/>
      <c r="I27" s="9"/>
      <c r="J27" s="9"/>
      <c r="K27" s="9"/>
      <c r="L27" s="9"/>
      <c r="M27" s="9"/>
      <c r="N27" s="9"/>
      <c r="O27" s="9"/>
      <c r="P27" s="9"/>
      <c r="Q27" s="9"/>
      <c r="R27" s="9"/>
      <c r="S27" s="9"/>
      <c r="T27" s="9"/>
      <c r="U27" s="9"/>
      <c r="V27" s="9"/>
    </row>
    <row r="28" ht="14.25" customHeight="1">
      <c r="A28" s="9"/>
      <c r="B28" s="9"/>
      <c r="C28" s="9"/>
      <c r="D28" s="9"/>
      <c r="E28" s="9"/>
      <c r="F28" s="9"/>
      <c r="G28" s="9"/>
      <c r="H28" s="9"/>
      <c r="I28" s="9"/>
      <c r="J28" s="9"/>
      <c r="K28" s="9"/>
      <c r="L28" s="9"/>
      <c r="M28" s="9"/>
      <c r="N28" s="9"/>
      <c r="O28" s="9"/>
      <c r="P28" s="9"/>
      <c r="Q28" s="9"/>
      <c r="R28" s="9"/>
      <c r="S28" s="9"/>
      <c r="T28" s="9"/>
      <c r="U28" s="9"/>
      <c r="V28" s="9"/>
    </row>
    <row r="29" ht="14.25" customHeight="1">
      <c r="A29" s="9"/>
      <c r="B29" s="9"/>
      <c r="C29" s="9"/>
      <c r="D29" s="9"/>
      <c r="E29" s="9"/>
      <c r="F29" s="9"/>
      <c r="G29" s="9"/>
      <c r="H29" s="9"/>
      <c r="I29" s="9"/>
      <c r="J29" s="9"/>
      <c r="K29" s="9"/>
      <c r="L29" s="9"/>
      <c r="M29" s="9"/>
      <c r="N29" s="9"/>
      <c r="O29" s="9"/>
      <c r="P29" s="9"/>
      <c r="Q29" s="9"/>
      <c r="R29" s="9"/>
      <c r="S29" s="9"/>
      <c r="T29" s="9"/>
      <c r="U29" s="9"/>
      <c r="V29" s="9"/>
    </row>
    <row r="30" ht="14.25" customHeight="1">
      <c r="A30" s="9"/>
      <c r="B30" s="9"/>
      <c r="C30" s="9"/>
      <c r="D30" s="9"/>
      <c r="E30" s="9"/>
      <c r="F30" s="9"/>
      <c r="G30" s="9"/>
      <c r="H30" s="9"/>
      <c r="I30" s="9"/>
      <c r="J30" s="9"/>
      <c r="K30" s="9"/>
      <c r="L30" s="9"/>
      <c r="M30" s="9"/>
      <c r="N30" s="9"/>
      <c r="O30" s="9"/>
      <c r="P30" s="9"/>
      <c r="Q30" s="9"/>
      <c r="R30" s="9"/>
      <c r="S30" s="9"/>
      <c r="T30" s="9"/>
      <c r="U30" s="9"/>
      <c r="V30" s="9"/>
    </row>
    <row r="31" ht="14.25" customHeight="1">
      <c r="A31" s="9"/>
      <c r="B31" s="9"/>
      <c r="C31" s="9"/>
      <c r="D31" s="9"/>
      <c r="E31" s="9"/>
      <c r="F31" s="9"/>
      <c r="G31" s="9"/>
      <c r="H31" s="9"/>
      <c r="I31" s="9"/>
      <c r="J31" s="9"/>
      <c r="K31" s="9"/>
      <c r="L31" s="9"/>
      <c r="M31" s="9"/>
      <c r="N31" s="9"/>
      <c r="O31" s="9"/>
      <c r="P31" s="9"/>
      <c r="Q31" s="9"/>
      <c r="R31" s="9"/>
      <c r="S31" s="9"/>
      <c r="T31" s="9"/>
      <c r="U31" s="9"/>
      <c r="V31" s="9"/>
    </row>
    <row r="32" ht="14.25" customHeight="1">
      <c r="A32" s="9"/>
      <c r="B32" s="9"/>
      <c r="C32" s="9"/>
      <c r="D32" s="9"/>
      <c r="E32" s="9"/>
      <c r="F32" s="9"/>
      <c r="G32" s="9"/>
      <c r="H32" s="9"/>
      <c r="I32" s="9"/>
      <c r="J32" s="9"/>
      <c r="K32" s="9"/>
      <c r="L32" s="9"/>
      <c r="M32" s="9"/>
      <c r="N32" s="9"/>
      <c r="O32" s="9"/>
      <c r="P32" s="9"/>
      <c r="Q32" s="9"/>
      <c r="R32" s="9"/>
      <c r="S32" s="9"/>
      <c r="T32" s="9"/>
      <c r="U32" s="9"/>
      <c r="V32" s="9"/>
    </row>
    <row r="33" ht="14.25" customHeight="1">
      <c r="A33" s="9"/>
      <c r="B33" s="9"/>
      <c r="C33" s="9"/>
      <c r="D33" s="9"/>
      <c r="E33" s="9"/>
      <c r="F33" s="9"/>
      <c r="G33" s="9"/>
      <c r="H33" s="9"/>
      <c r="I33" s="9"/>
      <c r="J33" s="9"/>
      <c r="K33" s="9"/>
      <c r="L33" s="9"/>
      <c r="M33" s="9"/>
      <c r="N33" s="9"/>
      <c r="O33" s="9"/>
      <c r="P33" s="9"/>
      <c r="Q33" s="9"/>
      <c r="R33" s="9"/>
      <c r="S33" s="9"/>
      <c r="T33" s="9"/>
      <c r="U33" s="9"/>
      <c r="V33" s="9"/>
    </row>
    <row r="34" ht="14.25" customHeight="1">
      <c r="A34" s="9"/>
      <c r="B34" s="9"/>
      <c r="C34" s="9"/>
      <c r="D34" s="9"/>
      <c r="E34" s="9"/>
      <c r="F34" s="9"/>
      <c r="G34" s="9"/>
      <c r="H34" s="9"/>
      <c r="I34" s="9"/>
      <c r="J34" s="9"/>
      <c r="K34" s="9"/>
      <c r="L34" s="9"/>
      <c r="M34" s="9"/>
      <c r="N34" s="9"/>
      <c r="O34" s="9"/>
      <c r="P34" s="9"/>
      <c r="Q34" s="9"/>
      <c r="R34" s="9"/>
      <c r="S34" s="9"/>
      <c r="T34" s="9"/>
      <c r="U34" s="9"/>
      <c r="V34" s="9"/>
    </row>
    <row r="35" ht="15.75" customHeight="1">
      <c r="A35" s="77"/>
      <c r="B35" s="77"/>
      <c r="C35" s="77"/>
      <c r="D35" s="77"/>
      <c r="E35" s="77"/>
      <c r="F35" s="77"/>
    </row>
    <row r="36" ht="15.75" customHeight="1">
      <c r="A36" s="77"/>
      <c r="B36" s="77"/>
      <c r="C36" s="77"/>
      <c r="D36" s="77"/>
      <c r="E36" s="77"/>
      <c r="F36" s="77"/>
    </row>
    <row r="37" ht="15.75" customHeight="1">
      <c r="A37" s="77"/>
      <c r="B37" s="77"/>
      <c r="C37" s="77"/>
      <c r="D37" s="77"/>
      <c r="E37" s="77"/>
      <c r="F37" s="77"/>
    </row>
    <row r="38" ht="15.75" customHeight="1">
      <c r="A38" s="77"/>
      <c r="B38" s="77"/>
      <c r="C38" s="77"/>
      <c r="D38" s="77"/>
      <c r="E38" s="77"/>
      <c r="F38" s="77"/>
    </row>
    <row r="39" ht="15.75" customHeight="1">
      <c r="A39" s="77"/>
      <c r="B39" s="77"/>
      <c r="C39" s="77"/>
      <c r="D39" s="77"/>
      <c r="E39" s="77"/>
      <c r="F39" s="77"/>
    </row>
    <row r="40" ht="15.75" customHeight="1">
      <c r="A40" s="77"/>
      <c r="B40" s="77"/>
      <c r="C40" s="77"/>
      <c r="D40" s="77"/>
      <c r="E40" s="77"/>
      <c r="F40" s="77"/>
    </row>
    <row r="41" ht="15.75" customHeight="1">
      <c r="A41" s="77"/>
      <c r="B41" s="77"/>
      <c r="C41" s="77"/>
      <c r="D41" s="77"/>
      <c r="E41" s="77"/>
      <c r="F41" s="77"/>
    </row>
    <row r="42" ht="15.75" customHeight="1">
      <c r="A42" s="77"/>
      <c r="B42" s="77"/>
      <c r="C42" s="77"/>
      <c r="D42" s="77"/>
      <c r="E42" s="77"/>
      <c r="F42" s="77"/>
    </row>
    <row r="43" ht="15.75" customHeight="1">
      <c r="A43" s="77"/>
      <c r="B43" s="77"/>
      <c r="C43" s="77"/>
      <c r="D43" s="77"/>
      <c r="E43" s="77"/>
      <c r="F43" s="77"/>
    </row>
    <row r="44" ht="15.75" customHeight="1">
      <c r="A44" s="77"/>
      <c r="B44" s="77"/>
      <c r="C44" s="77"/>
      <c r="D44" s="77"/>
      <c r="E44" s="77"/>
      <c r="F44" s="77"/>
    </row>
    <row r="45" ht="15.75" customHeight="1">
      <c r="A45" s="77"/>
      <c r="B45" s="77"/>
      <c r="C45" s="77"/>
      <c r="D45" s="77"/>
      <c r="E45" s="77"/>
      <c r="F45" s="77"/>
    </row>
    <row r="46" ht="15.75" customHeight="1">
      <c r="A46" s="77"/>
      <c r="B46" s="77"/>
      <c r="C46" s="77"/>
      <c r="D46" s="77"/>
      <c r="E46" s="77"/>
      <c r="F46" s="77"/>
    </row>
    <row r="47" ht="15.75" customHeight="1">
      <c r="A47" s="77"/>
      <c r="B47" s="77"/>
      <c r="C47" s="77"/>
      <c r="D47" s="77"/>
      <c r="E47" s="77"/>
      <c r="F47" s="77"/>
    </row>
    <row r="48" ht="15.75" customHeight="1">
      <c r="A48" s="77"/>
      <c r="B48" s="77"/>
      <c r="C48" s="77"/>
      <c r="D48" s="77"/>
      <c r="E48" s="77"/>
      <c r="F48" s="77"/>
    </row>
    <row r="49" ht="15.75" customHeight="1">
      <c r="A49" s="77"/>
      <c r="B49" s="77"/>
      <c r="C49" s="77"/>
      <c r="D49" s="77"/>
      <c r="E49" s="77"/>
      <c r="F49" s="77"/>
    </row>
    <row r="50" ht="15.75" customHeight="1">
      <c r="A50" s="77"/>
      <c r="B50" s="77"/>
      <c r="C50" s="77"/>
      <c r="D50" s="77"/>
      <c r="E50" s="77"/>
      <c r="F50" s="77"/>
    </row>
    <row r="51" ht="15.75" customHeight="1">
      <c r="A51" s="77"/>
      <c r="B51" s="77"/>
      <c r="C51" s="77"/>
      <c r="D51" s="77"/>
      <c r="E51" s="77"/>
      <c r="F51" s="77"/>
    </row>
    <row r="52" ht="15.75" customHeight="1">
      <c r="A52" s="77"/>
      <c r="B52" s="77"/>
      <c r="C52" s="77"/>
      <c r="D52" s="77"/>
      <c r="E52" s="77"/>
      <c r="F52" s="77"/>
    </row>
    <row r="53" ht="15.75" customHeight="1">
      <c r="A53" s="77"/>
      <c r="B53" s="77"/>
      <c r="C53" s="77"/>
      <c r="D53" s="77"/>
      <c r="E53" s="77"/>
      <c r="F53" s="77"/>
    </row>
    <row r="54" ht="15.75" customHeight="1">
      <c r="A54" s="77"/>
      <c r="B54" s="77"/>
      <c r="C54" s="77"/>
      <c r="D54" s="77"/>
      <c r="E54" s="77"/>
      <c r="F54" s="77"/>
    </row>
    <row r="55" ht="15.75" customHeight="1">
      <c r="A55" s="77"/>
      <c r="B55" s="77"/>
      <c r="C55" s="77"/>
      <c r="D55" s="77"/>
      <c r="E55" s="77"/>
      <c r="F55" s="77"/>
    </row>
    <row r="56" ht="15.75" customHeight="1">
      <c r="A56" s="77"/>
      <c r="B56" s="77"/>
      <c r="C56" s="77"/>
      <c r="D56" s="77"/>
      <c r="E56" s="77"/>
      <c r="F56" s="77"/>
    </row>
    <row r="57" ht="15.75" customHeight="1">
      <c r="A57" s="77"/>
      <c r="B57" s="77"/>
      <c r="C57" s="77"/>
      <c r="D57" s="77"/>
      <c r="E57" s="77"/>
      <c r="F57" s="77"/>
    </row>
    <row r="58" ht="15.75" customHeight="1">
      <c r="A58" s="77"/>
      <c r="B58" s="77"/>
      <c r="C58" s="77"/>
      <c r="D58" s="77"/>
      <c r="E58" s="77"/>
      <c r="F58" s="77"/>
    </row>
    <row r="59" ht="15.75" customHeight="1">
      <c r="A59" s="77"/>
      <c r="B59" s="77"/>
      <c r="C59" s="77"/>
      <c r="D59" s="77"/>
      <c r="E59" s="77"/>
      <c r="F59" s="77"/>
    </row>
    <row r="60" ht="15.75" customHeight="1">
      <c r="A60" s="77"/>
      <c r="B60" s="77"/>
      <c r="C60" s="77"/>
      <c r="D60" s="77"/>
      <c r="E60" s="77"/>
      <c r="F60" s="77"/>
    </row>
    <row r="61" ht="15.75" customHeight="1">
      <c r="A61" s="77"/>
      <c r="B61" s="77"/>
      <c r="C61" s="77"/>
      <c r="D61" s="77"/>
      <c r="E61" s="77"/>
      <c r="F61" s="77"/>
    </row>
    <row r="62" ht="15.75" customHeight="1">
      <c r="A62" s="77"/>
      <c r="B62" s="77"/>
      <c r="C62" s="77"/>
      <c r="D62" s="77"/>
      <c r="E62" s="77"/>
      <c r="F62" s="77"/>
    </row>
    <row r="63" ht="15.75" customHeight="1">
      <c r="A63" s="77"/>
      <c r="B63" s="77"/>
      <c r="C63" s="77"/>
      <c r="D63" s="77"/>
      <c r="E63" s="77"/>
      <c r="F63" s="77"/>
    </row>
    <row r="64" ht="15.75" customHeight="1">
      <c r="A64" s="77"/>
      <c r="B64" s="77"/>
      <c r="C64" s="77"/>
      <c r="D64" s="77"/>
      <c r="E64" s="77"/>
      <c r="F64" s="77"/>
    </row>
    <row r="65" ht="15.75" customHeight="1">
      <c r="A65" s="77"/>
      <c r="B65" s="77"/>
      <c r="C65" s="77"/>
      <c r="D65" s="77"/>
      <c r="E65" s="77"/>
      <c r="F65" s="77"/>
    </row>
    <row r="66" ht="15.75" customHeight="1">
      <c r="A66" s="77"/>
      <c r="B66" s="77"/>
      <c r="C66" s="77"/>
      <c r="D66" s="77"/>
      <c r="E66" s="77"/>
      <c r="F66" s="77"/>
    </row>
    <row r="67" ht="15.75" customHeight="1">
      <c r="A67" s="77"/>
      <c r="B67" s="77"/>
      <c r="C67" s="77"/>
      <c r="D67" s="77"/>
      <c r="E67" s="77"/>
      <c r="F67" s="77"/>
    </row>
    <row r="68" ht="15.75" customHeight="1">
      <c r="A68" s="77"/>
      <c r="B68" s="77"/>
      <c r="C68" s="77"/>
      <c r="D68" s="77"/>
      <c r="E68" s="77"/>
      <c r="F68" s="77"/>
    </row>
    <row r="69" ht="15.75" customHeight="1">
      <c r="A69" s="77"/>
      <c r="B69" s="77"/>
      <c r="C69" s="77"/>
      <c r="D69" s="77"/>
      <c r="E69" s="77"/>
      <c r="F69" s="77"/>
    </row>
    <row r="70" ht="15.75" customHeight="1">
      <c r="A70" s="77"/>
      <c r="B70" s="77"/>
      <c r="C70" s="77"/>
      <c r="D70" s="77"/>
      <c r="E70" s="77"/>
      <c r="F70" s="77"/>
    </row>
    <row r="71" ht="15.75" customHeight="1">
      <c r="A71" s="77"/>
      <c r="B71" s="77"/>
      <c r="C71" s="77"/>
      <c r="D71" s="77"/>
      <c r="E71" s="77"/>
      <c r="F71" s="77"/>
    </row>
    <row r="72" ht="15.75" customHeight="1">
      <c r="A72" s="77"/>
      <c r="B72" s="77"/>
      <c r="C72" s="77"/>
      <c r="D72" s="77"/>
      <c r="E72" s="77"/>
      <c r="F72" s="77"/>
    </row>
    <row r="73" ht="15.75" customHeight="1">
      <c r="A73" s="77"/>
      <c r="B73" s="77"/>
      <c r="C73" s="77"/>
      <c r="D73" s="77"/>
      <c r="E73" s="77"/>
      <c r="F73" s="77"/>
    </row>
    <row r="74" ht="15.75" customHeight="1">
      <c r="A74" s="77"/>
      <c r="B74" s="77"/>
      <c r="C74" s="77"/>
      <c r="D74" s="77"/>
      <c r="E74" s="77"/>
      <c r="F74" s="77"/>
    </row>
    <row r="75" ht="15.75" customHeight="1">
      <c r="A75" s="77"/>
      <c r="B75" s="77"/>
      <c r="C75" s="77"/>
      <c r="D75" s="77"/>
      <c r="E75" s="77"/>
      <c r="F75" s="77"/>
    </row>
    <row r="76" ht="15.75" customHeight="1">
      <c r="A76" s="77"/>
      <c r="B76" s="77"/>
      <c r="C76" s="77"/>
      <c r="D76" s="77"/>
      <c r="E76" s="77"/>
      <c r="F76" s="77"/>
    </row>
    <row r="77" ht="15.75" customHeight="1">
      <c r="A77" s="77"/>
      <c r="B77" s="77"/>
      <c r="C77" s="77"/>
      <c r="D77" s="77"/>
      <c r="E77" s="77"/>
      <c r="F77" s="77"/>
    </row>
    <row r="78" ht="15.75" customHeight="1">
      <c r="A78" s="77"/>
      <c r="B78" s="77"/>
      <c r="C78" s="77"/>
      <c r="D78" s="77"/>
      <c r="E78" s="77"/>
      <c r="F78" s="77"/>
    </row>
    <row r="79" ht="15.75" customHeight="1">
      <c r="A79" s="77"/>
      <c r="B79" s="77"/>
      <c r="C79" s="77"/>
      <c r="D79" s="77"/>
      <c r="E79" s="77"/>
      <c r="F79" s="77"/>
    </row>
    <row r="80" ht="15.75" customHeight="1">
      <c r="A80" s="77"/>
      <c r="B80" s="77"/>
      <c r="C80" s="77"/>
      <c r="D80" s="77"/>
      <c r="E80" s="77"/>
      <c r="F80" s="77"/>
    </row>
    <row r="81" ht="15.75" customHeight="1">
      <c r="A81" s="77"/>
      <c r="B81" s="77"/>
      <c r="C81" s="77"/>
      <c r="D81" s="77"/>
      <c r="E81" s="77"/>
      <c r="F81" s="77"/>
    </row>
    <row r="82" ht="15.75" customHeight="1">
      <c r="A82" s="77"/>
      <c r="B82" s="77"/>
      <c r="C82" s="77"/>
      <c r="D82" s="77"/>
      <c r="E82" s="77"/>
      <c r="F82" s="77"/>
    </row>
    <row r="83" ht="15.75" customHeight="1">
      <c r="A83" s="77"/>
      <c r="B83" s="77"/>
      <c r="C83" s="77"/>
      <c r="D83" s="77"/>
      <c r="E83" s="77"/>
      <c r="F83" s="77"/>
    </row>
    <row r="84" ht="15.75" customHeight="1">
      <c r="A84" s="77"/>
      <c r="B84" s="77"/>
      <c r="C84" s="77"/>
      <c r="D84" s="77"/>
      <c r="E84" s="77"/>
      <c r="F84" s="77"/>
    </row>
    <row r="85" ht="15.75" customHeight="1">
      <c r="A85" s="77"/>
      <c r="B85" s="77"/>
      <c r="C85" s="77"/>
      <c r="D85" s="77"/>
      <c r="E85" s="77"/>
      <c r="F85" s="77"/>
    </row>
    <row r="86" ht="15.75" customHeight="1">
      <c r="A86" s="77"/>
      <c r="B86" s="77"/>
      <c r="C86" s="77"/>
      <c r="D86" s="77"/>
      <c r="E86" s="77"/>
      <c r="F86" s="77"/>
    </row>
    <row r="87" ht="15.75" customHeight="1">
      <c r="A87" s="77"/>
      <c r="B87" s="77"/>
      <c r="C87" s="77"/>
      <c r="D87" s="77"/>
      <c r="E87" s="77"/>
      <c r="F87" s="77"/>
    </row>
    <row r="88" ht="15.75" customHeight="1">
      <c r="A88" s="77"/>
      <c r="B88" s="77"/>
      <c r="C88" s="77"/>
      <c r="D88" s="77"/>
      <c r="E88" s="77"/>
      <c r="F88" s="77"/>
    </row>
    <row r="89" ht="15.75" customHeight="1">
      <c r="A89" s="77"/>
      <c r="B89" s="77"/>
      <c r="C89" s="77"/>
      <c r="D89" s="77"/>
      <c r="E89" s="77"/>
      <c r="F89" s="77"/>
    </row>
    <row r="90" ht="15.75" customHeight="1">
      <c r="A90" s="77"/>
      <c r="B90" s="77"/>
      <c r="C90" s="77"/>
      <c r="D90" s="77"/>
      <c r="E90" s="77"/>
      <c r="F90" s="77"/>
    </row>
    <row r="91" ht="15.75" customHeight="1">
      <c r="A91" s="77"/>
      <c r="B91" s="77"/>
      <c r="C91" s="77"/>
      <c r="D91" s="77"/>
      <c r="E91" s="77"/>
      <c r="F91" s="77"/>
    </row>
    <row r="92" ht="15.75" customHeight="1">
      <c r="A92" s="77"/>
      <c r="B92" s="77"/>
      <c r="C92" s="77"/>
      <c r="D92" s="77"/>
      <c r="E92" s="77"/>
      <c r="F92" s="77"/>
    </row>
    <row r="93" ht="15.75" customHeight="1">
      <c r="A93" s="77"/>
      <c r="B93" s="77"/>
      <c r="C93" s="77"/>
      <c r="D93" s="77"/>
      <c r="E93" s="77"/>
      <c r="F93" s="77"/>
    </row>
    <row r="94" ht="15.75" customHeight="1">
      <c r="A94" s="77"/>
      <c r="B94" s="77"/>
      <c r="C94" s="77"/>
      <c r="D94" s="77"/>
      <c r="E94" s="77"/>
      <c r="F94" s="77"/>
    </row>
    <row r="95" ht="15.75" customHeight="1">
      <c r="A95" s="77"/>
      <c r="B95" s="77"/>
      <c r="C95" s="77"/>
      <c r="D95" s="77"/>
      <c r="E95" s="77"/>
      <c r="F95" s="77"/>
    </row>
    <row r="96" ht="15.75" customHeight="1">
      <c r="A96" s="77"/>
      <c r="B96" s="77"/>
      <c r="C96" s="77"/>
      <c r="D96" s="77"/>
      <c r="E96" s="77"/>
      <c r="F96" s="77"/>
    </row>
    <row r="97" ht="15.75" customHeight="1">
      <c r="A97" s="77"/>
      <c r="B97" s="77"/>
      <c r="C97" s="77"/>
      <c r="D97" s="77"/>
      <c r="E97" s="77"/>
      <c r="F97" s="77"/>
    </row>
    <row r="98" ht="15.75" customHeight="1">
      <c r="A98" s="77"/>
      <c r="B98" s="77"/>
      <c r="C98" s="77"/>
      <c r="D98" s="77"/>
      <c r="E98" s="77"/>
      <c r="F98" s="77"/>
    </row>
    <row r="99" ht="15.75" customHeight="1">
      <c r="A99" s="77"/>
      <c r="B99" s="77"/>
      <c r="C99" s="77"/>
      <c r="D99" s="77"/>
      <c r="E99" s="77"/>
      <c r="F99" s="77"/>
    </row>
    <row r="100" ht="15.75" customHeight="1">
      <c r="A100" s="77"/>
      <c r="B100" s="77"/>
      <c r="C100" s="77"/>
      <c r="D100" s="77"/>
      <c r="E100" s="77"/>
      <c r="F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G3">
      <formula1>'Resumen de Valoración'!$J$5:$U$5</formula1>
    </dataValidation>
  </dataValidations>
  <printOptions/>
  <pageMargins bottom="1.0" footer="0.0" header="0.0" left="0.75" right="0.75" top="1.0"/>
  <pageSetup orientation="landscape"/>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2854"/>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sheetData>
    <row r="1">
      <c r="A1" s="1" t="inlineStr">
        <is>
          <t xml:space="preserve">NVO (Novo Nordisk A/S) — Tesis de Inversión: De la Historia a los Números</t>
        </is>
      </c>
    </row>
    <row r="2">
      <c r="A2" s="1" t="inlineStr">
        <is>
          <t xml:space="preserve">Metodología Damodaran (NYU Stern) | Precio al día del análisis: USD 39,40 (cierre NYSE 22-sep-2026) | WACC: 10,04% | Cifras en USD millones convertidas desde DKK (tipos BCE)</t>
        </is>
      </c>
    </row>
    <row r="4">
      <c r="A4" s="1" t="s">
        <v>2</v>
      </c>
    </row>
    <row r="5">
      <c r="A5" s="1" t="inlineStr">
        <is>
          <t xml:space="preserve">Novo Nordisk pasó de crecer 25-31% anual en ventas (2022-2024, en DKK) a una fase de normalización: las ventas IFRS 2025 crecieron 6,4% en DKK y la guía de agosto de 2026 prevé ventas ajustadas de 0% a -6% a tipo de cambio constante (TCC) para 2026. Lo ya demostrado en los datos es que el volumen de GLP-1 sigue creciendo (Obesity care ajustado +19% TCC en H1 2026; Wegovy® pill &gt;5 millones de recetas en EE. UU. desde su lanzamiento en enero de 2026) mientras el precio realizado cae (acuerdo MFN con el Gobierno de EE. UU., recorte de precio de lista a USD 675 desde el 1-ene-2027, pérdida de exclusividad de semaglutida en algunos mercados de International Operations). El margen operativo ajustado sigue alto (44,6% en H1 2026) pero la rentabilidad sobre capital cayó de 88,5% (2023) a 39,3% (2025) por la ola de capex (DKK 60,1 mil M en 2025) y la compra de plantas de Catalent. La tensión central: un negocio de altísima calidad cuyo precio unitario se está reajustando; el mercado (EV/EBITDA LTM ajustado ~8,5x) descuenta que la erosión de precio y la competencia de Eli Lilly pesen más que la expansión de volumen. Base del LTM: IFRS jul-25/jun-26 excluyendo la reversión no recurrente y sin efecto caja de la provisión 340B (DKK 26,8 mil M) y el deterioro de activos de pipeline (DKK 6,3 mil M).</t>
        </is>
      </c>
    </row>
    <row r="7">
      <c r="A7" s="1" t="s">
        <v>4</v>
      </c>
      <c r="B7" s="1" t="s">
        <v>5</v>
      </c>
    </row>
    <row r="8">
      <c r="A8" s="1" t="inlineStr">
        <is>
          <t xml:space="preserve">Volumen: Obesity care ajustado creció 19% a TCC en H1 2026 y 40% en International Operations; pacientes con productos de obesidad +69% interanual a 4,9 millones (informe H1 2026, 4-ago-2026).</t>
        </is>
      </c>
      <c r="B8" s="1" t="inlineStr">
        <is>
          <t xml:space="preserve">Precio: la guía 2026 prevé ventas ajustadas de 0% a -6% a TCC; en EE. UU. las ventas ajustadas H1 2026 cayeron 4% a TCC por menores precios realizados (informe H1 2026).</t>
        </is>
      </c>
    </row>
    <row r="9">
      <c r="A9" s="1" t="inlineStr">
        <is>
          <t xml:space="preserve">Nuevo formato oral: Wegovy® pill superó 265.000 recetas semanales (semana al 17-jul-2026) y fue aprobado por la EMA en julio de 2026; Wegovy® HD (7,2 mg) lanzado en EE. UU. en abril de 2026.</t>
        </is>
      </c>
      <c r="B9" s="1" t="inlineStr">
        <is>
          <t xml:space="preserve">Reinicio de precio: desde el 1-ene-2027 el precio de lista de Wegovy®/Ozempic® en EE. UU. baja a USD 675 (≈-50% y -35%), con impacto esperado en el flujo de caja de 2027 (informe H1 2026).</t>
        </is>
      </c>
    </row>
    <row r="10">
      <c r="A10" s="1" t="inlineStr">
        <is>
          <t xml:space="preserve">Caja: flujo de caja libre H1 2026 de DKK 55,3 mil M (+44%) y guía 2026 elevada a DKK 45-55 mil M; recompras 2026 de hasta DKK 15 mil M y dividendo 2025 de DKK 11,70/acción.</t>
        </is>
      </c>
      <c r="B10" s="1" t="inlineStr">
        <is>
          <t xml:space="preserve">Intensidad de capital: capex PP&amp;E DKK 60,1 mil M en 2025 y ~55 mil M en 2026; ROIC reportado cayó de 88,5% (2023) a 39,3% (2025) (Five-year overview AR2025).</t>
        </is>
      </c>
    </row>
    <row r="11">
      <c r="A11" s="1" t="inlineStr">
        <is>
          <t xml:space="preserve">Pipeline y plazos: patente de compuesto de semaglutida en EE. UU. hasta 2032; objetivos CMD (21-sep-2026) de &gt;5 multi-blockbusters a 2030 y &gt;DKK 150 mil M de ventas de pipeline ajustadas por riesgo en 2035.</t>
        </is>
      </c>
      <c r="B11" s="1" t="inlineStr">
        <is>
          <t xml:space="preserve">Ejecución de I+D: ZEUS (ziltivekimab) no alcanzó su objetivo primario (31-jul-2026); monlunabant terminado con deterioro de DKK 4,0 mil M; CagriSema no demostró no-inferioridad en HbA1c frente a tirzepatida (REIMAGINE 4).</t>
        </is>
      </c>
    </row>
    <row r="13">
      <c r="A13" s="1" t="s">
        <v>14</v>
      </c>
    </row>
    <row r="14">
      <c r="A14" s="1" t="s">
        <v>15</v>
      </c>
      <c r="B14" s="1" t="s">
        <v>16</v>
      </c>
      <c r="C14" s="1" t="s">
        <v>17</v>
      </c>
      <c r="D14" s="1" t="s">
        <v>18</v>
      </c>
      <c r="E14" s="1" t="s">
        <v>19</v>
      </c>
    </row>
    <row r="15">
      <c r="A15" s="1" t="s">
        <v>20</v>
      </c>
      <c r="B15" s="1">
        <v>0.0048</v>
      </c>
      <c r="C15" s="1">
        <v>-0.04</v>
      </c>
      <c r="D15" s="1">
        <v>-0.052</v>
      </c>
      <c r="E15" s="1" t="inlineStr">
        <is>
          <t xml:space="preserve">Base -4%: guía 2026 ventas ajustadas 0% a -6% TCC (≈-1 pp adicional en DKK) y recorte de precio de lista EE. UU. en 2027; LTM en USD convertido a 6,405 DKK/USD vs spot 6,55. Conservador y optimista NO son supuestos del analista: la plantilla los deriva de B27 (conservador = promedio(B27; Rf) = 0,48%; optimista = 1,3×B27 = -5,2%), por lo que con crecimiento negativo el orden económico se invierte.</t>
        </is>
      </c>
    </row>
    <row r="16">
      <c r="A16" s="1" t="s">
        <v>23</v>
      </c>
      <c r="B16" s="1">
        <v>0.0048</v>
      </c>
      <c r="C16" s="1">
        <v>0.035</v>
      </c>
      <c r="D16" s="1">
        <v>-0.052</v>
      </c>
      <c r="E16" s="1" t="inlineStr">
        <is>
          <t xml:space="preserve">Base 3,5%: el CMD (21-sep-2026) apunta a una TCAC 2026-30 "en línea con pares"; la mediana de crecimiento de consenso a 3 años de los pares (LLY, AZN, SNY, MRK, AMGN, PFE) es ~4,6% (stockanalysis, 23-sep-2026). Se aplica un descuento por reajuste de precio y expiración de semaglutida (EE. UU. 2032). Conservador/optimista replican C55/C106 de Valuation output.</t>
        </is>
      </c>
    </row>
    <row r="17">
      <c r="A17" s="1" t="s">
        <v>25</v>
      </c>
      <c r="B17" s="1">
        <v>0.475</v>
      </c>
      <c r="C17" s="1">
        <v>0.475</v>
      </c>
      <c r="D17" s="1">
        <v>0.475</v>
      </c>
      <c r="E17" s="1" t="inlineStr">
        <is>
          <t xml:space="preserve">Margen año 1 = 'Valuation output'!B6 - 2 pp = 47,5% (valor predeterminado de la plantilla). B6 = 49,5% es el margen LTM ajustado con I+D capitalizada (vida 10 años); el margen EBIT IFRS ajustado LTM es 40,2%. Los -2 pp reflejan el recorte de precios de 2027 y el aumento de I+D y promoción previsto para H2 2026.</t>
        </is>
      </c>
    </row>
    <row r="18">
      <c r="A18" s="1" t="s">
        <v>27</v>
      </c>
      <c r="B18" s="1">
        <v>0.495</v>
      </c>
      <c r="C18" s="1">
        <v>0.45</v>
      </c>
      <c r="D18" s="1">
        <v>0.5</v>
      </c>
      <c r="E18" s="1" t="inlineStr">
        <is>
          <t xml:space="preserve">Base 45%: el CMD fija "margen operativo ampliamente estable"; se deja 2,5 pp bajo el año 1 por erosión de precio. Conservador = margen actual B6 (49,5%) y optimista = B30+5 pp (50%) por diseño de la plantilla: el conservador supera al base porque el margen actual excede el objetivo base (incongruencia de diseño documentada).</t>
        </is>
      </c>
    </row>
    <row r="19">
      <c r="A19" s="1" t="s">
        <v>29</v>
      </c>
      <c r="B19" s="1">
        <v>5</v>
      </c>
      <c r="C19" s="1">
        <v>5</v>
      </c>
      <c r="D19" s="1">
        <v>5</v>
      </c>
      <c r="E19" s="1" t="inlineStr">
        <is>
          <t xml:space="preserve">Cinco años: el recorte de precios de lista en EE. UU. (ene-2027) y la expiración de semaglutida en 2031-32 concentran la presión dentro del horizonte; se mantiene el valor predeterminado.</t>
        </is>
      </c>
    </row>
    <row r="20">
      <c r="A20" s="1" t="s">
        <v>32</v>
      </c>
      <c r="B20" s="1" t="inlineStr">
        <is>
          <t xml:space="preserve">0,80x / 1,07x</t>
        </is>
      </c>
      <c r="C20" s="1" t="inlineStr">
        <is>
          <t xml:space="preserve">0,80x / 1,07x</t>
        </is>
      </c>
      <c r="D20" s="1" t="inlineStr">
        <is>
          <t xml:space="preserve">0,80x / 1,07x</t>
        </is>
      </c>
      <c r="E20" s="1" t="inlineStr">
        <is>
          <t xml:space="preserve">0,80x años 1-5 (entrada manual): refleja capex de DKK 60 mil M (2025) y ~55 mil M (2026) en API y llenado, con guía de descenso posterior; ingresos/capital invertido actual (con I+D capitalizada) = 0,61x. 1,07x años 6-10 = mediana global de farmacéuticas (Damodaran, K28).</t>
        </is>
      </c>
    </row>
    <row r="21">
      <c r="A21" s="1" t="s">
        <v>35</v>
      </c>
      <c r="B21" s="1">
        <v>0.1004</v>
      </c>
      <c r="C21" s="1">
        <v>0.1004</v>
      </c>
      <c r="D21" s="1">
        <v>0.1004</v>
      </c>
      <c r="E21" s="1" t="inlineStr">
        <is>
          <t xml:space="preserve">Método "Detailed": Rf 4,96% (UST 10 años, 22-sep-2026); beta desapalancada global Drugs (Pharmaceutical) 0,999 → apalancada 1,07; ERP por regiones operativas 5,25% (ventas ajustadas H1 2026); Kd = Rf + spread de rating real Aa3/AA (tabla "Aa2/AA", 0,55%); D/(D+E) 8,6%. El WACC no cambia entre escenarios en esta plantilla.</t>
        </is>
      </c>
    </row>
    <row r="23">
      <c r="A23" s="1" t="s">
        <v>38</v>
      </c>
    </row>
    <row r="24">
      <c r="A24" s="1" t="s">
        <v>39</v>
      </c>
      <c r="B24" s="1" t="s">
        <v>40</v>
      </c>
      <c r="C24" s="1" t="s">
        <v>41</v>
      </c>
      <c r="D24" s="1" t="inlineStr">
        <is>
          <t xml:space="preserve">vs. Precio Actual (USD 39,40)</t>
        </is>
      </c>
    </row>
    <row r="25">
      <c r="A25" s="1" t="s">
        <v>16</v>
      </c>
      <c r="B25" s="1">
        <v>45.52</v>
      </c>
      <c r="C25" s="1">
        <v>57.08</v>
      </c>
      <c r="D25" s="1">
        <v>0.449</v>
      </c>
    </row>
    <row r="26">
      <c r="A26" s="1" t="s">
        <v>17</v>
      </c>
      <c r="B26" s="1">
        <v>44.09</v>
      </c>
      <c r="C26" s="1">
        <v>58.16</v>
      </c>
      <c r="D26" s="1">
        <v>0.476</v>
      </c>
    </row>
    <row r="27">
      <c r="A27" s="1" t="s">
        <v>18</v>
      </c>
      <c r="B27" s="1">
        <v>35.68</v>
      </c>
      <c r="C27" s="1">
        <v>52.4</v>
      </c>
      <c r="D27" s="1">
        <v>0.33</v>
      </c>
    </row>
    <row r="28">
      <c r="A28" s="1" t="inlineStr">
        <is>
          <t xml:space="preserve">*Precio Objetivo Ponderado combina el DCF (55%) con EV/FCFF (20%), P/FCFE (10%), EV/EBITDA (5%), P/E (5%) y P/OCF (5%), ponderación "Biotech/Farma" de la hoja Resumen de Valoración. Los múltiplos usan por defecto el MÍNIMO de 2022-2025 (años de hipercrecimiento): EV/EBITDA 10,8x, EV/FCFF 27,4x, P/E 14,7x. Sensibilidad (no incorporada al archivo): con los múltiplos LTM actuales en las celdas J19 (EV/EBITDA 8,5x, EV/FCF 15,9x, P/E 11,2x, P/FCF 14,7x, P/OCF 8,5x) el precio ponderado base sería USD 47,91 en lugar de 58,16. Resultados con precio de prueba USD 39,40; en Google Sheets se recalculan con GOOGLEFINANCE.</t>
        </is>
      </c>
    </row>
    <row r="30">
      <c r="A30" s="1" t="s">
        <v>45</v>
      </c>
    </row>
    <row r="31">
      <c r="A31" s="1" t="s">
        <v>46</v>
      </c>
      <c r="B31" s="1" t="s">
        <v>47</v>
      </c>
      <c r="C31" s="1" t="s">
        <v>48</v>
      </c>
    </row>
    <row r="32">
      <c r="A32" s="1">
        <v>1</v>
      </c>
      <c r="B32" s="1" t="inlineStr">
        <is>
          <t xml:space="preserve">Datos: LTM jun-26 ajustado (excluye reversión 340B de DKK 26,8 mil M y deterioros mayores de DKK 6,3 mil M); estados en USD (flujos a tipo medio, balance a tipo de cierre BCE).</t>
        </is>
      </c>
      <c r="C32" s="1" t="inlineStr">
        <is>
          <t xml:space="preserve">Sin ajuste, el LTM incluiría ingresos no recurrentes y sin efecto caja equivalentes al 8,8% de las ventas ajustadas, inflando la base del DCF.</t>
        </is>
      </c>
    </row>
    <row r="33">
      <c r="A33" s="1">
        <v>2</v>
      </c>
      <c r="B33" s="1" t="inlineStr">
        <is>
          <t xml:space="preserve">Categoría de ponderación en Resumen de Valoración!G3: "Genérico" → "Biotech/Farma"; I+D capitalizada a 10 años (R&amp;D converter F7: 3 → 10); costo de capital con ERP por regiones operativas y rating real.</t>
        </is>
      </c>
      <c r="C33" s="1" t="inlineStr">
        <is>
          <t xml:space="preserve">Perfil farmacéutico: vida económica de la I+D según la tabla de Damodaran para "Drug" (10 años); 51% de las ventas ajustadas H1 2026 se generan en EE. UU. y rating Aa3/AA (Moody's/S&amp;P).</t>
        </is>
      </c>
    </row>
    <row r="34">
      <c r="A34" s="1">
        <v>3</v>
      </c>
      <c r="B34" s="1" t="inlineStr">
        <is>
          <t xml:space="preserve">Supuestos base recalibrados: B27 -4%, B29 3,5%, B30 45%, B32 0,80x (B33 = K28); se mantienen B28 (B6-2 pp) y B31 (5 años) por defecto. Múltiplos: sin override (mínimo 4 años por defecto).</t>
        </is>
      </c>
      <c r="C34" s="1" t="inlineStr">
        <is>
          <t xml:space="preserve">Guía 2026 (4-ago-2026), objetivos CMD (21-sep-2026) y capex guiado. Advertencia: con B27 negativo las fórmulas automáticas invierten los escenarios (optimista &lt; base &lt; conservador en DCF).</t>
        </is>
      </c>
    </row>
    <row r="36">
      <c r="A36" s="1" t="s">
        <v>55</v>
      </c>
    </row>
    <row r="37">
      <c r="A37" s="1" t="inlineStr">
        <is>
          <t xml:space="preserve">Con el precio de USD 39,40 (22-sep-2026), el DCF del Modelo JMR entrega USD 44,09 por ADR en el escenario base (precio = 89% del valor) y el precio objetivo ponderado base es USD 58,16 (+47,6%), pero esta cifra depende mucho de múltiplos anclados en 2022-2025: con múltiplos LTM el ponderado base baja a ~USD 47,9 y el DCF solo deja un margen de ~11%, inferior al MOS de 35% exigido. Los escenarios automáticos no son interpretables como rango (el optimista da USD 35,68 porque multiplica un crecimiento negativo). La variable que más mueve el valor es el precio neto por paciente en EE. UU. tras 2027 (define si el crecimiento de volumen de Wegovy® pill y de International Operations compensa el reajuste de precio y sostiene el margen del 45%); le sigue la intensidad de capital (ingresos/capital 0,8x) que determina si el ROIC se estabiliza por encima del WACC de 10%.</t>
        </is>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2" t="str">
        <f>'Input sheet'!A1</f>
        <v>Novo Nordisk (NYSE:NVO)</v>
      </c>
      <c r="B1" s="2"/>
      <c r="C1" s="2" t="s">
        <v>57</v>
      </c>
      <c r="D1" s="2">
        <f>'Input sheet'!D1</f>
        <v>39.4</v>
      </c>
      <c r="E1" s="3"/>
      <c r="F1" s="3"/>
      <c r="G1" s="3"/>
      <c r="H1" s="3"/>
      <c r="I1" s="3"/>
      <c r="J1" s="3"/>
      <c r="K1" s="3"/>
      <c r="L1" s="3"/>
      <c r="M1" s="3"/>
    </row>
    <row r="2" ht="14.25" customHeight="1">
      <c r="A2" s="4" t="s">
        <v>58</v>
      </c>
      <c r="B2" s="5"/>
      <c r="C2" s="5"/>
      <c r="D2" s="5"/>
      <c r="E2" s="5"/>
      <c r="F2" s="5"/>
      <c r="G2" s="5"/>
      <c r="H2" s="5"/>
      <c r="I2" s="5"/>
      <c r="J2" s="5"/>
      <c r="K2" s="5"/>
      <c r="L2" s="5"/>
      <c r="M2" s="5"/>
    </row>
    <row r="3" ht="14.25" customHeight="1">
      <c r="A3" s="5" t="s">
        <v>59</v>
      </c>
      <c r="B3" s="5">
        <f>'Input sheet'!D1</f>
        <v>39.4</v>
      </c>
      <c r="C3" s="5"/>
      <c r="D3" s="5"/>
      <c r="E3" s="5"/>
      <c r="F3" s="5"/>
      <c r="G3" s="5"/>
      <c r="H3" s="5"/>
      <c r="I3" s="5"/>
      <c r="J3" s="5"/>
      <c r="K3" s="5"/>
      <c r="L3" s="5"/>
      <c r="M3" s="5"/>
    </row>
    <row r="4" ht="14.25" customHeight="1">
      <c r="A4" s="5"/>
      <c r="B4" s="5"/>
      <c r="C4" s="5"/>
      <c r="D4" s="5"/>
      <c r="E4" s="5"/>
      <c r="F4" s="5"/>
      <c r="G4" s="5"/>
      <c r="H4" s="5"/>
      <c r="I4" s="5"/>
      <c r="J4" s="5"/>
      <c r="K4" s="5"/>
      <c r="L4" s="5"/>
      <c r="M4" s="5"/>
    </row>
    <row r="5" ht="14.25" customHeight="1">
      <c r="A5" s="6" t="s">
        <v>60</v>
      </c>
      <c r="B5" s="6" t="s">
        <v>61</v>
      </c>
      <c r="C5" s="6"/>
      <c r="D5" s="6"/>
      <c r="E5" s="6"/>
      <c r="F5" s="6"/>
      <c r="G5" s="6"/>
      <c r="H5" s="6"/>
      <c r="I5" s="6"/>
      <c r="J5" s="6"/>
      <c r="K5" s="6"/>
      <c r="L5" s="6"/>
      <c r="M5" s="6"/>
    </row>
    <row r="6" ht="14.25" customHeight="1">
      <c r="A6" s="10" t="s">
        <v>62</v>
      </c>
      <c r="B6" s="10" t="inlineStr">
        <is>
          <t xml:space="preserve">Dec '22</t>
        </is>
      </c>
      <c r="C6" s="10" t="inlineStr">
        <is>
          <t xml:space="preserve">Dec '23</t>
        </is>
      </c>
      <c r="D6" s="10" t="inlineStr">
        <is>
          <t xml:space="preserve">Dec '24</t>
        </is>
      </c>
      <c r="E6" s="10" t="inlineStr">
        <is>
          <t xml:space="preserve">Dec '25</t>
        </is>
      </c>
      <c r="F6" s="10" t="s">
        <v>67</v>
      </c>
      <c r="G6" s="10" t="s">
        <v>68</v>
      </c>
      <c r="H6" s="10" t="s">
        <v>69</v>
      </c>
      <c r="I6" s="5"/>
      <c r="J6" s="5"/>
      <c r="K6" s="5"/>
      <c r="L6" s="5"/>
      <c r="M6" s="5"/>
    </row>
    <row r="7" ht="14.25" customHeight="1">
      <c r="A7" s="12" t="s">
        <v>70</v>
      </c>
      <c r="B7" s="15">
        <f>'Trailing Valuation'!H6</f>
        <v>305090.362</v>
      </c>
      <c r="C7" s="15">
        <f>'Trailing Valuation'!I6</f>
        <v>463447.072</v>
      </c>
      <c r="D7" s="15">
        <f>'Trailing Valuation'!J6</f>
        <v>397831.327</v>
      </c>
      <c r="E7" s="15">
        <f>'Trailing Valuation'!K6</f>
        <v>243531.19</v>
      </c>
      <c r="F7" s="15">
        <f>'Trailing Valuation'!L6</f>
        <v>188525.82</v>
      </c>
      <c r="G7" s="19"/>
      <c r="H7" s="19"/>
      <c r="I7" s="5"/>
      <c r="J7" s="21" t="s">
        <v>73</v>
      </c>
      <c r="K7" s="5"/>
      <c r="L7" s="5"/>
      <c r="M7" s="5"/>
    </row>
    <row r="8" ht="14.25" customHeight="1">
      <c r="A8" s="12" t="s">
        <v>74</v>
      </c>
      <c r="B8" s="25">
        <f>'Trailing Valuation'!H24</f>
        <v>32.3679262017675</v>
      </c>
      <c r="C8" s="25">
        <f t="shared" ref="C8:E8" si="1">C7/C9</f>
        <v>37.1030613798614</v>
      </c>
      <c r="D8" s="25">
        <f t="shared" si="1"/>
        <v>32.1953386408588</v>
      </c>
      <c r="E8" s="25">
        <f t="shared" si="1"/>
        <v>27.348716535168</v>
      </c>
      <c r="F8" s="34">
        <f>IFERROR(IF(J8&lt;&gt;"",J8,F19*0.9),"")</f>
        <v>24.6138448816512</v>
      </c>
      <c r="G8" s="34">
        <f>F8</f>
        <v>24.6138448816512</v>
      </c>
      <c r="H8" s="34">
        <f>F8</f>
        <v>24.6138448816512</v>
      </c>
      <c r="I8" s="5"/>
      <c r="J8" s="39"/>
      <c r="K8" s="5"/>
      <c r="L8" s="5"/>
      <c r="M8" s="5"/>
    </row>
    <row r="9" ht="14.25" customHeight="1">
      <c r="A9" s="12" t="s">
        <v>81</v>
      </c>
      <c r="B9" s="19">
        <f>B7/B8</f>
        <v>9425.7</v>
      </c>
      <c r="C9" s="19">
        <f>'Financials Multiples'!B24</f>
        <v>12490.8041213965</v>
      </c>
      <c r="D9" s="19">
        <f>'Financials Multiples'!C24</f>
        <v>12356.7989589374</v>
      </c>
      <c r="E9" s="19">
        <f>'Financials Multiples'!D24</f>
        <v>8904.66613622768</v>
      </c>
      <c r="F9" s="19">
        <f>'Financials Multiples'!E24</f>
        <v>13306.4196764756</v>
      </c>
      <c r="G9" s="19">
        <f>'Financials Multiples'!F24</f>
        <v>13964.5397581051</v>
      </c>
      <c r="H9" s="19">
        <f>'Financials Multiples'!G24</f>
        <v>14176.1698200538</v>
      </c>
      <c r="I9" s="5"/>
      <c r="J9" s="5"/>
      <c r="K9" s="5"/>
      <c r="L9" s="5"/>
      <c r="M9" s="5"/>
    </row>
    <row r="10" ht="14.25" customHeight="1">
      <c r="A10" s="49" t="s">
        <v>83</v>
      </c>
      <c r="B10" s="57"/>
      <c r="C10" s="57"/>
      <c r="D10" s="57"/>
      <c r="E10" s="57"/>
      <c r="F10" s="57">
        <f>F8*(F9/'Financials Multiples'!E31)</f>
        <v>73.7297172227549</v>
      </c>
      <c r="G10" s="57">
        <f>G8*(G9/'Financials Multiples'!F31)</f>
        <v>77.7847914837091</v>
      </c>
      <c r="H10" s="57">
        <f>H8*(H9/'Financials Multiples'!G31)</f>
        <v>79.3804735833245</v>
      </c>
      <c r="I10" s="5"/>
      <c r="J10" s="5"/>
      <c r="K10" s="5"/>
      <c r="L10" s="5"/>
      <c r="M10" s="5"/>
    </row>
    <row r="11" ht="14.25" customHeight="1">
      <c r="A11" s="12" t="s">
        <v>85</v>
      </c>
      <c r="B11" s="19"/>
      <c r="C11" s="19"/>
      <c r="D11" s="19"/>
      <c r="E11" s="19"/>
      <c r="F11" s="19">
        <f>'Financials Multiples'!E35</f>
        <v>1.8266</v>
      </c>
      <c r="G11" s="19">
        <f>'Financials Multiples'!F35</f>
        <v>1.95525136250418</v>
      </c>
      <c r="H11" s="19">
        <f>'Financials Multiples'!G35</f>
        <v>2.08390272500836</v>
      </c>
      <c r="I11" s="5"/>
      <c r="J11" s="5"/>
      <c r="K11" s="5"/>
      <c r="L11" s="5"/>
      <c r="M11" s="5"/>
    </row>
    <row r="12" ht="14.25" customHeight="1">
      <c r="A12" s="49" t="s">
        <v>87</v>
      </c>
      <c r="B12" s="57"/>
      <c r="C12" s="57"/>
      <c r="D12" s="57"/>
      <c r="E12" s="57"/>
      <c r="F12" s="57">
        <f t="shared" ref="F12:H12" si="2">F10+F11</f>
        <v>75.5563172227549</v>
      </c>
      <c r="G12" s="57">
        <f t="shared" si="2"/>
        <v>79.7400428462133</v>
      </c>
      <c r="H12" s="78">
        <f t="shared" si="2"/>
        <v>81.4643763083329</v>
      </c>
      <c r="I12" s="5"/>
      <c r="J12" s="5"/>
      <c r="K12" s="5"/>
      <c r="L12" s="5"/>
      <c r="M12" s="5"/>
    </row>
    <row r="13" ht="14.25" customHeight="1">
      <c r="A13" s="49" t="s">
        <v>89</v>
      </c>
      <c r="B13" s="79"/>
      <c r="C13" s="79"/>
      <c r="D13" s="79"/>
      <c r="E13" s="79"/>
      <c r="F13" s="79">
        <f>(F12-B3)/B3</f>
        <v>0.917673025958246</v>
      </c>
      <c r="G13" s="79">
        <f>(G12-B3)/B3</f>
        <v>1.02385895548765</v>
      </c>
      <c r="H13" s="79">
        <f>(H12-B3)/B3</f>
        <v>1.06762376417089</v>
      </c>
      <c r="I13" s="5"/>
      <c r="J13" s="5"/>
      <c r="K13" s="5"/>
      <c r="L13" s="5"/>
      <c r="M13" s="5"/>
    </row>
    <row r="14" ht="14.25" customHeight="1">
      <c r="A14" s="12" t="s">
        <v>93</v>
      </c>
      <c r="B14" s="84"/>
      <c r="C14" s="84"/>
      <c r="D14" s="84"/>
      <c r="E14" s="84"/>
      <c r="F14" s="84">
        <f>(F12/B3) ^ (1 / 1) - 1</f>
        <v>0.917673025958246</v>
      </c>
      <c r="G14" s="84">
        <f>(G12/B3) ^ (1 / 2) - 1</f>
        <v>0.422623968407551</v>
      </c>
      <c r="H14" s="84">
        <f>(H12/B3) ^ (1 / 3) - 1</f>
        <v>0.273964046709348</v>
      </c>
      <c r="I14" s="5"/>
      <c r="J14" s="5"/>
      <c r="K14" s="5"/>
      <c r="L14" s="5"/>
      <c r="M14" s="5"/>
    </row>
    <row r="15" ht="14.25" customHeight="1">
      <c r="A15" s="5"/>
      <c r="B15" s="5"/>
      <c r="C15" s="5"/>
      <c r="D15" s="5"/>
      <c r="E15" s="5"/>
      <c r="F15" s="5"/>
      <c r="G15" s="5"/>
      <c r="H15" s="5"/>
      <c r="I15" s="5"/>
      <c r="J15" s="5"/>
      <c r="K15" s="5"/>
      <c r="L15" s="5"/>
      <c r="M15" s="5"/>
    </row>
    <row r="16" ht="14.25" customHeight="1">
      <c r="A16" s="6" t="s">
        <v>60</v>
      </c>
      <c r="B16" s="6" t="s">
        <v>106</v>
      </c>
      <c r="C16" s="6"/>
      <c r="D16" s="6"/>
      <c r="E16" s="6"/>
      <c r="F16" s="6"/>
      <c r="G16" s="6"/>
      <c r="H16" s="6"/>
      <c r="I16" s="6"/>
      <c r="J16" s="6"/>
      <c r="K16" s="6"/>
      <c r="L16" s="6"/>
      <c r="M16" s="6"/>
    </row>
    <row r="17" ht="14.25" customHeight="1">
      <c r="A17" s="10" t="s">
        <v>62</v>
      </c>
      <c r="B17" s="10" t="inlineStr">
        <is>
          <t xml:space="preserve">Dec '22</t>
        </is>
      </c>
      <c r="C17" s="10" t="inlineStr">
        <is>
          <t xml:space="preserve">Dec '23</t>
        </is>
      </c>
      <c r="D17" s="10" t="inlineStr">
        <is>
          <t xml:space="preserve">Dec '24</t>
        </is>
      </c>
      <c r="E17" s="10" t="inlineStr">
        <is>
          <t xml:space="preserve">Dec '25</t>
        </is>
      </c>
      <c r="F17" s="10" t="s">
        <v>67</v>
      </c>
      <c r="G17" s="10" t="s">
        <v>68</v>
      </c>
      <c r="H17" s="10" t="s">
        <v>69</v>
      </c>
      <c r="I17" s="5"/>
      <c r="J17" s="5"/>
      <c r="K17" s="5"/>
      <c r="L17" s="5"/>
      <c r="M17" s="5"/>
    </row>
    <row r="18" ht="14.25" customHeight="1">
      <c r="A18" s="12" t="s">
        <v>70</v>
      </c>
      <c r="B18" s="15">
        <f t="shared" ref="B18:F18" si="3">B7</f>
        <v>305090.362</v>
      </c>
      <c r="C18" s="15">
        <f t="shared" si="3"/>
        <v>463447.072</v>
      </c>
      <c r="D18" s="15">
        <f t="shared" si="3"/>
        <v>397831.327</v>
      </c>
      <c r="E18" s="15">
        <f t="shared" si="3"/>
        <v>243531.19</v>
      </c>
      <c r="F18" s="15">
        <f t="shared" si="3"/>
        <v>188525.82</v>
      </c>
      <c r="G18" s="19"/>
      <c r="H18" s="19"/>
      <c r="I18" s="5"/>
      <c r="J18" s="21" t="s">
        <v>73</v>
      </c>
      <c r="K18" s="5"/>
      <c r="L18" s="5"/>
      <c r="M18" s="5"/>
    </row>
    <row r="19" ht="14.25" customHeight="1">
      <c r="A19" s="12" t="s">
        <v>74</v>
      </c>
      <c r="B19" s="99">
        <f t="shared" ref="B19:E19" si="4">B8</f>
        <v>32.3679262017675</v>
      </c>
      <c r="C19" s="99">
        <f t="shared" si="4"/>
        <v>37.1030613798614</v>
      </c>
      <c r="D19" s="99">
        <f t="shared" si="4"/>
        <v>32.1953386408588</v>
      </c>
      <c r="E19" s="99">
        <f t="shared" si="4"/>
        <v>27.348716535168</v>
      </c>
      <c r="F19" s="34">
        <f>IFERROR(IF(J19&lt;&gt;"",J19,MEDIAN('Trailing Valuation'!G24:K24)),"")</f>
        <v>27.348716535168</v>
      </c>
      <c r="G19" s="34">
        <f>F19</f>
        <v>27.348716535168</v>
      </c>
      <c r="H19" s="34">
        <f>F19</f>
        <v>27.348716535168</v>
      </c>
      <c r="I19" s="5"/>
      <c r="J19" s="39">
        <f>MIN(B19:E19)</f>
        <v>27.348716535168</v>
      </c>
      <c r="K19" s="5"/>
      <c r="L19" s="5"/>
      <c r="M19" s="5"/>
    </row>
    <row r="20" ht="14.25" customHeight="1">
      <c r="A20" s="12" t="s">
        <v>81</v>
      </c>
      <c r="B20" s="19">
        <f>B18/B19</f>
        <v>9425.7</v>
      </c>
      <c r="C20" s="19">
        <f>'Financials Multiples'!B63</f>
        <v>12490.8041213965</v>
      </c>
      <c r="D20" s="19">
        <f>'Financials Multiples'!C63</f>
        <v>12356.7989589374</v>
      </c>
      <c r="E20" s="19">
        <f>'Financials Multiples'!D63</f>
        <v>8904.66613622768</v>
      </c>
      <c r="F20" s="19">
        <f>'Financials Multiples'!E63</f>
        <v>12569.3210730026</v>
      </c>
      <c r="G20" s="19">
        <f>'Financials Multiples'!F63</f>
        <v>13137.9771637348</v>
      </c>
      <c r="H20" s="19">
        <f>'Financials Multiples'!G63</f>
        <v>13398.8986381528</v>
      </c>
      <c r="I20" s="5"/>
      <c r="J20" s="5"/>
      <c r="K20" s="5"/>
      <c r="L20" s="5"/>
      <c r="M20" s="5"/>
    </row>
    <row r="21" ht="14.25" customHeight="1">
      <c r="A21" s="49" t="s">
        <v>83</v>
      </c>
      <c r="B21" s="57"/>
      <c r="C21" s="57"/>
      <c r="D21" s="57"/>
      <c r="E21" s="57"/>
      <c r="F21" s="57">
        <f>F19*(F20/'Financials Multiples'!E70)</f>
        <v>77.3839086635136</v>
      </c>
      <c r="G21" s="57">
        <f>G19*(G20/'Financials Multiples'!F70)</f>
        <v>81.3118904422584</v>
      </c>
      <c r="H21" s="57">
        <f>H19*(H20/'Financials Multiples'!G70)</f>
        <v>83.3645424283262</v>
      </c>
      <c r="I21" s="5"/>
      <c r="J21" s="5"/>
      <c r="K21" s="5"/>
      <c r="L21" s="5"/>
      <c r="M21" s="5"/>
    </row>
    <row r="22" ht="14.25" customHeight="1">
      <c r="A22" s="12" t="s">
        <v>85</v>
      </c>
      <c r="B22" s="19"/>
      <c r="C22" s="19"/>
      <c r="D22" s="19"/>
      <c r="E22" s="19"/>
      <c r="F22" s="19">
        <f>'Financials Multiples'!E74</f>
        <v>1.8266</v>
      </c>
      <c r="G22" s="19">
        <f>'Financials Multiples'!F74</f>
        <v>1.95525136250418</v>
      </c>
      <c r="H22" s="19">
        <f>'Financials Multiples'!G74</f>
        <v>2.08390272500836</v>
      </c>
      <c r="I22" s="5"/>
      <c r="J22" s="5"/>
      <c r="K22" s="5"/>
      <c r="L22" s="5"/>
      <c r="M22" s="5"/>
    </row>
    <row r="23" ht="14.25" customHeight="1">
      <c r="A23" s="49" t="s">
        <v>87</v>
      </c>
      <c r="B23" s="57"/>
      <c r="C23" s="57"/>
      <c r="D23" s="57"/>
      <c r="E23" s="57"/>
      <c r="F23" s="57">
        <f t="shared" ref="F23:H23" si="5">F21+F22</f>
        <v>79.2105086635136</v>
      </c>
      <c r="G23" s="57">
        <f t="shared" si="5"/>
        <v>83.2671418047626</v>
      </c>
      <c r="H23" s="78">
        <f t="shared" si="5"/>
        <v>85.4484451533346</v>
      </c>
      <c r="I23" s="5"/>
      <c r="J23" s="5"/>
      <c r="K23" s="5"/>
      <c r="L23" s="5"/>
      <c r="M23" s="5"/>
    </row>
    <row r="24" ht="14.25" customHeight="1">
      <c r="A24" s="49" t="s">
        <v>89</v>
      </c>
      <c r="B24" s="79"/>
      <c r="C24" s="79"/>
      <c r="D24" s="79"/>
      <c r="E24" s="79"/>
      <c r="F24" s="79">
        <f>(F23-B3)/B3</f>
        <v>1.01041900161202</v>
      </c>
      <c r="G24" s="79">
        <f>(G23-B3)/B3</f>
        <v>1.11337923362342</v>
      </c>
      <c r="H24" s="118">
        <f>(H23-B3)/B3</f>
        <v>1.16874226277499</v>
      </c>
      <c r="I24" s="5"/>
      <c r="J24" s="5"/>
      <c r="K24" s="5"/>
      <c r="L24" s="5"/>
      <c r="M24" s="5"/>
    </row>
    <row r="25" ht="14.25" customHeight="1">
      <c r="A25" s="12" t="s">
        <v>93</v>
      </c>
      <c r="B25" s="84"/>
      <c r="C25" s="84"/>
      <c r="D25" s="84"/>
      <c r="E25" s="84"/>
      <c r="F25" s="84">
        <f>(F23/B3) ^ (1 / 1) - 1</f>
        <v>1.01041900161202</v>
      </c>
      <c r="G25" s="84">
        <f>(G23/B3) ^ (1 / 2) - 1</f>
        <v>0.453746619471019</v>
      </c>
      <c r="H25" s="125">
        <f>(H23/B3) ^ (1 / 3) - 1</f>
        <v>0.294402414120318</v>
      </c>
      <c r="I25" s="5"/>
      <c r="J25" s="5"/>
      <c r="K25" s="5"/>
      <c r="L25" s="5"/>
      <c r="M25" s="5"/>
    </row>
    <row r="26" ht="14.25" customHeight="1">
      <c r="A26" s="5"/>
      <c r="B26" s="5"/>
      <c r="C26" s="5"/>
      <c r="D26" s="5"/>
      <c r="E26" s="5"/>
      <c r="F26" s="5"/>
      <c r="G26" s="5"/>
      <c r="H26" s="5"/>
      <c r="I26" s="5"/>
      <c r="J26" s="5"/>
      <c r="K26" s="5"/>
      <c r="L26" s="5"/>
      <c r="M26" s="5"/>
    </row>
    <row r="27" ht="14.25" customHeight="1">
      <c r="A27" s="6" t="s">
        <v>60</v>
      </c>
      <c r="B27" s="6" t="s">
        <v>113</v>
      </c>
      <c r="C27" s="6"/>
      <c r="D27" s="6"/>
      <c r="E27" s="6"/>
      <c r="F27" s="6"/>
      <c r="G27" s="6"/>
      <c r="H27" s="6"/>
      <c r="I27" s="6"/>
      <c r="J27" s="6"/>
      <c r="K27" s="6"/>
      <c r="L27" s="6"/>
      <c r="M27" s="6"/>
    </row>
    <row r="28" ht="14.25" customHeight="1">
      <c r="A28" s="10" t="s">
        <v>62</v>
      </c>
      <c r="B28" s="10" t="inlineStr">
        <is>
          <t xml:space="preserve">Dec '22</t>
        </is>
      </c>
      <c r="C28" s="10" t="inlineStr">
        <is>
          <t xml:space="preserve">Dec '23</t>
        </is>
      </c>
      <c r="D28" s="10" t="inlineStr">
        <is>
          <t xml:space="preserve">Dec '24</t>
        </is>
      </c>
      <c r="E28" s="10" t="inlineStr">
        <is>
          <t xml:space="preserve">Dec '25</t>
        </is>
      </c>
      <c r="F28" s="10" t="s">
        <v>67</v>
      </c>
      <c r="G28" s="10" t="s">
        <v>68</v>
      </c>
      <c r="H28" s="10" t="s">
        <v>69</v>
      </c>
      <c r="I28" s="5"/>
      <c r="J28" s="5"/>
      <c r="K28" s="5"/>
      <c r="L28" s="5"/>
      <c r="M28" s="5"/>
    </row>
    <row r="29" ht="14.25" customHeight="1">
      <c r="A29" s="12" t="s">
        <v>70</v>
      </c>
      <c r="B29" s="15">
        <f t="shared" ref="B29:F29" si="6">B7</f>
        <v>305090.362</v>
      </c>
      <c r="C29" s="15">
        <f t="shared" si="6"/>
        <v>463447.072</v>
      </c>
      <c r="D29" s="15">
        <f t="shared" si="6"/>
        <v>397831.327</v>
      </c>
      <c r="E29" s="15">
        <f t="shared" si="6"/>
        <v>243531.19</v>
      </c>
      <c r="F29" s="15">
        <f t="shared" si="6"/>
        <v>188525.82</v>
      </c>
      <c r="G29" s="19"/>
      <c r="H29" s="19"/>
      <c r="I29" s="5"/>
      <c r="J29" s="21" t="s">
        <v>73</v>
      </c>
      <c r="K29" s="5"/>
      <c r="L29" s="5"/>
      <c r="M29" s="5"/>
    </row>
    <row r="30" ht="14.25" customHeight="1">
      <c r="A30" s="12" t="s">
        <v>74</v>
      </c>
      <c r="B30" s="99">
        <f t="shared" ref="B30:E30" si="7">B8</f>
        <v>32.3679262017675</v>
      </c>
      <c r="C30" s="99">
        <f t="shared" si="7"/>
        <v>37.1030613798614</v>
      </c>
      <c r="D30" s="99">
        <f t="shared" si="7"/>
        <v>32.1953386408588</v>
      </c>
      <c r="E30" s="99">
        <f t="shared" si="7"/>
        <v>27.348716535168</v>
      </c>
      <c r="F30" s="34">
        <f>IFERROR(IF(J30&lt;&gt;"",J30,F19*1.1),"")</f>
        <v>30.0835881886847</v>
      </c>
      <c r="G30" s="34">
        <f>F30</f>
        <v>30.0835881886847</v>
      </c>
      <c r="H30" s="34">
        <f>F30</f>
        <v>30.0835881886847</v>
      </c>
      <c r="I30" s="5"/>
      <c r="J30" s="39"/>
      <c r="K30" s="5"/>
      <c r="L30" s="5"/>
      <c r="M30" s="5"/>
    </row>
    <row r="31" ht="14.25" customHeight="1">
      <c r="A31" s="12" t="s">
        <v>81</v>
      </c>
      <c r="B31" s="19">
        <f>B18/B19</f>
        <v>9425.7</v>
      </c>
      <c r="C31" s="19">
        <f>'Financials Multiples'!B103</f>
        <v>12490.8041213965</v>
      </c>
      <c r="D31" s="19">
        <f>'Financials Multiples'!C103</f>
        <v>12356.7989589374</v>
      </c>
      <c r="E31" s="19">
        <f>'Financials Multiples'!D103</f>
        <v>8904.66613622768</v>
      </c>
      <c r="F31" s="19">
        <f>'Financials Multiples'!E103</f>
        <v>12376.9503097358</v>
      </c>
      <c r="G31" s="19">
        <f>'Financials Multiples'!F103</f>
        <v>12329.5872545343</v>
      </c>
      <c r="H31" s="19">
        <f>'Financials Multiples'!G103</f>
        <v>11841.7749643226</v>
      </c>
      <c r="I31" s="5"/>
      <c r="J31" s="5"/>
      <c r="K31" s="5"/>
      <c r="L31" s="5"/>
      <c r="M31" s="5"/>
    </row>
    <row r="32" ht="14.25" customHeight="1">
      <c r="A32" s="49" t="s">
        <v>83</v>
      </c>
      <c r="B32" s="57"/>
      <c r="C32" s="57"/>
      <c r="D32" s="57"/>
      <c r="E32" s="57"/>
      <c r="F32" s="57">
        <f>F30*(F31/'Financials Multiples'!E110)</f>
        <v>83.8195209918295</v>
      </c>
      <c r="G32" s="57">
        <f>G30*(G31/'Financials Multiples'!F110)</f>
        <v>83.9395775391465</v>
      </c>
      <c r="H32" s="57">
        <f>H30*(H31/'Financials Multiples'!G110)</f>
        <v>81.0441660848075</v>
      </c>
      <c r="I32" s="5"/>
      <c r="J32" s="5"/>
      <c r="K32" s="5"/>
      <c r="L32" s="5"/>
      <c r="M32" s="5"/>
    </row>
    <row r="33" ht="14.25" customHeight="1">
      <c r="A33" s="12" t="s">
        <v>85</v>
      </c>
      <c r="B33" s="19"/>
      <c r="C33" s="19"/>
      <c r="D33" s="19"/>
      <c r="E33" s="19"/>
      <c r="F33" s="19">
        <f>'Financials Multiples'!E114</f>
        <v>1.8266</v>
      </c>
      <c r="G33" s="19">
        <f>'Financials Multiples'!F114</f>
        <v>1.95525136250418</v>
      </c>
      <c r="H33" s="19">
        <f>'Financials Multiples'!G114</f>
        <v>2.08390272500836</v>
      </c>
      <c r="I33" s="5"/>
      <c r="J33" s="5"/>
      <c r="K33" s="5"/>
      <c r="L33" s="5"/>
      <c r="M33" s="5"/>
    </row>
    <row r="34" ht="14.25" customHeight="1">
      <c r="A34" s="49" t="s">
        <v>87</v>
      </c>
      <c r="B34" s="57"/>
      <c r="C34" s="57"/>
      <c r="D34" s="57"/>
      <c r="E34" s="57"/>
      <c r="F34" s="57">
        <f t="shared" ref="F34:H34" si="8">F32+F33</f>
        <v>85.6461209918295</v>
      </c>
      <c r="G34" s="57">
        <f t="shared" si="8"/>
        <v>85.8948289016507</v>
      </c>
      <c r="H34" s="78">
        <f t="shared" si="8"/>
        <v>83.1280688098159</v>
      </c>
      <c r="I34" s="5"/>
      <c r="J34" s="5"/>
      <c r="K34" s="5"/>
      <c r="L34" s="5"/>
      <c r="M34" s="5"/>
    </row>
    <row r="35" ht="14.25" customHeight="1">
      <c r="A35" s="49" t="s">
        <v>89</v>
      </c>
      <c r="B35" s="79"/>
      <c r="C35" s="79"/>
      <c r="D35" s="79"/>
      <c r="E35" s="79"/>
      <c r="F35" s="79">
        <f>(F34-B3)/B3</f>
        <v>1.17375941603628</v>
      </c>
      <c r="G35" s="79">
        <f>(G34-B3)/B3</f>
        <v>1.18007179953428</v>
      </c>
      <c r="H35" s="118">
        <f>(H34-B3)/B3</f>
        <v>1.10984946217807</v>
      </c>
      <c r="I35" s="5"/>
      <c r="J35" s="5"/>
      <c r="K35" s="5"/>
      <c r="L35" s="5"/>
      <c r="M35" s="5"/>
    </row>
    <row r="36" ht="14.25" customHeight="1">
      <c r="A36" s="12" t="s">
        <v>93</v>
      </c>
      <c r="B36" s="84"/>
      <c r="C36" s="84"/>
      <c r="D36" s="84"/>
      <c r="E36" s="84"/>
      <c r="F36" s="84">
        <f>(F34/B3) ^ (1 / 1) - 1</f>
        <v>1.17375941603628</v>
      </c>
      <c r="G36" s="84">
        <f>(G34/B3) ^ (1 / 2) - 1</f>
        <v>0.476506620213496</v>
      </c>
      <c r="H36" s="125">
        <f>(H34/B3) ^ (1 / 3) - 1</f>
        <v>0.282578109114445</v>
      </c>
      <c r="I36" s="5"/>
      <c r="J36" s="5"/>
      <c r="K36" s="5"/>
      <c r="L36" s="5"/>
      <c r="M36" s="5"/>
    </row>
    <row r="37" ht="14.25" customHeight="1">
      <c r="A37" s="5"/>
      <c r="B37" s="5"/>
      <c r="C37" s="5"/>
      <c r="D37" s="5"/>
      <c r="E37" s="5"/>
      <c r="F37" s="5"/>
      <c r="G37" s="5"/>
      <c r="H37" s="5"/>
      <c r="I37" s="5"/>
      <c r="J37" s="5"/>
      <c r="K37" s="5"/>
      <c r="L37" s="5"/>
      <c r="M37" s="5"/>
    </row>
    <row r="38" ht="14.25" customHeight="1">
      <c r="A38" s="5"/>
      <c r="B38" s="5"/>
      <c r="C38" s="5"/>
      <c r="D38" s="5"/>
      <c r="E38" s="5"/>
      <c r="F38" s="5"/>
      <c r="G38" s="5"/>
      <c r="H38" s="5"/>
      <c r="I38" s="5"/>
      <c r="J38" s="5"/>
      <c r="K38" s="5"/>
      <c r="L38" s="5"/>
      <c r="M38" s="5"/>
    </row>
    <row r="39" ht="14.25" customHeight="1">
      <c r="A39" s="5" t="s">
        <v>139</v>
      </c>
      <c r="B39" s="5">
        <f>MEDIAN('Trailing Valuation'!B24:K24)</f>
        <v>26.5185641742561</v>
      </c>
      <c r="C39" s="5"/>
      <c r="D39" s="5"/>
      <c r="E39" s="5"/>
      <c r="F39" s="5"/>
      <c r="G39" s="5"/>
      <c r="H39" s="5"/>
      <c r="I39" s="5"/>
      <c r="J39" s="5"/>
      <c r="K39" s="5"/>
      <c r="L39" s="5"/>
      <c r="M39" s="5"/>
    </row>
    <row r="40" ht="14.25" customHeight="1">
      <c r="A40" s="5" t="s">
        <v>140</v>
      </c>
      <c r="B40" s="5">
        <f>MEDIAN('Trailing Valuation'!G24:K24)</f>
        <v>33.4644222937595</v>
      </c>
      <c r="C40" s="5"/>
      <c r="D40" s="5"/>
      <c r="E40" s="5"/>
      <c r="F40" s="5"/>
      <c r="G40" s="5"/>
      <c r="H40" s="5"/>
      <c r="I40" s="5"/>
      <c r="J40" s="5"/>
      <c r="K40" s="5"/>
      <c r="L40" s="5"/>
      <c r="M40" s="5"/>
    </row>
    <row r="41" ht="14.25" customHeight="1">
      <c r="A41" s="5" t="s">
        <v>141</v>
      </c>
      <c r="B41" s="5">
        <f>MEDIAN('Trailing Valuation'!I24:K24)</f>
        <v>37.1558430387313</v>
      </c>
      <c r="C41" s="5"/>
      <c r="D41" s="5"/>
      <c r="E41" s="5"/>
      <c r="F41" s="5"/>
      <c r="G41" s="5"/>
      <c r="H41" s="5"/>
      <c r="I41" s="5"/>
      <c r="J41" s="5"/>
      <c r="K41" s="5"/>
      <c r="L41" s="5"/>
      <c r="M41" s="5"/>
    </row>
    <row r="42" ht="14.25" customHeight="1">
      <c r="A42" s="5" t="s">
        <v>142</v>
      </c>
      <c r="B42" s="5">
        <f>'Trailing Valuation'!L24</f>
        <v>15.9226543694732</v>
      </c>
      <c r="C42" s="5"/>
      <c r="D42" s="5"/>
      <c r="E42" s="5"/>
      <c r="F42" s="5"/>
      <c r="G42" s="5"/>
      <c r="H42" s="5"/>
      <c r="I42" s="5"/>
      <c r="J42" s="5"/>
      <c r="K42" s="5"/>
      <c r="L42" s="5"/>
      <c r="M42" s="5"/>
    </row>
    <row r="43" ht="14.25" customHeight="1">
      <c r="A43" s="5"/>
      <c r="B43" s="5"/>
      <c r="C43" s="5"/>
      <c r="D43" s="5"/>
      <c r="E43" s="5"/>
      <c r="F43" s="5"/>
      <c r="G43" s="5"/>
      <c r="H43" s="5"/>
      <c r="I43" s="5"/>
      <c r="J43" s="5"/>
      <c r="K43" s="5"/>
      <c r="L43" s="5"/>
      <c r="M43" s="5"/>
    </row>
    <row r="44" ht="14.25" customHeight="1">
      <c r="A44" s="5"/>
      <c r="B44" s="5"/>
      <c r="C44" s="5"/>
      <c r="D44" s="5"/>
      <c r="E44" s="5"/>
      <c r="F44" s="5"/>
      <c r="G44" s="5"/>
      <c r="H44" s="5"/>
      <c r="I44" s="5"/>
      <c r="J44" s="5"/>
      <c r="K44" s="5"/>
      <c r="L44" s="5"/>
      <c r="M44" s="5"/>
    </row>
    <row r="45" ht="14.25" customHeight="1">
      <c r="A45" s="131" t="s">
        <v>133</v>
      </c>
      <c r="B45" s="5"/>
      <c r="C45" s="5"/>
      <c r="D45" s="5"/>
      <c r="E45" s="5"/>
      <c r="F45" s="5"/>
      <c r="G45" s="5"/>
      <c r="H45" s="5"/>
      <c r="I45" s="5"/>
      <c r="J45" s="5"/>
      <c r="K45" s="5"/>
      <c r="L45" s="5"/>
      <c r="M45" s="5"/>
    </row>
    <row r="46" ht="14.25" customHeight="1">
      <c r="A46" s="132" t="s">
        <v>143</v>
      </c>
      <c r="B46" s="133">
        <f>$H$20*0.9</f>
        <v>12059.0087743375</v>
      </c>
      <c r="C46" s="133">
        <f>$H$20*0.95</f>
        <v>12728.9537062452</v>
      </c>
      <c r="D46" s="133">
        <f>$H$20</f>
        <v>13398.8986381528</v>
      </c>
      <c r="E46" s="133">
        <f>$H$20*1.05</f>
        <v>14068.8435700604</v>
      </c>
      <c r="F46" s="134">
        <f>$H$20*1.1</f>
        <v>14738.7885019681</v>
      </c>
      <c r="G46" s="5"/>
      <c r="H46" s="5"/>
      <c r="I46" s="5"/>
      <c r="J46" s="5"/>
      <c r="K46" s="5"/>
      <c r="L46" s="5"/>
      <c r="M46" s="5"/>
    </row>
    <row r="47" ht="14.25" customHeight="1">
      <c r="A47" s="135">
        <f>$F$19*0.9</f>
        <v>24.6138448816512</v>
      </c>
      <c r="B47" s="136">
        <f>$A47*(B$46/'Financials Multiples'!$E$70)</f>
        <v>66.8179216149687</v>
      </c>
      <c r="C47" s="136">
        <f>$A47*(C$46/'Financials Multiples'!$E$70)</f>
        <v>70.5300283713558</v>
      </c>
      <c r="D47" s="136">
        <f>$A47*(D$46/'Financials Multiples'!$E$70)</f>
        <v>74.2421351277429</v>
      </c>
      <c r="E47" s="136">
        <f>$A47*(E$46/'Financials Multiples'!$E$70)</f>
        <v>77.9542418841301</v>
      </c>
      <c r="F47" s="137">
        <f>$A47*(F$46/'Financials Multiples'!$E$70)</f>
        <v>81.6663486405172</v>
      </c>
      <c r="G47" s="5"/>
      <c r="H47" s="5"/>
      <c r="I47" s="5"/>
      <c r="J47" s="5"/>
      <c r="K47" s="5"/>
      <c r="L47" s="5"/>
      <c r="M47" s="5"/>
    </row>
    <row r="48" ht="14.25" customHeight="1">
      <c r="A48" s="135">
        <f>$F$19*0.95</f>
        <v>25.9812807084096</v>
      </c>
      <c r="B48" s="136">
        <f>$A48*(B$46/'Financials Multiples'!$E$70)</f>
        <v>70.5300283713558</v>
      </c>
      <c r="C48" s="136">
        <f>$A48*(C$46/'Financials Multiples'!$E$70)</f>
        <v>74.4483632808756</v>
      </c>
      <c r="D48" s="136">
        <f>$A48*(D$46/'Financials Multiples'!$E$70)</f>
        <v>78.3666981903953</v>
      </c>
      <c r="E48" s="136">
        <f>$A48*(E$46/'Financials Multiples'!$E$70)</f>
        <v>82.2850330999151</v>
      </c>
      <c r="F48" s="137">
        <f>$A48*(F$46/'Financials Multiples'!$E$70)</f>
        <v>86.2033680094349</v>
      </c>
      <c r="G48" s="5"/>
      <c r="H48" s="5"/>
      <c r="I48" s="5"/>
      <c r="J48" s="5"/>
      <c r="K48" s="5"/>
      <c r="L48" s="5"/>
      <c r="M48" s="5"/>
    </row>
    <row r="49" ht="14.25" customHeight="1">
      <c r="A49" s="135">
        <f>$F$19</f>
        <v>27.348716535168</v>
      </c>
      <c r="B49" s="136">
        <f>$A49*(B$46/'Financials Multiples'!$E$70)</f>
        <v>74.2421351277429</v>
      </c>
      <c r="C49" s="136">
        <f>$A49*(C$46/'Financials Multiples'!$E$70)</f>
        <v>78.3666981903953</v>
      </c>
      <c r="D49" s="136">
        <f>$A49*(D$46/'Financials Multiples'!$E$70)</f>
        <v>82.4912612530477</v>
      </c>
      <c r="E49" s="136">
        <f>$A49*(E$46/'Financials Multiples'!$E$70)</f>
        <v>86.6158243157001</v>
      </c>
      <c r="F49" s="137">
        <f>$A49*(F$46/'Financials Multiples'!$E$70)</f>
        <v>90.7403873783525</v>
      </c>
      <c r="G49" s="5"/>
      <c r="H49" s="5"/>
      <c r="I49" s="5"/>
      <c r="J49" s="5"/>
      <c r="K49" s="5"/>
      <c r="L49" s="5"/>
      <c r="M49" s="5"/>
    </row>
    <row r="50" ht="14.25" customHeight="1">
      <c r="A50" s="135">
        <f>$F$19*1.05</f>
        <v>28.7161523619263</v>
      </c>
      <c r="B50" s="136">
        <f>$A50*(B$46/'Financials Multiples'!$E$70)</f>
        <v>77.9542418841301</v>
      </c>
      <c r="C50" s="136">
        <f>$A50*(C$46/'Financials Multiples'!$E$70)</f>
        <v>82.2850330999151</v>
      </c>
      <c r="D50" s="136">
        <f>$A50*(D$46/'Financials Multiples'!$E$70)</f>
        <v>86.6158243157001</v>
      </c>
      <c r="E50" s="136">
        <f>$A50*(E$46/'Financials Multiples'!$E$70)</f>
        <v>90.9466155314851</v>
      </c>
      <c r="F50" s="137">
        <f>$A50*(F$46/'Financials Multiples'!$E$70)</f>
        <v>95.2774067472701</v>
      </c>
      <c r="G50" s="5"/>
      <c r="H50" s="5"/>
      <c r="I50" s="5"/>
      <c r="J50" s="5"/>
      <c r="K50" s="5"/>
      <c r="L50" s="5"/>
      <c r="M50" s="5"/>
    </row>
    <row r="51" ht="14.25" customHeight="1">
      <c r="A51" s="143">
        <f>$F$19*1.1</f>
        <v>30.0835881886847</v>
      </c>
      <c r="B51" s="144">
        <f>$A51*(B$46/'Financials Multiples'!$E$70)</f>
        <v>81.6663486405172</v>
      </c>
      <c r="C51" s="144">
        <f>$A51*(C$46/'Financials Multiples'!$E$70)</f>
        <v>86.2033680094349</v>
      </c>
      <c r="D51" s="144">
        <f>$A51*(D$46/'Financials Multiples'!$E$70)</f>
        <v>90.7403873783525</v>
      </c>
      <c r="E51" s="144">
        <f>$A51*(E$46/'Financials Multiples'!$E$70)</f>
        <v>95.2774067472701</v>
      </c>
      <c r="F51" s="146">
        <f>$A51*(F$46/'Financials Multiples'!$E$70)</f>
        <v>99.8144261161878</v>
      </c>
      <c r="G51" s="5"/>
      <c r="H51" s="5"/>
      <c r="I51" s="5"/>
      <c r="J51" s="5"/>
      <c r="K51" s="5"/>
      <c r="L51" s="5"/>
      <c r="M51" s="5"/>
    </row>
    <row r="52" ht="14.25" customHeight="1">
      <c r="A52" s="5"/>
      <c r="B52" s="5"/>
      <c r="C52" s="5"/>
      <c r="D52" s="5"/>
      <c r="E52" s="5"/>
      <c r="F52" s="5"/>
      <c r="G52" s="5"/>
      <c r="H52" s="5"/>
      <c r="I52" s="5"/>
      <c r="J52" s="5"/>
      <c r="K52" s="5"/>
      <c r="L52" s="5"/>
      <c r="M52" s="5"/>
    </row>
    <row r="53" ht="14.25" customHeight="1">
      <c r="A53" s="5"/>
      <c r="B53" s="5"/>
      <c r="C53" s="5"/>
      <c r="D53" s="5"/>
      <c r="E53" s="5"/>
      <c r="F53" s="5"/>
      <c r="G53" s="5"/>
      <c r="H53" s="5"/>
      <c r="I53" s="5"/>
      <c r="J53" s="5"/>
      <c r="K53" s="5"/>
      <c r="L53" s="5"/>
      <c r="M53" s="5"/>
    </row>
    <row r="54" ht="14.25" customHeight="1">
      <c r="A54" s="5"/>
      <c r="B54" s="5"/>
      <c r="C54" s="5"/>
      <c r="D54" s="5"/>
      <c r="E54" s="5"/>
      <c r="F54" s="5"/>
      <c r="G54" s="5"/>
      <c r="H54" s="5"/>
      <c r="I54" s="5"/>
      <c r="J54" s="5"/>
      <c r="K54" s="5"/>
      <c r="L54" s="5"/>
      <c r="M54" s="5"/>
    </row>
    <row r="55" ht="14.25" customHeight="1">
      <c r="A55" s="5"/>
      <c r="B55" s="5"/>
      <c r="C55" s="5"/>
      <c r="D55" s="5"/>
      <c r="E55" s="5"/>
      <c r="F55" s="5"/>
      <c r="G55" s="5"/>
      <c r="H55" s="5"/>
      <c r="I55" s="5"/>
      <c r="J55" s="5"/>
      <c r="K55" s="5"/>
      <c r="L55" s="5"/>
      <c r="M55" s="5"/>
    </row>
    <row r="56" ht="14.25" customHeight="1">
      <c r="A56" s="5"/>
      <c r="B56" s="5"/>
      <c r="C56" s="5"/>
      <c r="D56" s="5"/>
      <c r="E56" s="5"/>
      <c r="F56" s="5"/>
      <c r="G56" s="5"/>
      <c r="H56" s="5"/>
      <c r="I56" s="5"/>
      <c r="J56" s="5"/>
      <c r="K56" s="5"/>
      <c r="L56" s="5"/>
      <c r="M56" s="5"/>
    </row>
    <row r="57" ht="14.25" customHeight="1">
      <c r="A57" s="5"/>
      <c r="B57" s="5"/>
      <c r="C57" s="5"/>
      <c r="D57" s="5"/>
      <c r="E57" s="5"/>
      <c r="F57" s="5"/>
      <c r="G57" s="5"/>
      <c r="H57" s="5"/>
      <c r="I57" s="5"/>
      <c r="J57" s="5"/>
      <c r="K57" s="5"/>
      <c r="L57" s="5"/>
      <c r="M57" s="5"/>
    </row>
    <row r="58" ht="14.25" customHeight="1">
      <c r="A58" s="5"/>
      <c r="B58" s="5"/>
      <c r="C58" s="5"/>
      <c r="D58" s="5"/>
      <c r="E58" s="5"/>
      <c r="F58" s="5"/>
      <c r="G58" s="5"/>
      <c r="H58" s="5"/>
      <c r="I58" s="5"/>
      <c r="J58" s="5"/>
      <c r="K58" s="5"/>
      <c r="L58" s="5"/>
      <c r="M58" s="5"/>
    </row>
    <row r="59" ht="14.25" customHeight="1">
      <c r="A59" s="5"/>
      <c r="B59" s="5"/>
      <c r="C59" s="5"/>
      <c r="D59" s="5"/>
      <c r="E59" s="5"/>
      <c r="F59" s="5"/>
      <c r="G59" s="5"/>
      <c r="H59" s="5"/>
      <c r="I59" s="5"/>
      <c r="J59" s="5"/>
      <c r="K59" s="5"/>
      <c r="L59" s="5"/>
      <c r="M59" s="5"/>
    </row>
    <row r="60" ht="14.25" customHeight="1">
      <c r="A60" s="5"/>
      <c r="B60" s="5"/>
      <c r="C60" s="5"/>
      <c r="D60" s="5"/>
      <c r="E60" s="5"/>
      <c r="F60" s="5"/>
      <c r="G60" s="5"/>
      <c r="H60" s="5"/>
      <c r="I60" s="5"/>
      <c r="J60" s="5"/>
      <c r="K60" s="5"/>
      <c r="L60" s="5"/>
      <c r="M60" s="5"/>
    </row>
    <row r="61" ht="14.25" customHeight="1">
      <c r="A61" s="5"/>
      <c r="B61" s="5"/>
      <c r="C61" s="5"/>
      <c r="D61" s="5"/>
      <c r="E61" s="5"/>
      <c r="F61" s="5"/>
      <c r="G61" s="5"/>
      <c r="H61" s="5"/>
      <c r="I61" s="5"/>
      <c r="J61" s="5"/>
      <c r="K61" s="5"/>
      <c r="L61" s="5"/>
      <c r="M61" s="5"/>
    </row>
    <row r="62" ht="14.25" customHeight="1">
      <c r="A62" s="5"/>
      <c r="B62" s="5"/>
      <c r="C62" s="5"/>
      <c r="D62" s="5"/>
      <c r="E62" s="5"/>
      <c r="F62" s="5"/>
      <c r="G62" s="5"/>
      <c r="H62" s="5"/>
      <c r="I62" s="5"/>
      <c r="J62" s="5"/>
      <c r="K62" s="5"/>
      <c r="L62" s="5"/>
      <c r="M62" s="5"/>
    </row>
    <row r="63" ht="14.25" customHeight="1">
      <c r="A63" s="5"/>
      <c r="B63" s="5"/>
      <c r="C63" s="5"/>
      <c r="D63" s="5"/>
      <c r="E63" s="5"/>
      <c r="F63" s="5"/>
      <c r="G63" s="5"/>
      <c r="H63" s="5"/>
      <c r="I63" s="5"/>
      <c r="J63" s="5"/>
      <c r="K63" s="5"/>
      <c r="L63" s="5"/>
      <c r="M63" s="5"/>
    </row>
    <row r="64" ht="14.25" customHeight="1">
      <c r="A64" s="5"/>
      <c r="B64" s="5"/>
      <c r="C64" s="5"/>
      <c r="D64" s="5"/>
      <c r="E64" s="5"/>
      <c r="F64" s="5"/>
      <c r="G64" s="5"/>
      <c r="H64" s="5"/>
      <c r="I64" s="5"/>
      <c r="J64" s="5"/>
      <c r="K64" s="5"/>
      <c r="L64" s="5"/>
      <c r="M64" s="5"/>
    </row>
    <row r="65" ht="14.25" customHeight="1">
      <c r="A65" s="5"/>
      <c r="B65" s="5"/>
      <c r="C65" s="5"/>
      <c r="D65" s="5"/>
      <c r="E65" s="5"/>
      <c r="F65" s="5"/>
      <c r="G65" s="5"/>
      <c r="H65" s="5"/>
      <c r="I65" s="5"/>
      <c r="J65" s="5"/>
      <c r="K65" s="5"/>
      <c r="L65" s="5"/>
      <c r="M65" s="5"/>
    </row>
    <row r="66" ht="14.25" customHeight="1">
      <c r="A66" s="5"/>
      <c r="B66" s="5"/>
      <c r="C66" s="5"/>
      <c r="D66" s="5"/>
      <c r="E66" s="5"/>
      <c r="F66" s="5"/>
      <c r="G66" s="5"/>
      <c r="H66" s="5"/>
      <c r="I66" s="5"/>
      <c r="J66" s="5"/>
      <c r="K66" s="5"/>
      <c r="L66" s="5"/>
      <c r="M66" s="5"/>
    </row>
    <row r="67" ht="15.75" customHeight="1">
      <c r="A67" s="77"/>
      <c r="B67" s="77"/>
      <c r="C67" s="77"/>
      <c r="D67" s="77"/>
      <c r="E67" s="77"/>
      <c r="F67" s="77"/>
      <c r="G67" s="77"/>
      <c r="H67" s="77"/>
      <c r="I67" s="77"/>
      <c r="J67" s="77"/>
      <c r="K67" s="77"/>
      <c r="L67" s="77"/>
      <c r="M67" s="77"/>
    </row>
    <row r="68" ht="15.75" customHeight="1">
      <c r="A68" s="77"/>
      <c r="B68" s="77"/>
      <c r="C68" s="77"/>
      <c r="D68" s="77"/>
      <c r="E68" s="77"/>
      <c r="F68" s="77"/>
      <c r="G68" s="77"/>
      <c r="H68" s="77"/>
      <c r="I68" s="77"/>
      <c r="J68" s="77"/>
      <c r="K68" s="77"/>
      <c r="L68" s="77"/>
      <c r="M68" s="77"/>
    </row>
    <row r="69" ht="15.75" customHeight="1">
      <c r="A69" s="77"/>
      <c r="B69" s="77"/>
      <c r="C69" s="77"/>
      <c r="D69" s="77"/>
      <c r="E69" s="77"/>
      <c r="F69" s="77"/>
      <c r="G69" s="77"/>
      <c r="H69" s="77"/>
      <c r="I69" s="77"/>
      <c r="J69" s="77"/>
      <c r="K69" s="77"/>
      <c r="L69" s="77"/>
      <c r="M69" s="77"/>
    </row>
    <row r="70" ht="15.75" customHeight="1">
      <c r="A70" s="77"/>
      <c r="B70" s="77"/>
      <c r="C70" s="77"/>
      <c r="D70" s="77"/>
      <c r="E70" s="77"/>
      <c r="F70" s="77"/>
      <c r="G70" s="77"/>
      <c r="H70" s="77"/>
      <c r="I70" s="77"/>
      <c r="J70" s="77"/>
      <c r="K70" s="77"/>
      <c r="L70" s="77"/>
      <c r="M70" s="77"/>
    </row>
    <row r="71" ht="15.75" customHeight="1">
      <c r="A71" s="77"/>
      <c r="B71" s="77"/>
      <c r="C71" s="77"/>
      <c r="D71" s="77"/>
      <c r="E71" s="77"/>
      <c r="F71" s="77"/>
      <c r="G71" s="77"/>
      <c r="H71" s="77"/>
      <c r="I71" s="77"/>
      <c r="J71" s="77"/>
      <c r="K71" s="77"/>
      <c r="L71" s="77"/>
      <c r="M71" s="77"/>
    </row>
    <row r="72" ht="15.75" customHeight="1">
      <c r="A72" s="77"/>
      <c r="B72" s="77"/>
      <c r="C72" s="77"/>
      <c r="D72" s="77"/>
      <c r="E72" s="77"/>
      <c r="F72" s="77"/>
      <c r="G72" s="77"/>
      <c r="H72" s="77"/>
      <c r="I72" s="77"/>
      <c r="J72" s="77"/>
      <c r="K72" s="77"/>
      <c r="L72" s="77"/>
      <c r="M72" s="77"/>
    </row>
    <row r="73" ht="15.75" customHeight="1">
      <c r="A73" s="77"/>
      <c r="B73" s="77"/>
      <c r="C73" s="77"/>
      <c r="D73" s="77"/>
      <c r="E73" s="77"/>
      <c r="F73" s="77"/>
      <c r="G73" s="77"/>
      <c r="H73" s="77"/>
      <c r="I73" s="77"/>
      <c r="J73" s="77"/>
      <c r="K73" s="77"/>
      <c r="L73" s="77"/>
      <c r="M73" s="77"/>
    </row>
    <row r="74" ht="15.75" customHeight="1">
      <c r="A74" s="77"/>
      <c r="B74" s="77"/>
      <c r="C74" s="77"/>
      <c r="D74" s="77"/>
      <c r="E74" s="77"/>
      <c r="F74" s="77"/>
      <c r="G74" s="77"/>
      <c r="H74" s="77"/>
      <c r="I74" s="77"/>
      <c r="J74" s="77"/>
      <c r="K74" s="77"/>
      <c r="L74" s="77"/>
      <c r="M74" s="77"/>
    </row>
    <row r="75" ht="15.75" customHeight="1">
      <c r="A75" s="77"/>
      <c r="B75" s="77"/>
      <c r="C75" s="77"/>
      <c r="D75" s="77"/>
      <c r="E75" s="77"/>
      <c r="F75" s="77"/>
      <c r="G75" s="77"/>
      <c r="H75" s="77"/>
      <c r="I75" s="77"/>
      <c r="J75" s="77"/>
      <c r="K75" s="77"/>
      <c r="L75" s="77"/>
      <c r="M75" s="77"/>
    </row>
    <row r="76" ht="15.75" customHeight="1">
      <c r="A76" s="77"/>
      <c r="B76" s="77"/>
      <c r="C76" s="77"/>
      <c r="D76" s="77"/>
      <c r="E76" s="77"/>
      <c r="F76" s="77"/>
      <c r="G76" s="77"/>
      <c r="H76" s="77"/>
      <c r="I76" s="77"/>
      <c r="J76" s="77"/>
      <c r="K76" s="77"/>
      <c r="L76" s="77"/>
      <c r="M76" s="77"/>
    </row>
    <row r="77" ht="15.75" customHeight="1">
      <c r="A77" s="77"/>
      <c r="B77" s="77"/>
      <c r="C77" s="77"/>
      <c r="D77" s="77"/>
      <c r="E77" s="77"/>
      <c r="F77" s="77"/>
      <c r="G77" s="77"/>
      <c r="H77" s="77"/>
      <c r="I77" s="77"/>
      <c r="J77" s="77"/>
      <c r="K77" s="77"/>
      <c r="L77" s="77"/>
      <c r="M77" s="77"/>
    </row>
    <row r="78" ht="15.75" customHeight="1">
      <c r="A78" s="77"/>
      <c r="B78" s="77"/>
      <c r="C78" s="77"/>
      <c r="D78" s="77"/>
      <c r="E78" s="77"/>
      <c r="F78" s="77"/>
      <c r="G78" s="77"/>
      <c r="H78" s="77"/>
      <c r="I78" s="77"/>
      <c r="J78" s="77"/>
      <c r="K78" s="77"/>
      <c r="L78" s="77"/>
      <c r="M78" s="77"/>
    </row>
    <row r="79" ht="15.75" customHeight="1">
      <c r="A79" s="77"/>
      <c r="B79" s="77"/>
      <c r="C79" s="77"/>
      <c r="D79" s="77"/>
      <c r="E79" s="77"/>
      <c r="F79" s="77"/>
      <c r="G79" s="77"/>
      <c r="H79" s="77"/>
      <c r="I79" s="77"/>
      <c r="J79" s="77"/>
      <c r="K79" s="77"/>
      <c r="L79" s="77"/>
      <c r="M79" s="77"/>
    </row>
    <row r="80" ht="15.75" customHeight="1">
      <c r="A80" s="77"/>
      <c r="B80" s="77"/>
      <c r="C80" s="77"/>
      <c r="D80" s="77"/>
      <c r="E80" s="77"/>
      <c r="F80" s="77"/>
      <c r="G80" s="77"/>
      <c r="H80" s="77"/>
      <c r="I80" s="77"/>
      <c r="J80" s="77"/>
      <c r="K80" s="77"/>
      <c r="L80" s="77"/>
      <c r="M80" s="77"/>
    </row>
    <row r="81" ht="15.75" customHeight="1">
      <c r="A81" s="77"/>
      <c r="B81" s="77"/>
      <c r="C81" s="77"/>
      <c r="D81" s="77"/>
      <c r="E81" s="77"/>
      <c r="F81" s="77"/>
      <c r="G81" s="77"/>
      <c r="H81" s="77"/>
      <c r="I81" s="77"/>
      <c r="J81" s="77"/>
      <c r="K81" s="77"/>
      <c r="L81" s="77"/>
      <c r="M81" s="77"/>
    </row>
    <row r="82" ht="15.75" customHeight="1">
      <c r="A82" s="77"/>
      <c r="B82" s="77"/>
      <c r="C82" s="77"/>
      <c r="D82" s="77"/>
      <c r="E82" s="77"/>
      <c r="F82" s="77"/>
      <c r="G82" s="77"/>
      <c r="H82" s="77"/>
      <c r="I82" s="77"/>
      <c r="J82" s="77"/>
      <c r="K82" s="77"/>
      <c r="L82" s="77"/>
      <c r="M82" s="77"/>
    </row>
    <row r="83" ht="15.75" customHeight="1">
      <c r="A83" s="77"/>
      <c r="B83" s="77"/>
      <c r="C83" s="77"/>
      <c r="D83" s="77"/>
      <c r="E83" s="77"/>
      <c r="F83" s="77"/>
      <c r="G83" s="77"/>
      <c r="H83" s="77"/>
      <c r="I83" s="77"/>
      <c r="J83" s="77"/>
      <c r="K83" s="77"/>
      <c r="L83" s="77"/>
      <c r="M83" s="77"/>
    </row>
    <row r="84" ht="15.75" customHeight="1">
      <c r="A84" s="77"/>
      <c r="B84" s="77"/>
      <c r="C84" s="77"/>
      <c r="D84" s="77"/>
      <c r="E84" s="77"/>
      <c r="F84" s="77"/>
      <c r="G84" s="77"/>
      <c r="H84" s="77"/>
      <c r="I84" s="77"/>
      <c r="J84" s="77"/>
      <c r="K84" s="77"/>
      <c r="L84" s="77"/>
      <c r="M84" s="77"/>
    </row>
    <row r="85" ht="15.75" customHeight="1">
      <c r="A85" s="77"/>
      <c r="B85" s="77"/>
      <c r="C85" s="77"/>
      <c r="D85" s="77"/>
      <c r="E85" s="77"/>
      <c r="F85" s="77"/>
      <c r="G85" s="77"/>
      <c r="H85" s="77"/>
      <c r="I85" s="77"/>
      <c r="J85" s="77"/>
      <c r="K85" s="77"/>
      <c r="L85" s="77"/>
      <c r="M85" s="77"/>
    </row>
    <row r="86" ht="15.75" customHeight="1">
      <c r="A86" s="77"/>
      <c r="B86" s="77"/>
      <c r="C86" s="77"/>
      <c r="D86" s="77"/>
      <c r="E86" s="77"/>
      <c r="F86" s="77"/>
      <c r="G86" s="77"/>
      <c r="H86" s="77"/>
      <c r="I86" s="77"/>
      <c r="J86" s="77"/>
      <c r="K86" s="77"/>
      <c r="L86" s="77"/>
      <c r="M86" s="77"/>
    </row>
    <row r="87" ht="15.75" customHeight="1">
      <c r="A87" s="77"/>
      <c r="B87" s="77"/>
      <c r="C87" s="77"/>
      <c r="D87" s="77"/>
      <c r="E87" s="77"/>
      <c r="F87" s="77"/>
      <c r="G87" s="77"/>
      <c r="H87" s="77"/>
      <c r="I87" s="77"/>
      <c r="J87" s="77"/>
      <c r="K87" s="77"/>
      <c r="L87" s="77"/>
      <c r="M87" s="77"/>
    </row>
    <row r="88" ht="15.75" customHeight="1">
      <c r="A88" s="77"/>
      <c r="B88" s="77"/>
      <c r="C88" s="77"/>
      <c r="D88" s="77"/>
      <c r="E88" s="77"/>
      <c r="F88" s="77"/>
      <c r="G88" s="77"/>
      <c r="H88" s="77"/>
      <c r="I88" s="77"/>
      <c r="J88" s="77"/>
      <c r="K88" s="77"/>
      <c r="L88" s="77"/>
      <c r="M88" s="77"/>
    </row>
    <row r="89" ht="15.75" customHeight="1">
      <c r="A89" s="77"/>
      <c r="B89" s="77"/>
      <c r="C89" s="77"/>
      <c r="D89" s="77"/>
      <c r="E89" s="77"/>
      <c r="F89" s="77"/>
      <c r="G89" s="77"/>
      <c r="H89" s="77"/>
      <c r="I89" s="77"/>
      <c r="J89" s="77"/>
      <c r="K89" s="77"/>
      <c r="L89" s="77"/>
      <c r="M89" s="77"/>
    </row>
    <row r="90" ht="15.75" customHeight="1">
      <c r="A90" s="77"/>
      <c r="B90" s="77"/>
      <c r="C90" s="77"/>
      <c r="D90" s="77"/>
      <c r="E90" s="77"/>
      <c r="F90" s="77"/>
      <c r="G90" s="77"/>
      <c r="H90" s="77"/>
      <c r="I90" s="77"/>
      <c r="J90" s="77"/>
      <c r="K90" s="77"/>
      <c r="L90" s="77"/>
      <c r="M90" s="77"/>
    </row>
    <row r="91" ht="15.75" customHeight="1">
      <c r="A91" s="77"/>
      <c r="B91" s="77"/>
      <c r="C91" s="77"/>
      <c r="D91" s="77"/>
      <c r="E91" s="77"/>
      <c r="F91" s="77"/>
      <c r="G91" s="77"/>
      <c r="H91" s="77"/>
      <c r="I91" s="77"/>
      <c r="J91" s="77"/>
      <c r="K91" s="77"/>
      <c r="L91" s="77"/>
      <c r="M91" s="77"/>
    </row>
    <row r="92" ht="15.75" customHeight="1">
      <c r="A92" s="77"/>
      <c r="B92" s="77"/>
      <c r="C92" s="77"/>
      <c r="D92" s="77"/>
      <c r="E92" s="77"/>
      <c r="F92" s="77"/>
      <c r="G92" s="77"/>
      <c r="H92" s="77"/>
      <c r="I92" s="77"/>
      <c r="J92" s="77"/>
      <c r="K92" s="77"/>
      <c r="L92" s="77"/>
      <c r="M92" s="77"/>
    </row>
    <row r="93" ht="15.75" customHeight="1">
      <c r="A93" s="77"/>
      <c r="B93" s="77"/>
      <c r="C93" s="77"/>
      <c r="D93" s="77"/>
      <c r="E93" s="77"/>
      <c r="F93" s="77"/>
      <c r="G93" s="77"/>
      <c r="H93" s="77"/>
      <c r="I93" s="77"/>
      <c r="J93" s="77"/>
      <c r="K93" s="77"/>
      <c r="L93" s="77"/>
      <c r="M93" s="77"/>
    </row>
    <row r="94" ht="15.75" customHeight="1">
      <c r="A94" s="77"/>
      <c r="B94" s="77"/>
      <c r="C94" s="77"/>
      <c r="D94" s="77"/>
      <c r="E94" s="77"/>
      <c r="F94" s="77"/>
      <c r="G94" s="77"/>
      <c r="H94" s="77"/>
      <c r="I94" s="77"/>
      <c r="J94" s="77"/>
      <c r="K94" s="77"/>
      <c r="L94" s="77"/>
      <c r="M94" s="77"/>
    </row>
    <row r="95" ht="15.75" customHeight="1">
      <c r="A95" s="77"/>
      <c r="B95" s="77"/>
      <c r="C95" s="77"/>
      <c r="D95" s="77"/>
      <c r="E95" s="77"/>
      <c r="F95" s="77"/>
      <c r="G95" s="77"/>
      <c r="H95" s="77"/>
      <c r="I95" s="77"/>
      <c r="J95" s="77"/>
      <c r="K95" s="77"/>
      <c r="L95" s="77"/>
      <c r="M95" s="77"/>
    </row>
    <row r="96" ht="15.75" customHeight="1">
      <c r="A96" s="77"/>
      <c r="B96" s="77"/>
      <c r="C96" s="77"/>
      <c r="D96" s="77"/>
      <c r="E96" s="77"/>
      <c r="F96" s="77"/>
      <c r="G96" s="77"/>
      <c r="H96" s="77"/>
      <c r="I96" s="77"/>
      <c r="J96" s="77"/>
      <c r="K96" s="77"/>
      <c r="L96" s="77"/>
      <c r="M96" s="77"/>
    </row>
    <row r="97" ht="15.75" customHeight="1">
      <c r="A97" s="77"/>
      <c r="B97" s="77"/>
      <c r="C97" s="77"/>
      <c r="D97" s="77"/>
      <c r="E97" s="77"/>
      <c r="F97" s="77"/>
      <c r="G97" s="77"/>
      <c r="H97" s="77"/>
      <c r="I97" s="77"/>
      <c r="J97" s="77"/>
      <c r="K97" s="77"/>
      <c r="L97" s="77"/>
      <c r="M97" s="77"/>
    </row>
    <row r="98" ht="15.75" customHeight="1">
      <c r="A98" s="77"/>
      <c r="B98" s="77"/>
      <c r="C98" s="77"/>
      <c r="D98" s="77"/>
      <c r="E98" s="77"/>
      <c r="F98" s="77"/>
      <c r="G98" s="77"/>
      <c r="H98" s="77"/>
      <c r="I98" s="77"/>
      <c r="J98" s="77"/>
      <c r="K98" s="77"/>
      <c r="L98" s="77"/>
      <c r="M98" s="77"/>
    </row>
    <row r="99" ht="15.75" customHeight="1">
      <c r="A99" s="77"/>
      <c r="B99" s="77"/>
      <c r="C99" s="77"/>
      <c r="D99" s="77"/>
      <c r="E99" s="77"/>
      <c r="F99" s="77"/>
      <c r="G99" s="77"/>
      <c r="H99" s="77"/>
      <c r="I99" s="77"/>
      <c r="J99" s="77"/>
      <c r="K99" s="77"/>
      <c r="L99" s="77"/>
      <c r="M99" s="77"/>
    </row>
    <row r="100" ht="15.75" customHeight="1">
      <c r="A100" s="77"/>
      <c r="B100" s="77"/>
      <c r="C100" s="77"/>
      <c r="D100" s="77"/>
      <c r="E100" s="77"/>
      <c r="F100" s="77"/>
      <c r="G100" s="77"/>
      <c r="H100" s="77"/>
      <c r="I100" s="77"/>
      <c r="J100" s="77"/>
      <c r="K100" s="77"/>
      <c r="L100" s="77"/>
      <c r="M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2" t="str">
        <f>'Input sheet'!A1</f>
        <v>Novo Nordisk (NYSE:NVO)</v>
      </c>
      <c r="B1" s="2"/>
      <c r="C1" s="2" t="s">
        <v>57</v>
      </c>
      <c r="D1" s="2">
        <f>'Input sheet'!D1</f>
        <v>39.4</v>
      </c>
      <c r="E1" s="7"/>
      <c r="F1" s="7"/>
      <c r="G1" s="7"/>
      <c r="H1" s="7"/>
      <c r="I1" s="7"/>
      <c r="J1" s="7"/>
      <c r="K1" s="7"/>
      <c r="L1" s="7"/>
      <c r="M1" s="7"/>
    </row>
    <row r="2" ht="14.25" customHeight="1">
      <c r="A2" s="8" t="s">
        <v>58</v>
      </c>
      <c r="B2" s="9"/>
      <c r="C2" s="9"/>
      <c r="D2" s="9"/>
      <c r="E2" s="9"/>
      <c r="F2" s="9"/>
      <c r="G2" s="9"/>
      <c r="H2" s="9"/>
      <c r="I2" s="9"/>
      <c r="J2" s="9"/>
      <c r="K2" s="9"/>
      <c r="L2" s="9"/>
      <c r="M2" s="9"/>
    </row>
    <row r="3" ht="14.25" customHeight="1">
      <c r="A3" s="9" t="s">
        <v>59</v>
      </c>
      <c r="B3" s="11">
        <f>'Input sheet'!D1</f>
        <v>39.4</v>
      </c>
      <c r="C3" s="9"/>
      <c r="D3" s="9"/>
      <c r="E3" s="9"/>
      <c r="F3" s="9"/>
      <c r="G3" s="9"/>
      <c r="H3" s="9"/>
      <c r="I3" s="9"/>
      <c r="J3" s="9"/>
      <c r="K3" s="9"/>
      <c r="L3" s="9"/>
      <c r="M3" s="9"/>
    </row>
    <row r="4" ht="14.25" customHeight="1">
      <c r="A4" s="9"/>
      <c r="B4" s="9"/>
      <c r="C4" s="9"/>
      <c r="D4" s="9"/>
      <c r="E4" s="9"/>
      <c r="F4" s="9"/>
      <c r="G4" s="9"/>
      <c r="H4" s="9"/>
      <c r="I4" s="9"/>
      <c r="J4" s="9"/>
      <c r="K4" s="9"/>
      <c r="L4" s="9"/>
      <c r="M4" s="9"/>
    </row>
    <row r="5" ht="14.25" customHeight="1">
      <c r="A5" s="13" t="s">
        <v>60</v>
      </c>
      <c r="B5" s="13" t="s">
        <v>61</v>
      </c>
      <c r="C5" s="13"/>
      <c r="D5" s="13"/>
      <c r="E5" s="13"/>
      <c r="F5" s="13"/>
      <c r="G5" s="13"/>
      <c r="H5" s="13"/>
      <c r="I5" s="13"/>
      <c r="J5" s="13"/>
      <c r="K5" s="13"/>
      <c r="L5" s="13"/>
      <c r="M5" s="13"/>
    </row>
    <row r="6" ht="14.25" customHeight="1">
      <c r="A6" s="14" t="s">
        <v>62</v>
      </c>
      <c r="B6" s="14" t="str">
        <f>'Income Statement'!H2</f>
        <v>Dec '22</v>
      </c>
      <c r="C6" s="14" t="str">
        <f>'Income Statement'!I2</f>
        <v>Dec '23</v>
      </c>
      <c r="D6" s="14" t="str">
        <f>'Income Statement'!J2</f>
        <v>Dec '24</v>
      </c>
      <c r="E6" s="14" t="str">
        <f>'Income Statement'!K2</f>
        <v>Dec '25</v>
      </c>
      <c r="F6" s="14" t="s">
        <v>67</v>
      </c>
      <c r="G6" s="14" t="s">
        <v>68</v>
      </c>
      <c r="H6" s="14" t="s">
        <v>69</v>
      </c>
      <c r="I6" s="16"/>
      <c r="J6" s="16"/>
      <c r="K6" s="16"/>
      <c r="L6" s="16"/>
      <c r="M6" s="16"/>
    </row>
    <row r="7" ht="14.25" customHeight="1">
      <c r="A7" s="16" t="s">
        <v>71</v>
      </c>
      <c r="B7" s="17">
        <f>'Trailing Valuation'!H5</f>
        <v>304773.462</v>
      </c>
      <c r="C7" s="17">
        <f>'Trailing Valuation'!I5</f>
        <v>463924.972</v>
      </c>
      <c r="D7" s="17">
        <f>'Trailing Valuation'!J5</f>
        <v>387177.527</v>
      </c>
      <c r="E7" s="17">
        <f>'Trailing Valuation'!K5</f>
        <v>227170.59</v>
      </c>
      <c r="F7" s="17">
        <f>'Trailing Valuation'!L5</f>
        <v>174021.92</v>
      </c>
      <c r="G7" s="20"/>
      <c r="H7" s="20"/>
      <c r="I7" s="16"/>
      <c r="J7" s="23" t="s">
        <v>73</v>
      </c>
      <c r="K7" s="16"/>
      <c r="L7" s="16"/>
      <c r="M7" s="16"/>
    </row>
    <row r="8" ht="14.25" customHeight="1">
      <c r="A8" s="16" t="s">
        <v>75</v>
      </c>
      <c r="B8" s="26">
        <f>'Trailing Valuation'!H15</f>
        <v>27.3560238757742</v>
      </c>
      <c r="C8" s="26">
        <f t="shared" ref="C8:E8" si="1">C7/C9</f>
        <v>28.1533496374063</v>
      </c>
      <c r="D8" s="26">
        <f t="shared" si="1"/>
        <v>20.3062651506013</v>
      </c>
      <c r="E8" s="26">
        <f t="shared" si="1"/>
        <v>12.3906049383389</v>
      </c>
      <c r="F8" s="30">
        <f>IFERROR(IF(J8&lt;&gt;"",J8,F19*0.9),"")</f>
        <v>11.1515444445051</v>
      </c>
      <c r="G8" s="30">
        <f>F8</f>
        <v>11.1515444445051</v>
      </c>
      <c r="H8" s="30">
        <f>F8</f>
        <v>11.1515444445051</v>
      </c>
      <c r="I8" s="16"/>
      <c r="J8" s="36"/>
      <c r="K8" s="16"/>
      <c r="L8" s="16"/>
      <c r="M8" s="16"/>
    </row>
    <row r="9" ht="14.25" customHeight="1">
      <c r="A9" s="16" t="s">
        <v>80</v>
      </c>
      <c r="B9" s="20">
        <f>B7/B8</f>
        <v>11141.0</v>
      </c>
      <c r="C9" s="20">
        <f>'Financials Multiples'!B26</f>
        <v>16478.5</v>
      </c>
      <c r="D9" s="20">
        <f>'Financials Multiples'!C26</f>
        <v>19066.9</v>
      </c>
      <c r="E9" s="20">
        <f>'Financials Multiples'!D26</f>
        <v>18334.1</v>
      </c>
      <c r="F9" s="20">
        <f>'Financials Multiples'!E26</f>
        <v>20831.2149394582</v>
      </c>
      <c r="G9" s="20">
        <f>'Financials Multiples'!F26</f>
        <v>21528.8828439786</v>
      </c>
      <c r="H9" s="20">
        <f>'Financials Multiples'!G26</f>
        <v>21778.5443846873</v>
      </c>
      <c r="I9" s="16"/>
      <c r="J9" s="16"/>
      <c r="K9" s="16"/>
      <c r="L9" s="16"/>
      <c r="M9" s="16"/>
    </row>
    <row r="10" ht="14.25" customHeight="1">
      <c r="A10" s="43" t="s">
        <v>83</v>
      </c>
      <c r="B10" s="45"/>
      <c r="C10" s="45"/>
      <c r="D10" s="45"/>
      <c r="E10" s="45"/>
      <c r="F10" s="45">
        <f>F8*(F9/'Financials Multiples'!E31)</f>
        <v>52.293957775518</v>
      </c>
      <c r="G10" s="45">
        <f>G8*(G9/'Financials Multiples'!F31)</f>
        <v>54.3306773779831</v>
      </c>
      <c r="H10" s="45">
        <f>H8*(H9/'Financials Multiples'!G31)</f>
        <v>55.2508785486464</v>
      </c>
      <c r="I10" s="16"/>
      <c r="J10" s="16"/>
      <c r="K10" s="16"/>
      <c r="L10" s="16"/>
      <c r="M10" s="16"/>
    </row>
    <row r="11" ht="14.25" customHeight="1">
      <c r="A11" s="16" t="s">
        <v>85</v>
      </c>
      <c r="B11" s="20"/>
      <c r="C11" s="20"/>
      <c r="D11" s="20"/>
      <c r="E11" s="20"/>
      <c r="F11" s="20">
        <f>'Financials Multiples'!E35</f>
        <v>1.8266</v>
      </c>
      <c r="G11" s="20">
        <f>'Financials Multiples'!F35</f>
        <v>1.95525136250418</v>
      </c>
      <c r="H11" s="20">
        <f>'Financials Multiples'!G35</f>
        <v>2.08390272500836</v>
      </c>
      <c r="I11" s="16"/>
      <c r="J11" s="16"/>
      <c r="K11" s="16"/>
      <c r="L11" s="16"/>
      <c r="M11" s="16"/>
    </row>
    <row r="12" ht="14.25" customHeight="1">
      <c r="A12" s="43" t="s">
        <v>87</v>
      </c>
      <c r="B12" s="45"/>
      <c r="C12" s="45"/>
      <c r="D12" s="45"/>
      <c r="E12" s="45"/>
      <c r="F12" s="45">
        <f t="shared" ref="F12:H12" si="2">F10+F11</f>
        <v>54.120557775518</v>
      </c>
      <c r="G12" s="45">
        <f t="shared" si="2"/>
        <v>56.2859287404873</v>
      </c>
      <c r="H12" s="51">
        <f t="shared" si="2"/>
        <v>57.3347812736547</v>
      </c>
      <c r="I12" s="16"/>
      <c r="J12" s="16"/>
      <c r="K12" s="16"/>
      <c r="L12" s="16"/>
      <c r="M12" s="16"/>
    </row>
    <row r="13" ht="14.25" customHeight="1">
      <c r="A13" s="43" t="s">
        <v>89</v>
      </c>
      <c r="B13" s="54"/>
      <c r="C13" s="54"/>
      <c r="D13" s="54"/>
      <c r="E13" s="54"/>
      <c r="F13" s="54">
        <f>(F12-B3)/B3</f>
        <v>0.373618217652741</v>
      </c>
      <c r="G13" s="54">
        <f>(G12-B3)/B3</f>
        <v>0.428576871585972</v>
      </c>
      <c r="H13" s="54">
        <f>(H12-B3)/B3</f>
        <v>0.455197494255196</v>
      </c>
      <c r="I13" s="16"/>
      <c r="J13" s="16"/>
      <c r="K13" s="16"/>
      <c r="L13" s="16"/>
      <c r="M13" s="16"/>
    </row>
    <row r="14" ht="14.25" customHeight="1">
      <c r="A14" s="16" t="s">
        <v>93</v>
      </c>
      <c r="B14" s="59"/>
      <c r="C14" s="59"/>
      <c r="D14" s="59"/>
      <c r="E14" s="59"/>
      <c r="F14" s="59">
        <f>(F12/B3) ^ (1 / 1) - 1</f>
        <v>0.373618217652741</v>
      </c>
      <c r="G14" s="59">
        <f>(G12/B3) ^ (1 / 2) - 1</f>
        <v>0.195230886308571</v>
      </c>
      <c r="H14" s="59">
        <f>(H12/B3) ^ (1 / 3) - 1</f>
        <v>0.133201948868812</v>
      </c>
      <c r="I14" s="16"/>
      <c r="J14" s="16"/>
      <c r="K14" s="16"/>
      <c r="L14" s="16"/>
      <c r="M14" s="16"/>
    </row>
    <row r="15" ht="14.25" customHeight="1">
      <c r="A15" s="16"/>
      <c r="B15" s="16"/>
      <c r="C15" s="16"/>
      <c r="D15" s="16"/>
      <c r="E15" s="16"/>
      <c r="F15" s="16"/>
      <c r="G15" s="16"/>
      <c r="H15" s="16"/>
      <c r="I15" s="16"/>
      <c r="J15" s="16"/>
      <c r="K15" s="16"/>
      <c r="L15" s="16"/>
      <c r="M15" s="16"/>
    </row>
    <row r="16" ht="14.25" customHeight="1">
      <c r="A16" s="13" t="s">
        <v>60</v>
      </c>
      <c r="B16" s="13" t="s">
        <v>106</v>
      </c>
      <c r="C16" s="13"/>
      <c r="D16" s="13"/>
      <c r="E16" s="13"/>
      <c r="F16" s="13"/>
      <c r="G16" s="13"/>
      <c r="H16" s="13"/>
      <c r="I16" s="13"/>
      <c r="J16" s="13"/>
      <c r="K16" s="13"/>
      <c r="L16" s="13"/>
      <c r="M16" s="13"/>
    </row>
    <row r="17" ht="14.25" customHeight="1">
      <c r="A17" s="14" t="s">
        <v>62</v>
      </c>
      <c r="B17" s="14" t="str">
        <f>'Income Statement'!H2</f>
        <v>Dec '22</v>
      </c>
      <c r="C17" s="14" t="str">
        <f>'Income Statement'!I2</f>
        <v>Dec '23</v>
      </c>
      <c r="D17" s="14" t="str">
        <f>'Income Statement'!J2</f>
        <v>Dec '24</v>
      </c>
      <c r="E17" s="14" t="str">
        <f>'Income Statement'!K2</f>
        <v>Dec '25</v>
      </c>
      <c r="F17" s="14" t="s">
        <v>67</v>
      </c>
      <c r="G17" s="14" t="s">
        <v>68</v>
      </c>
      <c r="H17" s="14" t="s">
        <v>69</v>
      </c>
      <c r="I17" s="16"/>
      <c r="J17" s="16"/>
      <c r="K17" s="16"/>
      <c r="L17" s="16"/>
      <c r="M17" s="16"/>
    </row>
    <row r="18" ht="14.25" customHeight="1">
      <c r="A18" s="16" t="s">
        <v>71</v>
      </c>
      <c r="B18" s="17">
        <f t="shared" ref="B18:F18" si="3">B7</f>
        <v>304773.462</v>
      </c>
      <c r="C18" s="17">
        <f t="shared" si="3"/>
        <v>463924.972</v>
      </c>
      <c r="D18" s="17">
        <f t="shared" si="3"/>
        <v>387177.527</v>
      </c>
      <c r="E18" s="17">
        <f t="shared" si="3"/>
        <v>227170.59</v>
      </c>
      <c r="F18" s="17">
        <f t="shared" si="3"/>
        <v>174021.92</v>
      </c>
      <c r="G18" s="20"/>
      <c r="H18" s="20"/>
      <c r="I18" s="16"/>
      <c r="J18" s="23" t="s">
        <v>73</v>
      </c>
      <c r="K18" s="16"/>
      <c r="L18" s="16"/>
      <c r="M18" s="16"/>
    </row>
    <row r="19" ht="14.25" customHeight="1">
      <c r="A19" s="16" t="s">
        <v>75</v>
      </c>
      <c r="B19" s="73">
        <f t="shared" ref="B19:E19" si="4">B8</f>
        <v>27.3560238757742</v>
      </c>
      <c r="C19" s="73">
        <f t="shared" si="4"/>
        <v>28.1533496374063</v>
      </c>
      <c r="D19" s="73">
        <f t="shared" si="4"/>
        <v>20.3062651506013</v>
      </c>
      <c r="E19" s="73">
        <f t="shared" si="4"/>
        <v>12.3906049383389</v>
      </c>
      <c r="F19" s="30">
        <f>IFERROR(IF(J19&lt;&gt;"",J19,MEDIAN('Trailing Valuation'!G15:K15)),"")</f>
        <v>12.3906049383389</v>
      </c>
      <c r="G19" s="30">
        <f>F19</f>
        <v>12.3906049383389</v>
      </c>
      <c r="H19" s="30">
        <f>F19</f>
        <v>12.3906049383389</v>
      </c>
      <c r="I19" s="16"/>
      <c r="J19" s="76">
        <f>MIN(B19:E19)</f>
        <v>12.3906049383389</v>
      </c>
      <c r="K19" s="16"/>
      <c r="L19" s="16"/>
      <c r="M19" s="16"/>
    </row>
    <row r="20" ht="14.25" customHeight="1">
      <c r="A20" s="16" t="s">
        <v>80</v>
      </c>
      <c r="B20" s="20">
        <f>B18/B19</f>
        <v>11141.0</v>
      </c>
      <c r="C20" s="20">
        <f>'Financials Multiples'!B65</f>
        <v>16478.5</v>
      </c>
      <c r="D20" s="20">
        <f>'Financials Multiples'!C65</f>
        <v>19066.9</v>
      </c>
      <c r="E20" s="20">
        <f>'Financials Multiples'!D65</f>
        <v>18334.1</v>
      </c>
      <c r="F20" s="20">
        <f>'Financials Multiples'!E65</f>
        <v>19758.6159102471</v>
      </c>
      <c r="G20" s="20">
        <f>'Financials Multiples'!F65</f>
        <v>20574.6813669315</v>
      </c>
      <c r="H20" s="20">
        <f>'Financials Multiples'!G65</f>
        <v>21093.7057326019</v>
      </c>
      <c r="I20" s="16"/>
      <c r="J20" s="16"/>
      <c r="K20" s="16"/>
      <c r="L20" s="16"/>
      <c r="M20" s="16"/>
    </row>
    <row r="21" ht="14.25" customHeight="1">
      <c r="A21" s="43" t="s">
        <v>83</v>
      </c>
      <c r="B21" s="45"/>
      <c r="C21" s="45"/>
      <c r="D21" s="45"/>
      <c r="E21" s="45"/>
      <c r="F21" s="45">
        <f>F19*(F20/'Financials Multiples'!E70)</f>
        <v>55.1126027356377</v>
      </c>
      <c r="G21" s="45">
        <f>G19*(G20/'Financials Multiples'!F70)</f>
        <v>57.6918192283876</v>
      </c>
      <c r="H21" s="45">
        <f>H19*(H20/'Financials Multiples'!G70)</f>
        <v>59.4594260085074</v>
      </c>
      <c r="I21" s="16"/>
      <c r="J21" s="16"/>
      <c r="K21" s="16"/>
      <c r="L21" s="16"/>
      <c r="M21" s="16"/>
    </row>
    <row r="22" ht="14.25" customHeight="1">
      <c r="A22" s="16" t="s">
        <v>85</v>
      </c>
      <c r="B22" s="20"/>
      <c r="C22" s="20"/>
      <c r="D22" s="20"/>
      <c r="E22" s="20"/>
      <c r="F22" s="20">
        <f>'Financials Multiples'!E74</f>
        <v>1.8266</v>
      </c>
      <c r="G22" s="20">
        <f>'Financials Multiples'!F74</f>
        <v>1.95525136250418</v>
      </c>
      <c r="H22" s="20">
        <f>'Financials Multiples'!G74</f>
        <v>2.08390272500836</v>
      </c>
      <c r="I22" s="16"/>
      <c r="J22" s="16"/>
      <c r="K22" s="16"/>
      <c r="L22" s="16"/>
      <c r="M22" s="16"/>
    </row>
    <row r="23" ht="14.25" customHeight="1">
      <c r="A23" s="43" t="s">
        <v>87</v>
      </c>
      <c r="B23" s="45"/>
      <c r="C23" s="45"/>
      <c r="D23" s="45"/>
      <c r="E23" s="45"/>
      <c r="F23" s="45">
        <f t="shared" ref="F23:H23" si="5">F21+F22</f>
        <v>56.9392027356377</v>
      </c>
      <c r="G23" s="45">
        <f t="shared" si="5"/>
        <v>59.6470705908917</v>
      </c>
      <c r="H23" s="51">
        <f t="shared" si="5"/>
        <v>61.5433287335157</v>
      </c>
      <c r="I23" s="16"/>
      <c r="J23" s="16"/>
      <c r="K23" s="16"/>
      <c r="L23" s="16"/>
      <c r="M23" s="16"/>
    </row>
    <row r="24" ht="14.25" customHeight="1">
      <c r="A24" s="43" t="s">
        <v>89</v>
      </c>
      <c r="B24" s="54"/>
      <c r="C24" s="54"/>
      <c r="D24" s="54"/>
      <c r="E24" s="54"/>
      <c r="F24" s="54">
        <f>(F23-B3)/B3</f>
        <v>0.445157429838521</v>
      </c>
      <c r="G24" s="54">
        <f>(G23-B3)/B3</f>
        <v>0.513885040377963</v>
      </c>
      <c r="H24" s="82">
        <f>(H23-B3)/B3</f>
        <v>0.562013419632379</v>
      </c>
      <c r="I24" s="16"/>
      <c r="J24" s="16"/>
      <c r="K24" s="16"/>
      <c r="L24" s="16"/>
      <c r="M24" s="16"/>
    </row>
    <row r="25" ht="14.25" customHeight="1">
      <c r="A25" s="16" t="s">
        <v>93</v>
      </c>
      <c r="B25" s="59"/>
      <c r="C25" s="59"/>
      <c r="D25" s="59"/>
      <c r="E25" s="59"/>
      <c r="F25" s="59">
        <f>(F23/B3) ^ (1 / 1) - 1</f>
        <v>0.445157429838521</v>
      </c>
      <c r="G25" s="59">
        <f>(G23/B3) ^ (1 / 2) - 1</f>
        <v>0.230400357760824</v>
      </c>
      <c r="H25" s="85">
        <f>(H23/B3) ^ (1 / 3) - 1</f>
        <v>0.160276742244096</v>
      </c>
      <c r="I25" s="16"/>
      <c r="J25" s="16"/>
      <c r="K25" s="16"/>
      <c r="L25" s="16"/>
      <c r="M25" s="16"/>
    </row>
    <row r="26" ht="14.25" customHeight="1">
      <c r="A26" s="16"/>
      <c r="B26" s="16"/>
      <c r="C26" s="16"/>
      <c r="D26" s="16"/>
      <c r="E26" s="16"/>
      <c r="F26" s="16"/>
      <c r="G26" s="16"/>
      <c r="H26" s="16"/>
      <c r="I26" s="16"/>
      <c r="J26" s="16"/>
      <c r="K26" s="16"/>
      <c r="L26" s="16"/>
      <c r="M26" s="16"/>
    </row>
    <row r="27" ht="14.25" customHeight="1">
      <c r="A27" s="13" t="s">
        <v>60</v>
      </c>
      <c r="B27" s="13" t="s">
        <v>113</v>
      </c>
      <c r="C27" s="13"/>
      <c r="D27" s="13"/>
      <c r="E27" s="13"/>
      <c r="F27" s="13"/>
      <c r="G27" s="13"/>
      <c r="H27" s="13"/>
      <c r="I27" s="13"/>
      <c r="J27" s="13"/>
      <c r="K27" s="13"/>
      <c r="L27" s="13"/>
      <c r="M27" s="13"/>
    </row>
    <row r="28" ht="14.25" customHeight="1">
      <c r="A28" s="14" t="s">
        <v>62</v>
      </c>
      <c r="B28" s="14" t="str">
        <f>'Income Statement'!H2</f>
        <v>Dec '22</v>
      </c>
      <c r="C28" s="14" t="str">
        <f>'Income Statement'!I2</f>
        <v>Dec '23</v>
      </c>
      <c r="D28" s="14" t="str">
        <f>'Income Statement'!J2</f>
        <v>Dec '24</v>
      </c>
      <c r="E28" s="14" t="str">
        <f>'Income Statement'!K2</f>
        <v>Dec '25</v>
      </c>
      <c r="F28" s="14" t="s">
        <v>67</v>
      </c>
      <c r="G28" s="14" t="s">
        <v>68</v>
      </c>
      <c r="H28" s="14" t="s">
        <v>69</v>
      </c>
      <c r="I28" s="16"/>
      <c r="J28" s="16"/>
      <c r="K28" s="16"/>
      <c r="L28" s="16"/>
      <c r="M28" s="16"/>
    </row>
    <row r="29" ht="14.25" customHeight="1">
      <c r="A29" s="16" t="s">
        <v>71</v>
      </c>
      <c r="B29" s="17">
        <f t="shared" ref="B29:F29" si="6">B7</f>
        <v>304773.462</v>
      </c>
      <c r="C29" s="17">
        <f t="shared" si="6"/>
        <v>463924.972</v>
      </c>
      <c r="D29" s="17">
        <f t="shared" si="6"/>
        <v>387177.527</v>
      </c>
      <c r="E29" s="17">
        <f t="shared" si="6"/>
        <v>227170.59</v>
      </c>
      <c r="F29" s="17">
        <f t="shared" si="6"/>
        <v>174021.92</v>
      </c>
      <c r="G29" s="20"/>
      <c r="H29" s="20"/>
      <c r="I29" s="16"/>
      <c r="J29" s="23" t="s">
        <v>73</v>
      </c>
      <c r="K29" s="16"/>
      <c r="L29" s="16"/>
      <c r="M29" s="16"/>
    </row>
    <row r="30" ht="14.25" customHeight="1">
      <c r="A30" s="16" t="s">
        <v>75</v>
      </c>
      <c r="B30" s="73">
        <f t="shared" ref="B30:E30" si="7">B8</f>
        <v>27.3560238757742</v>
      </c>
      <c r="C30" s="73">
        <f t="shared" si="7"/>
        <v>28.1533496374063</v>
      </c>
      <c r="D30" s="73">
        <f t="shared" si="7"/>
        <v>20.3062651506013</v>
      </c>
      <c r="E30" s="73">
        <f t="shared" si="7"/>
        <v>12.3906049383389</v>
      </c>
      <c r="F30" s="30">
        <f>IFERROR(IF(J30&lt;&gt;"",J30,F19*1.1),"")</f>
        <v>13.6296654321728</v>
      </c>
      <c r="G30" s="30">
        <f>F30</f>
        <v>13.6296654321728</v>
      </c>
      <c r="H30" s="30">
        <f>F30</f>
        <v>13.6296654321728</v>
      </c>
      <c r="I30" s="16"/>
      <c r="J30" s="36"/>
      <c r="K30" s="16"/>
      <c r="L30" s="16"/>
      <c r="M30" s="16"/>
    </row>
    <row r="31" ht="14.25" customHeight="1">
      <c r="A31" s="16" t="s">
        <v>80</v>
      </c>
      <c r="B31" s="20">
        <f>B29/B30</f>
        <v>11141.0</v>
      </c>
      <c r="C31" s="20">
        <f>'Financials Multiples'!B105</f>
        <v>16478.5</v>
      </c>
      <c r="D31" s="20">
        <f>'Financials Multiples'!C105</f>
        <v>19066.9</v>
      </c>
      <c r="E31" s="20">
        <f>'Financials Multiples'!D105</f>
        <v>18334.1</v>
      </c>
      <c r="F31" s="20">
        <f>'Financials Multiples'!E105</f>
        <v>19476.3789615147</v>
      </c>
      <c r="G31" s="20">
        <f>'Financials Multiples'!F105</f>
        <v>19063.6625940392</v>
      </c>
      <c r="H31" s="20">
        <f>'Financials Multiples'!G105</f>
        <v>18227.4876335644</v>
      </c>
      <c r="I31" s="16"/>
      <c r="J31" s="16"/>
      <c r="K31" s="16"/>
      <c r="L31" s="16"/>
      <c r="M31" s="16"/>
    </row>
    <row r="32" ht="14.25" customHeight="1">
      <c r="A32" s="43" t="s">
        <v>83</v>
      </c>
      <c r="B32" s="45"/>
      <c r="C32" s="45"/>
      <c r="D32" s="45"/>
      <c r="E32" s="45"/>
      <c r="F32" s="45">
        <f>F30*(F31/'Financials Multiples'!E110)</f>
        <v>59.7578967798964</v>
      </c>
      <c r="G32" s="45">
        <f>G30*(G31/'Financials Multiples'!F110)</f>
        <v>58.8003815102262</v>
      </c>
      <c r="H32" s="45">
        <f>H30*(H31/'Financials Multiples'!G110)</f>
        <v>56.5180704902503</v>
      </c>
      <c r="I32" s="16"/>
      <c r="J32" s="16"/>
      <c r="K32" s="16"/>
      <c r="L32" s="16"/>
      <c r="M32" s="16"/>
    </row>
    <row r="33" ht="14.25" customHeight="1">
      <c r="A33" s="9" t="s">
        <v>85</v>
      </c>
      <c r="B33" s="95"/>
      <c r="C33" s="95"/>
      <c r="D33" s="95"/>
      <c r="E33" s="95"/>
      <c r="F33" s="95">
        <f>'Financials Multiples'!E114</f>
        <v>1.8266</v>
      </c>
      <c r="G33" s="95">
        <f>'Financials Multiples'!F114</f>
        <v>1.95525136250418</v>
      </c>
      <c r="H33" s="95">
        <f>'Financials Multiples'!G114</f>
        <v>2.08390272500836</v>
      </c>
      <c r="I33" s="9"/>
      <c r="J33" s="9"/>
      <c r="K33" s="9"/>
      <c r="L33" s="9"/>
      <c r="M33" s="9"/>
    </row>
    <row r="34" ht="14.25" customHeight="1">
      <c r="A34" s="96" t="s">
        <v>87</v>
      </c>
      <c r="B34" s="97"/>
      <c r="C34" s="97"/>
      <c r="D34" s="97"/>
      <c r="E34" s="97"/>
      <c r="F34" s="97">
        <f t="shared" ref="F34:H34" si="8">F32+F33</f>
        <v>61.5844967798964</v>
      </c>
      <c r="G34" s="97">
        <f t="shared" si="8"/>
        <v>60.7556328727304</v>
      </c>
      <c r="H34" s="98">
        <f t="shared" si="8"/>
        <v>58.6019732152587</v>
      </c>
      <c r="I34" s="9"/>
      <c r="J34" s="9"/>
      <c r="K34" s="9"/>
      <c r="L34" s="9"/>
      <c r="M34" s="9"/>
    </row>
    <row r="35" ht="14.25" customHeight="1">
      <c r="A35" s="43" t="s">
        <v>89</v>
      </c>
      <c r="B35" s="54"/>
      <c r="C35" s="54"/>
      <c r="D35" s="54"/>
      <c r="E35" s="54"/>
      <c r="F35" s="54">
        <f>(F34-B3)/B3</f>
        <v>0.563058293905999</v>
      </c>
      <c r="G35" s="54">
        <f>(G34-B3)/B3</f>
        <v>0.542021138901787</v>
      </c>
      <c r="H35" s="82">
        <f>(H34-B3)/B3</f>
        <v>0.487359726275601</v>
      </c>
      <c r="I35" s="16"/>
      <c r="J35" s="16"/>
      <c r="K35" s="9"/>
      <c r="L35" s="9"/>
      <c r="M35" s="9"/>
    </row>
    <row r="36" ht="14.25" customHeight="1">
      <c r="A36" s="16" t="s">
        <v>93</v>
      </c>
      <c r="B36" s="59"/>
      <c r="C36" s="59"/>
      <c r="D36" s="59"/>
      <c r="E36" s="59"/>
      <c r="F36" s="59">
        <f>(F34/B3) ^ (1 / 1) - 1</f>
        <v>0.563058293905999</v>
      </c>
      <c r="G36" s="59">
        <f>(G34/B3) ^ (1 / 2) - 1</f>
        <v>0.2417814376539</v>
      </c>
      <c r="H36" s="85">
        <f>(H34/B3) ^ (1 / 3) - 1</f>
        <v>0.141489723260401</v>
      </c>
      <c r="I36" s="16"/>
      <c r="J36" s="16"/>
      <c r="K36" s="9"/>
      <c r="L36" s="9"/>
      <c r="M36" s="9"/>
    </row>
    <row r="37" ht="14.25" customHeight="1">
      <c r="A37" s="16"/>
      <c r="B37" s="93"/>
      <c r="C37" s="93"/>
      <c r="D37" s="93"/>
      <c r="E37" s="93"/>
      <c r="F37" s="93"/>
      <c r="G37" s="93"/>
      <c r="H37" s="102"/>
      <c r="I37" s="103"/>
      <c r="J37" s="103"/>
      <c r="K37" s="9"/>
      <c r="L37" s="9"/>
      <c r="M37" s="9"/>
    </row>
    <row r="38" ht="14.25" customHeight="1">
      <c r="A38" s="16"/>
      <c r="B38" s="93"/>
      <c r="C38" s="93"/>
      <c r="D38" s="93"/>
      <c r="E38" s="93"/>
      <c r="F38" s="93"/>
      <c r="G38" s="93"/>
      <c r="H38" s="102"/>
      <c r="I38" s="103"/>
      <c r="J38" s="103"/>
      <c r="K38" s="9"/>
      <c r="L38" s="9"/>
      <c r="M38" s="9"/>
    </row>
    <row r="39" ht="14.25" customHeight="1">
      <c r="A39" s="16" t="s">
        <v>126</v>
      </c>
      <c r="B39" s="105">
        <f>MEDIAN('Trailing Valuation'!B15:K15)</f>
        <v>21.0321271478161</v>
      </c>
      <c r="C39" s="16"/>
      <c r="D39" s="16"/>
      <c r="E39" s="16"/>
      <c r="F39" s="16"/>
      <c r="G39" s="16"/>
      <c r="H39" s="16"/>
      <c r="I39" s="16"/>
      <c r="J39" s="16"/>
      <c r="K39" s="9"/>
      <c r="L39" s="9"/>
      <c r="M39" s="9"/>
    </row>
    <row r="40" ht="14.25" customHeight="1">
      <c r="A40" s="16" t="s">
        <v>127</v>
      </c>
      <c r="B40" s="105">
        <f>MEDIAN('Trailing Valuation'!G15:K15)</f>
        <v>27.3560238757742</v>
      </c>
      <c r="C40" s="16"/>
      <c r="D40" s="16"/>
      <c r="E40" s="16"/>
      <c r="F40" s="16"/>
      <c r="G40" s="16"/>
      <c r="H40" s="16"/>
      <c r="I40" s="16"/>
      <c r="J40" s="16"/>
      <c r="K40" s="9"/>
      <c r="L40" s="9"/>
      <c r="M40" s="9"/>
    </row>
    <row r="41" ht="14.25" customHeight="1">
      <c r="A41" s="16" t="s">
        <v>129</v>
      </c>
      <c r="B41" s="105">
        <f>MEDIAN('Trailing Valuation'!I15:K15)</f>
        <v>22.0621518114579</v>
      </c>
      <c r="C41" s="16"/>
      <c r="D41" s="16"/>
      <c r="E41" s="16"/>
      <c r="F41" s="16"/>
      <c r="G41" s="16"/>
      <c r="H41" s="16"/>
      <c r="I41" s="16"/>
      <c r="J41" s="16"/>
      <c r="K41" s="9"/>
      <c r="L41" s="9"/>
      <c r="M41" s="9"/>
    </row>
    <row r="42" ht="14.25" customHeight="1">
      <c r="A42" s="16" t="s">
        <v>131</v>
      </c>
      <c r="B42" s="105">
        <f>'Trailing Valuation'!L15</f>
        <v>8.45185091647321</v>
      </c>
      <c r="C42" s="16"/>
      <c r="D42" s="16"/>
      <c r="E42" s="16"/>
      <c r="F42" s="16"/>
      <c r="G42" s="16"/>
      <c r="H42" s="16"/>
      <c r="I42" s="16"/>
      <c r="J42" s="16"/>
      <c r="K42" s="9"/>
      <c r="L42" s="9"/>
      <c r="M42" s="9"/>
    </row>
    <row r="43" ht="14.25" customHeight="1">
      <c r="A43" s="16"/>
      <c r="B43" s="16"/>
      <c r="C43" s="16"/>
      <c r="D43" s="16"/>
      <c r="E43" s="16"/>
      <c r="F43" s="16"/>
      <c r="G43" s="16"/>
      <c r="H43" s="16"/>
      <c r="I43" s="16"/>
      <c r="J43" s="16"/>
      <c r="K43" s="9"/>
      <c r="L43" s="9"/>
      <c r="M43" s="9"/>
    </row>
    <row r="44" ht="14.25" customHeight="1">
      <c r="A44" s="16"/>
      <c r="B44" s="16"/>
      <c r="C44" s="16"/>
      <c r="D44" s="16"/>
      <c r="E44" s="16"/>
      <c r="F44" s="16"/>
      <c r="G44" s="16"/>
      <c r="H44" s="16"/>
      <c r="I44" s="16"/>
      <c r="J44" s="16"/>
      <c r="K44" s="9"/>
      <c r="L44" s="9"/>
      <c r="M44" s="9"/>
    </row>
    <row r="45" ht="14.25" customHeight="1">
      <c r="A45" s="109" t="s">
        <v>133</v>
      </c>
      <c r="B45" s="16"/>
      <c r="C45" s="16"/>
      <c r="D45" s="16"/>
      <c r="E45" s="16"/>
      <c r="F45" s="16"/>
      <c r="G45" s="16"/>
      <c r="H45" s="16"/>
      <c r="I45" s="16"/>
      <c r="J45" s="16"/>
      <c r="K45" s="9"/>
      <c r="L45" s="9"/>
      <c r="M45" s="9"/>
    </row>
    <row r="46" ht="14.25" customHeight="1">
      <c r="A46" s="110" t="s">
        <v>135</v>
      </c>
      <c r="B46" s="111">
        <f>$H$20*0.9</f>
        <v>18984.3351593418</v>
      </c>
      <c r="C46" s="111">
        <f>$H$20*0.95</f>
        <v>20039.0204459718</v>
      </c>
      <c r="D46" s="111">
        <f>$H$20</f>
        <v>21093.7057326019</v>
      </c>
      <c r="E46" s="111">
        <f>$H$20*1.05</f>
        <v>22148.391019232</v>
      </c>
      <c r="F46" s="112">
        <f>$H$20*1.1</f>
        <v>23203.0763058621</v>
      </c>
      <c r="G46" s="16"/>
      <c r="H46" s="16"/>
      <c r="I46" s="16"/>
      <c r="J46" s="16"/>
      <c r="K46" s="9"/>
      <c r="L46" s="9"/>
      <c r="M46" s="9"/>
    </row>
    <row r="47" ht="14.25" customHeight="1">
      <c r="A47" s="114">
        <f>$F$19*0.9</f>
        <v>11.1515444445051</v>
      </c>
      <c r="B47" s="115">
        <f>$A47*(B$46/'Financials Multiples'!$E$70)</f>
        <v>47.6576149832919</v>
      </c>
      <c r="C47" s="115">
        <f>$A47*(C$46/'Financials Multiples'!$E$70)</f>
        <v>50.3052602601415</v>
      </c>
      <c r="D47" s="115">
        <f>$A47*(D$46/'Financials Multiples'!$E$70)</f>
        <v>52.952905536991</v>
      </c>
      <c r="E47" s="115">
        <f>$A47*(E$46/'Financials Multiples'!$E$70)</f>
        <v>55.6005508138406</v>
      </c>
      <c r="F47" s="116">
        <f>$A47*(F$46/'Financials Multiples'!$E$70)</f>
        <v>58.2481960906901</v>
      </c>
      <c r="G47" s="16"/>
      <c r="H47" s="16"/>
      <c r="I47" s="16"/>
      <c r="J47" s="16"/>
      <c r="K47" s="9"/>
      <c r="L47" s="9"/>
      <c r="M47" s="9"/>
    </row>
    <row r="48" ht="14.25" customHeight="1">
      <c r="A48" s="114">
        <f>$F$19*0.95</f>
        <v>11.771074691422</v>
      </c>
      <c r="B48" s="115">
        <f>$A48*(B$46/'Financials Multiples'!$E$70)</f>
        <v>50.3052602601415</v>
      </c>
      <c r="C48" s="115">
        <f>$A48*(C$46/'Financials Multiples'!$E$70)</f>
        <v>53.0999969412604</v>
      </c>
      <c r="D48" s="115">
        <f>$A48*(D$46/'Financials Multiples'!$E$70)</f>
        <v>55.8947336223794</v>
      </c>
      <c r="E48" s="115">
        <f>$A48*(E$46/'Financials Multiples'!$E$70)</f>
        <v>58.6894703034984</v>
      </c>
      <c r="F48" s="116">
        <f>$A48*(F$46/'Financials Multiples'!$E$70)</f>
        <v>61.4842069846173</v>
      </c>
      <c r="G48" s="16"/>
      <c r="H48" s="16"/>
      <c r="I48" s="16"/>
      <c r="J48" s="16"/>
      <c r="K48" s="9"/>
      <c r="L48" s="9"/>
      <c r="M48" s="9"/>
    </row>
    <row r="49" ht="14.25" customHeight="1">
      <c r="A49" s="114">
        <f>$F$19</f>
        <v>12.3906049383389</v>
      </c>
      <c r="B49" s="115">
        <f>$A49*(B$46/'Financials Multiples'!$E$70)</f>
        <v>52.952905536991</v>
      </c>
      <c r="C49" s="115">
        <f>$A49*(C$46/'Financials Multiples'!$E$70)</f>
        <v>55.8947336223794</v>
      </c>
      <c r="D49" s="115">
        <f>$A49*(D$46/'Financials Multiples'!$E$70)</f>
        <v>58.8365617077678</v>
      </c>
      <c r="E49" s="115">
        <f>$A49*(E$46/'Financials Multiples'!$E$70)</f>
        <v>61.7783897931562</v>
      </c>
      <c r="F49" s="116">
        <f>$A49*(F$46/'Financials Multiples'!$E$70)</f>
        <v>64.7202178785446</v>
      </c>
      <c r="G49" s="16"/>
      <c r="H49" s="16"/>
      <c r="I49" s="16"/>
      <c r="J49" s="16"/>
      <c r="K49" s="9"/>
      <c r="L49" s="9"/>
      <c r="M49" s="9"/>
    </row>
    <row r="50" ht="14.25" customHeight="1">
      <c r="A50" s="114">
        <f>$F$19*1.05</f>
        <v>13.0101351852559</v>
      </c>
      <c r="B50" s="115">
        <f>$A50*(B$46/'Financials Multiples'!$E$70)</f>
        <v>55.6005508138406</v>
      </c>
      <c r="C50" s="115">
        <f>$A50*(C$46/'Financials Multiples'!$E$70)</f>
        <v>58.6894703034984</v>
      </c>
      <c r="D50" s="115">
        <f>$A50*(D$46/'Financials Multiples'!$E$70)</f>
        <v>61.7783897931562</v>
      </c>
      <c r="E50" s="115">
        <f>$A50*(E$46/'Financials Multiples'!$E$70)</f>
        <v>64.867309282814</v>
      </c>
      <c r="F50" s="116">
        <f>$A50*(F$46/'Financials Multiples'!$E$70)</f>
        <v>67.9562287724718</v>
      </c>
      <c r="G50" s="16"/>
      <c r="H50" s="16"/>
      <c r="I50" s="16"/>
      <c r="J50" s="16"/>
      <c r="K50" s="9"/>
      <c r="L50" s="9"/>
      <c r="M50" s="9"/>
    </row>
    <row r="51" ht="14.25" customHeight="1">
      <c r="A51" s="117">
        <f>$F$19*1.1</f>
        <v>13.6296654321728</v>
      </c>
      <c r="B51" s="119">
        <f>$A51*(B$46/'Financials Multiples'!$E$70)</f>
        <v>58.2481960906901</v>
      </c>
      <c r="C51" s="119">
        <f>$A51*(C$46/'Financials Multiples'!$E$70)</f>
        <v>61.4842069846173</v>
      </c>
      <c r="D51" s="119">
        <f>$A51*(D$46/'Financials Multiples'!$E$70)</f>
        <v>64.7202178785446</v>
      </c>
      <c r="E51" s="119">
        <f>$A51*(E$46/'Financials Multiples'!$E$70)</f>
        <v>67.9562287724718</v>
      </c>
      <c r="F51" s="121">
        <f>$A51*(F$46/'Financials Multiples'!$E$70)</f>
        <v>71.192239666399</v>
      </c>
      <c r="G51" s="16"/>
      <c r="H51" s="16"/>
      <c r="I51" s="16"/>
      <c r="J51" s="16"/>
      <c r="K51" s="9"/>
      <c r="L51" s="9"/>
      <c r="M51" s="9"/>
    </row>
    <row r="52" ht="14.25" customHeight="1">
      <c r="A52" s="16"/>
      <c r="B52" s="93"/>
      <c r="C52" s="93"/>
      <c r="D52" s="93"/>
      <c r="E52" s="93"/>
      <c r="F52" s="93"/>
      <c r="G52" s="93"/>
      <c r="H52" s="102"/>
      <c r="I52" s="103"/>
      <c r="J52" s="103"/>
      <c r="K52" s="9"/>
      <c r="L52" s="9"/>
      <c r="M52" s="9"/>
    </row>
    <row r="53" ht="14.25" customHeight="1">
      <c r="A53" s="16"/>
      <c r="B53" s="93"/>
      <c r="C53" s="93"/>
      <c r="D53" s="93"/>
      <c r="E53" s="93"/>
      <c r="F53" s="93"/>
      <c r="G53" s="93"/>
      <c r="H53" s="102"/>
      <c r="I53" s="103"/>
      <c r="J53" s="103"/>
      <c r="K53" s="9"/>
      <c r="L53" s="9"/>
      <c r="M53" s="9"/>
    </row>
    <row r="54" ht="14.25" customHeight="1">
      <c r="A54" s="16"/>
      <c r="B54" s="93"/>
      <c r="C54" s="93"/>
      <c r="D54" s="93"/>
      <c r="E54" s="93"/>
      <c r="F54" s="93"/>
      <c r="G54" s="93"/>
      <c r="H54" s="102"/>
      <c r="I54" s="103"/>
      <c r="J54" s="103"/>
      <c r="K54" s="9"/>
      <c r="L54" s="9"/>
      <c r="M54" s="9"/>
    </row>
    <row r="55" ht="14.25" customHeight="1">
      <c r="A55" s="16"/>
      <c r="B55" s="93"/>
      <c r="C55" s="93"/>
      <c r="D55" s="93"/>
      <c r="E55" s="93"/>
      <c r="F55" s="93"/>
      <c r="G55" s="93"/>
      <c r="H55" s="102"/>
      <c r="I55" s="103"/>
      <c r="J55" s="103"/>
      <c r="K55" s="9"/>
      <c r="L55" s="9"/>
      <c r="M55" s="9"/>
    </row>
    <row r="56" ht="14.25" customHeight="1">
      <c r="A56" s="16"/>
      <c r="B56" s="93"/>
      <c r="C56" s="93"/>
      <c r="D56" s="93"/>
      <c r="E56" s="93"/>
      <c r="F56" s="93"/>
      <c r="G56" s="93"/>
      <c r="H56" s="102"/>
      <c r="I56" s="103"/>
      <c r="J56" s="103"/>
      <c r="K56" s="9"/>
      <c r="L56" s="9"/>
      <c r="M56" s="9"/>
    </row>
    <row r="57" ht="15.75" customHeight="1">
      <c r="A57" s="77"/>
      <c r="B57" s="77"/>
      <c r="C57" s="77"/>
      <c r="D57" s="77"/>
      <c r="E57" s="77"/>
      <c r="F57" s="77"/>
      <c r="G57" s="77"/>
      <c r="H57" s="77"/>
      <c r="I57" s="77"/>
      <c r="J57" s="77"/>
      <c r="K57" s="77"/>
      <c r="L57" s="77"/>
      <c r="M57" s="77"/>
    </row>
    <row r="58" ht="15.75" customHeight="1">
      <c r="A58" s="77"/>
      <c r="B58" s="77"/>
      <c r="C58" s="77"/>
      <c r="D58" s="77"/>
      <c r="E58" s="77"/>
      <c r="F58" s="77"/>
      <c r="G58" s="77"/>
      <c r="H58" s="77"/>
      <c r="I58" s="77"/>
      <c r="J58" s="77"/>
      <c r="K58" s="77"/>
      <c r="L58" s="77"/>
      <c r="M58" s="77"/>
    </row>
    <row r="59" ht="15.75" customHeight="1">
      <c r="A59" s="77"/>
      <c r="B59" s="77"/>
      <c r="C59" s="77"/>
      <c r="D59" s="77"/>
      <c r="E59" s="77"/>
      <c r="F59" s="77"/>
      <c r="G59" s="77"/>
      <c r="H59" s="77"/>
      <c r="I59" s="77"/>
      <c r="J59" s="77"/>
      <c r="K59" s="77"/>
      <c r="L59" s="77"/>
      <c r="M59" s="77"/>
    </row>
    <row r="60" ht="15.75" customHeight="1">
      <c r="A60" s="77"/>
      <c r="B60" s="77"/>
      <c r="C60" s="77"/>
      <c r="D60" s="77"/>
      <c r="E60" s="77"/>
      <c r="F60" s="77"/>
      <c r="G60" s="77"/>
      <c r="H60" s="77"/>
      <c r="I60" s="77"/>
      <c r="J60" s="77"/>
      <c r="K60" s="77"/>
      <c r="L60" s="77"/>
      <c r="M60" s="77"/>
    </row>
    <row r="61" ht="15.75" customHeight="1">
      <c r="A61" s="77"/>
      <c r="B61" s="77"/>
      <c r="C61" s="77"/>
      <c r="D61" s="77"/>
      <c r="E61" s="77"/>
      <c r="F61" s="77"/>
      <c r="G61" s="77"/>
      <c r="H61" s="77"/>
      <c r="I61" s="77"/>
      <c r="J61" s="77"/>
      <c r="K61" s="77"/>
      <c r="L61" s="77"/>
      <c r="M61" s="77"/>
    </row>
    <row r="62" ht="15.75" customHeight="1">
      <c r="A62" s="77"/>
      <c r="B62" s="77"/>
      <c r="C62" s="77"/>
      <c r="D62" s="77"/>
      <c r="E62" s="77"/>
      <c r="F62" s="77"/>
      <c r="G62" s="77"/>
      <c r="H62" s="77"/>
      <c r="I62" s="77"/>
      <c r="J62" s="77"/>
      <c r="K62" s="77"/>
      <c r="L62" s="77"/>
      <c r="M62" s="77"/>
    </row>
    <row r="63" ht="15.75" customHeight="1">
      <c r="A63" s="77"/>
      <c r="B63" s="77"/>
      <c r="C63" s="77"/>
      <c r="D63" s="77"/>
      <c r="E63" s="77"/>
      <c r="F63" s="77"/>
      <c r="G63" s="77"/>
      <c r="H63" s="77"/>
      <c r="I63" s="77"/>
      <c r="J63" s="77"/>
      <c r="K63" s="77"/>
      <c r="L63" s="77"/>
      <c r="M63" s="77"/>
    </row>
    <row r="64" ht="15.75" customHeight="1">
      <c r="A64" s="77"/>
      <c r="B64" s="77"/>
      <c r="C64" s="77"/>
      <c r="D64" s="77"/>
      <c r="E64" s="77"/>
      <c r="F64" s="77"/>
      <c r="G64" s="77"/>
      <c r="H64" s="77"/>
      <c r="I64" s="77"/>
      <c r="J64" s="77"/>
      <c r="K64" s="77"/>
      <c r="L64" s="77"/>
      <c r="M64" s="77"/>
    </row>
    <row r="65" ht="15.75" customHeight="1">
      <c r="A65" s="77"/>
      <c r="B65" s="77"/>
      <c r="C65" s="77"/>
      <c r="D65" s="77"/>
      <c r="E65" s="77"/>
      <c r="F65" s="77"/>
      <c r="G65" s="77"/>
      <c r="H65" s="77"/>
      <c r="I65" s="77"/>
      <c r="J65" s="77"/>
      <c r="K65" s="77"/>
      <c r="L65" s="77"/>
      <c r="M65" s="77"/>
    </row>
    <row r="66" ht="15.75" customHeight="1">
      <c r="A66" s="77"/>
      <c r="B66" s="77"/>
      <c r="C66" s="77"/>
      <c r="D66" s="77"/>
      <c r="E66" s="77"/>
      <c r="F66" s="77"/>
      <c r="G66" s="77"/>
      <c r="H66" s="77"/>
      <c r="I66" s="77"/>
      <c r="J66" s="77"/>
      <c r="K66" s="77"/>
      <c r="L66" s="77"/>
      <c r="M66" s="77"/>
    </row>
    <row r="67" ht="15.75" customHeight="1">
      <c r="A67" s="77"/>
      <c r="B67" s="77"/>
      <c r="C67" s="77"/>
      <c r="D67" s="77"/>
      <c r="E67" s="77"/>
      <c r="F67" s="77"/>
      <c r="G67" s="77"/>
      <c r="H67" s="77"/>
      <c r="I67" s="77"/>
      <c r="J67" s="77"/>
      <c r="K67" s="77"/>
      <c r="L67" s="77"/>
      <c r="M67" s="77"/>
    </row>
    <row r="68" ht="15.75" customHeight="1">
      <c r="A68" s="77"/>
      <c r="B68" s="77"/>
      <c r="C68" s="77"/>
      <c r="D68" s="77"/>
      <c r="E68" s="77"/>
      <c r="F68" s="77"/>
      <c r="G68" s="77"/>
      <c r="H68" s="77"/>
      <c r="I68" s="77"/>
      <c r="J68" s="77"/>
      <c r="K68" s="77"/>
      <c r="L68" s="77"/>
      <c r="M68" s="77"/>
    </row>
    <row r="69" ht="15.75" customHeight="1">
      <c r="A69" s="77"/>
      <c r="B69" s="77"/>
      <c r="C69" s="77"/>
      <c r="D69" s="77"/>
      <c r="E69" s="77"/>
      <c r="F69" s="77"/>
      <c r="G69" s="77"/>
      <c r="H69" s="77"/>
      <c r="I69" s="77"/>
      <c r="J69" s="77"/>
      <c r="K69" s="77"/>
      <c r="L69" s="77"/>
      <c r="M69" s="77"/>
    </row>
    <row r="70" ht="15.75" customHeight="1">
      <c r="A70" s="77"/>
      <c r="B70" s="77"/>
      <c r="C70" s="77"/>
      <c r="D70" s="77"/>
      <c r="E70" s="77"/>
      <c r="F70" s="77"/>
      <c r="G70" s="77"/>
      <c r="H70" s="77"/>
      <c r="I70" s="77"/>
      <c r="J70" s="77"/>
      <c r="K70" s="77"/>
      <c r="L70" s="77"/>
      <c r="M70" s="77"/>
    </row>
    <row r="71" ht="15.75" customHeight="1">
      <c r="A71" s="77"/>
      <c r="B71" s="77"/>
      <c r="C71" s="77"/>
      <c r="D71" s="77"/>
      <c r="E71" s="77"/>
      <c r="F71" s="77"/>
      <c r="G71" s="77"/>
      <c r="H71" s="77"/>
      <c r="I71" s="77"/>
      <c r="J71" s="77"/>
      <c r="K71" s="77"/>
      <c r="L71" s="77"/>
      <c r="M71" s="77"/>
    </row>
    <row r="72" ht="15.75" customHeight="1">
      <c r="A72" s="77"/>
      <c r="B72" s="77"/>
      <c r="C72" s="77"/>
      <c r="D72" s="77"/>
      <c r="E72" s="77"/>
      <c r="F72" s="77"/>
      <c r="G72" s="77"/>
      <c r="H72" s="77"/>
      <c r="I72" s="77"/>
      <c r="J72" s="77"/>
      <c r="K72" s="77"/>
      <c r="L72" s="77"/>
      <c r="M72" s="77"/>
    </row>
    <row r="73" ht="15.75" customHeight="1">
      <c r="A73" s="77"/>
      <c r="B73" s="77"/>
      <c r="C73" s="77"/>
      <c r="D73" s="77"/>
      <c r="E73" s="77"/>
      <c r="F73" s="77"/>
      <c r="G73" s="77"/>
      <c r="H73" s="77"/>
      <c r="I73" s="77"/>
      <c r="J73" s="77"/>
      <c r="K73" s="77"/>
      <c r="L73" s="77"/>
      <c r="M73" s="77"/>
    </row>
    <row r="74" ht="15.75" customHeight="1">
      <c r="A74" s="77"/>
      <c r="B74" s="77"/>
      <c r="C74" s="77"/>
      <c r="D74" s="77"/>
      <c r="E74" s="77"/>
      <c r="F74" s="77"/>
      <c r="G74" s="77"/>
      <c r="H74" s="77"/>
      <c r="I74" s="77"/>
      <c r="J74" s="77"/>
      <c r="K74" s="77"/>
      <c r="L74" s="77"/>
      <c r="M74" s="77"/>
    </row>
    <row r="75" ht="15.75" customHeight="1">
      <c r="A75" s="77"/>
      <c r="B75" s="77"/>
      <c r="C75" s="77"/>
      <c r="D75" s="77"/>
      <c r="E75" s="77"/>
      <c r="F75" s="77"/>
      <c r="G75" s="77"/>
      <c r="H75" s="77"/>
      <c r="I75" s="77"/>
      <c r="J75" s="77"/>
      <c r="K75" s="77"/>
      <c r="L75" s="77"/>
      <c r="M75" s="77"/>
    </row>
    <row r="76" ht="15.75" customHeight="1">
      <c r="A76" s="77"/>
      <c r="B76" s="77"/>
      <c r="C76" s="77"/>
      <c r="D76" s="77"/>
      <c r="E76" s="77"/>
      <c r="F76" s="77"/>
      <c r="G76" s="77"/>
      <c r="H76" s="77"/>
      <c r="I76" s="77"/>
      <c r="J76" s="77"/>
      <c r="K76" s="77"/>
      <c r="L76" s="77"/>
      <c r="M76" s="77"/>
    </row>
    <row r="77" ht="15.75" customHeight="1">
      <c r="A77" s="77"/>
      <c r="B77" s="77"/>
      <c r="C77" s="77"/>
      <c r="D77" s="77"/>
      <c r="E77" s="77"/>
      <c r="F77" s="77"/>
      <c r="G77" s="77"/>
      <c r="H77" s="77"/>
      <c r="I77" s="77"/>
      <c r="J77" s="77"/>
      <c r="K77" s="77"/>
      <c r="L77" s="77"/>
      <c r="M77" s="77"/>
    </row>
    <row r="78" ht="15.75" customHeight="1">
      <c r="A78" s="77"/>
      <c r="B78" s="77"/>
      <c r="C78" s="77"/>
      <c r="D78" s="77"/>
      <c r="E78" s="77"/>
      <c r="F78" s="77"/>
      <c r="G78" s="77"/>
      <c r="H78" s="77"/>
      <c r="I78" s="77"/>
      <c r="J78" s="77"/>
      <c r="K78" s="77"/>
      <c r="L78" s="77"/>
      <c r="M78" s="77"/>
    </row>
    <row r="79" ht="15.75" customHeight="1">
      <c r="A79" s="77"/>
      <c r="B79" s="77"/>
      <c r="C79" s="77"/>
      <c r="D79" s="77"/>
      <c r="E79" s="77"/>
      <c r="F79" s="77"/>
      <c r="G79" s="77"/>
      <c r="H79" s="77"/>
      <c r="I79" s="77"/>
      <c r="J79" s="77"/>
      <c r="K79" s="77"/>
      <c r="L79" s="77"/>
      <c r="M79" s="77"/>
    </row>
    <row r="80" ht="15.75" customHeight="1">
      <c r="A80" s="77"/>
      <c r="B80" s="77"/>
      <c r="C80" s="77"/>
      <c r="D80" s="77"/>
      <c r="E80" s="77"/>
      <c r="F80" s="77"/>
      <c r="G80" s="77"/>
      <c r="H80" s="77"/>
      <c r="I80" s="77"/>
      <c r="J80" s="77"/>
      <c r="K80" s="77"/>
      <c r="L80" s="77"/>
      <c r="M80" s="77"/>
    </row>
    <row r="81" ht="15.75" customHeight="1">
      <c r="A81" s="77"/>
      <c r="B81" s="77"/>
      <c r="C81" s="77"/>
      <c r="D81" s="77"/>
      <c r="E81" s="77"/>
      <c r="F81" s="77"/>
      <c r="G81" s="77"/>
      <c r="H81" s="77"/>
      <c r="I81" s="77"/>
      <c r="J81" s="77"/>
      <c r="K81" s="77"/>
      <c r="L81" s="77"/>
      <c r="M81" s="77"/>
    </row>
    <row r="82" ht="15.75" customHeight="1">
      <c r="A82" s="77"/>
      <c r="B82" s="77"/>
      <c r="C82" s="77"/>
      <c r="D82" s="77"/>
      <c r="E82" s="77"/>
      <c r="F82" s="77"/>
      <c r="G82" s="77"/>
      <c r="H82" s="77"/>
      <c r="I82" s="77"/>
      <c r="J82" s="77"/>
      <c r="K82" s="77"/>
      <c r="L82" s="77"/>
      <c r="M82" s="77"/>
    </row>
    <row r="83" ht="15.75" customHeight="1">
      <c r="A83" s="77"/>
      <c r="B83" s="77"/>
      <c r="C83" s="77"/>
      <c r="D83" s="77"/>
      <c r="E83" s="77"/>
      <c r="F83" s="77"/>
      <c r="G83" s="77"/>
      <c r="H83" s="77"/>
      <c r="I83" s="77"/>
      <c r="J83" s="77"/>
      <c r="K83" s="77"/>
      <c r="L83" s="77"/>
      <c r="M83" s="77"/>
    </row>
    <row r="84" ht="15.75" customHeight="1">
      <c r="A84" s="77"/>
      <c r="B84" s="77"/>
      <c r="C84" s="77"/>
      <c r="D84" s="77"/>
      <c r="E84" s="77"/>
      <c r="F84" s="77"/>
      <c r="G84" s="77"/>
      <c r="H84" s="77"/>
      <c r="I84" s="77"/>
      <c r="J84" s="77"/>
      <c r="K84" s="77"/>
      <c r="L84" s="77"/>
      <c r="M84" s="77"/>
    </row>
    <row r="85" ht="15.75" customHeight="1">
      <c r="A85" s="77"/>
      <c r="B85" s="77"/>
      <c r="C85" s="77"/>
      <c r="D85" s="77"/>
      <c r="E85" s="77"/>
      <c r="F85" s="77"/>
      <c r="G85" s="77"/>
      <c r="H85" s="77"/>
      <c r="I85" s="77"/>
      <c r="J85" s="77"/>
      <c r="K85" s="77"/>
      <c r="L85" s="77"/>
      <c r="M85" s="77"/>
    </row>
    <row r="86" ht="15.75" customHeight="1">
      <c r="A86" s="77"/>
      <c r="B86" s="77"/>
      <c r="C86" s="77"/>
      <c r="D86" s="77"/>
      <c r="E86" s="77"/>
      <c r="F86" s="77"/>
      <c r="G86" s="77"/>
      <c r="H86" s="77"/>
      <c r="I86" s="77"/>
      <c r="J86" s="77"/>
      <c r="K86" s="77"/>
      <c r="L86" s="77"/>
      <c r="M86" s="77"/>
    </row>
    <row r="87" ht="15.75" customHeight="1">
      <c r="A87" s="77"/>
      <c r="B87" s="77"/>
      <c r="C87" s="77"/>
      <c r="D87" s="77"/>
      <c r="E87" s="77"/>
      <c r="F87" s="77"/>
      <c r="G87" s="77"/>
      <c r="H87" s="77"/>
      <c r="I87" s="77"/>
      <c r="J87" s="77"/>
      <c r="K87" s="77"/>
      <c r="L87" s="77"/>
      <c r="M87" s="77"/>
    </row>
    <row r="88" ht="15.75" customHeight="1">
      <c r="A88" s="77"/>
      <c r="B88" s="77"/>
      <c r="C88" s="77"/>
      <c r="D88" s="77"/>
      <c r="E88" s="77"/>
      <c r="F88" s="77"/>
      <c r="G88" s="77"/>
      <c r="H88" s="77"/>
      <c r="I88" s="77"/>
      <c r="J88" s="77"/>
      <c r="K88" s="77"/>
      <c r="L88" s="77"/>
      <c r="M88" s="77"/>
    </row>
    <row r="89" ht="15.75" customHeight="1">
      <c r="A89" s="77"/>
      <c r="B89" s="77"/>
      <c r="C89" s="77"/>
      <c r="D89" s="77"/>
      <c r="E89" s="77"/>
      <c r="F89" s="77"/>
      <c r="G89" s="77"/>
      <c r="H89" s="77"/>
      <c r="I89" s="77"/>
      <c r="J89" s="77"/>
      <c r="K89" s="77"/>
      <c r="L89" s="77"/>
      <c r="M89" s="77"/>
    </row>
    <row r="90" ht="15.75" customHeight="1">
      <c r="A90" s="77"/>
      <c r="B90" s="77"/>
      <c r="C90" s="77"/>
      <c r="D90" s="77"/>
      <c r="E90" s="77"/>
      <c r="F90" s="77"/>
      <c r="G90" s="77"/>
      <c r="H90" s="77"/>
      <c r="I90" s="77"/>
      <c r="J90" s="77"/>
      <c r="K90" s="77"/>
      <c r="L90" s="77"/>
      <c r="M90" s="77"/>
    </row>
    <row r="91" ht="15.75" customHeight="1">
      <c r="A91" s="77"/>
      <c r="B91" s="77"/>
      <c r="C91" s="77"/>
      <c r="D91" s="77"/>
      <c r="E91" s="77"/>
      <c r="F91" s="77"/>
      <c r="G91" s="77"/>
      <c r="H91" s="77"/>
      <c r="I91" s="77"/>
      <c r="J91" s="77"/>
      <c r="K91" s="77"/>
      <c r="L91" s="77"/>
      <c r="M91" s="77"/>
    </row>
    <row r="92" ht="15.75" customHeight="1">
      <c r="A92" s="77"/>
      <c r="B92" s="77"/>
      <c r="C92" s="77"/>
      <c r="D92" s="77"/>
      <c r="E92" s="77"/>
      <c r="F92" s="77"/>
      <c r="G92" s="77"/>
      <c r="H92" s="77"/>
      <c r="I92" s="77"/>
      <c r="J92" s="77"/>
      <c r="K92" s="77"/>
      <c r="L92" s="77"/>
      <c r="M92" s="77"/>
    </row>
    <row r="93" ht="15.75" customHeight="1">
      <c r="A93" s="77"/>
      <c r="B93" s="77"/>
      <c r="C93" s="77"/>
      <c r="D93" s="77"/>
      <c r="E93" s="77"/>
      <c r="F93" s="77"/>
      <c r="G93" s="77"/>
      <c r="H93" s="77"/>
      <c r="I93" s="77"/>
      <c r="J93" s="77"/>
      <c r="K93" s="77"/>
      <c r="L93" s="77"/>
      <c r="M93" s="77"/>
    </row>
    <row r="94" ht="15.75" customHeight="1">
      <c r="A94" s="77"/>
      <c r="B94" s="77"/>
      <c r="C94" s="77"/>
      <c r="D94" s="77"/>
      <c r="E94" s="77"/>
      <c r="F94" s="77"/>
      <c r="G94" s="77"/>
      <c r="H94" s="77"/>
      <c r="I94" s="77"/>
      <c r="J94" s="77"/>
      <c r="K94" s="77"/>
      <c r="L94" s="77"/>
      <c r="M94" s="77"/>
    </row>
    <row r="95" ht="15.75" customHeight="1">
      <c r="A95" s="77"/>
      <c r="B95" s="77"/>
      <c r="C95" s="77"/>
      <c r="D95" s="77"/>
      <c r="E95" s="77"/>
      <c r="F95" s="77"/>
      <c r="G95" s="77"/>
      <c r="H95" s="77"/>
      <c r="I95" s="77"/>
      <c r="J95" s="77"/>
      <c r="K95" s="77"/>
      <c r="L95" s="77"/>
      <c r="M95" s="77"/>
    </row>
    <row r="96" ht="15.75" customHeight="1">
      <c r="A96" s="77"/>
      <c r="B96" s="77"/>
      <c r="C96" s="77"/>
      <c r="D96" s="77"/>
      <c r="E96" s="77"/>
      <c r="F96" s="77"/>
      <c r="G96" s="77"/>
      <c r="H96" s="77"/>
      <c r="I96" s="77"/>
      <c r="J96" s="77"/>
      <c r="K96" s="77"/>
      <c r="L96" s="77"/>
      <c r="M96" s="77"/>
    </row>
    <row r="97" ht="15.75" customHeight="1">
      <c r="A97" s="77"/>
      <c r="B97" s="77"/>
      <c r="C97" s="77"/>
      <c r="D97" s="77"/>
      <c r="E97" s="77"/>
      <c r="F97" s="77"/>
      <c r="G97" s="77"/>
      <c r="H97" s="77"/>
      <c r="I97" s="77"/>
      <c r="J97" s="77"/>
      <c r="K97" s="77"/>
      <c r="L97" s="77"/>
      <c r="M97" s="77"/>
    </row>
    <row r="98" ht="15.75" customHeight="1">
      <c r="A98" s="77"/>
      <c r="B98" s="77"/>
      <c r="C98" s="77"/>
      <c r="D98" s="77"/>
      <c r="E98" s="77"/>
      <c r="F98" s="77"/>
      <c r="G98" s="77"/>
      <c r="H98" s="77"/>
      <c r="I98" s="77"/>
      <c r="J98" s="77"/>
      <c r="K98" s="77"/>
      <c r="L98" s="77"/>
      <c r="M98" s="77"/>
    </row>
    <row r="99" ht="15.75" customHeight="1">
      <c r="A99" s="77"/>
      <c r="B99" s="77"/>
      <c r="C99" s="77"/>
      <c r="D99" s="77"/>
      <c r="E99" s="77"/>
      <c r="F99" s="77"/>
      <c r="G99" s="77"/>
      <c r="H99" s="77"/>
      <c r="I99" s="77"/>
      <c r="J99" s="77"/>
      <c r="K99" s="77"/>
      <c r="L99" s="77"/>
      <c r="M99" s="77"/>
    </row>
    <row r="100" ht="15.75" customHeight="1">
      <c r="A100" s="77"/>
      <c r="B100" s="77"/>
      <c r="C100" s="77"/>
      <c r="D100" s="77"/>
      <c r="E100" s="77"/>
      <c r="F100" s="77"/>
      <c r="G100" s="77"/>
      <c r="H100" s="77"/>
      <c r="I100" s="77"/>
      <c r="J100" s="77"/>
      <c r="K100" s="77"/>
      <c r="L100" s="77"/>
      <c r="M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showGridLines="0" workbookViewId="0"/>
  </sheetViews>
  <sheetFormatPr customHeight="1" defaultColWidth="12.63" defaultRowHeight="15.0"/>
  <cols>
    <col customWidth="1" min="1" max="1" width="31.63"/>
    <col customWidth="1" min="2" max="2" width="12.13"/>
    <col customWidth="1" min="3" max="4" width="8.63"/>
    <col customWidth="1" min="5" max="8" width="12.88"/>
    <col customWidth="1" min="9" max="9" width="8.38"/>
    <col customWidth="1" min="10" max="10" width="16.0"/>
    <col customWidth="1" min="11" max="13" width="8.38"/>
    <col customWidth="1" min="14" max="26" width="11.25"/>
  </cols>
  <sheetData>
    <row r="1" ht="37.5" customHeight="1">
      <c r="A1" s="2" t="str">
        <f>'Input sheet'!A1</f>
        <v>Novo Nordisk (NYSE:NVO)</v>
      </c>
      <c r="B1" s="2"/>
      <c r="C1" s="2" t="s">
        <v>57</v>
      </c>
      <c r="D1" s="2">
        <f>'Input sheet'!D1</f>
        <v>39.4</v>
      </c>
      <c r="E1" s="120"/>
      <c r="F1" s="120"/>
      <c r="G1" s="120"/>
      <c r="H1" s="120"/>
      <c r="I1" s="120"/>
      <c r="J1" s="120"/>
      <c r="K1" s="120"/>
      <c r="L1" s="120"/>
      <c r="M1" s="120"/>
    </row>
    <row r="2" ht="14.25" customHeight="1">
      <c r="A2" s="122" t="s">
        <v>58</v>
      </c>
      <c r="B2" s="123"/>
      <c r="C2" s="123"/>
      <c r="D2" s="123"/>
      <c r="E2" s="123"/>
      <c r="F2" s="123"/>
      <c r="G2" s="123"/>
      <c r="H2" s="123"/>
      <c r="I2" s="123"/>
      <c r="J2" s="123"/>
      <c r="K2" s="123"/>
      <c r="L2" s="123"/>
      <c r="M2" s="123"/>
    </row>
    <row r="3" ht="14.25" customHeight="1">
      <c r="A3" s="123" t="s">
        <v>59</v>
      </c>
      <c r="B3" s="123">
        <f>'Input sheet'!D1</f>
        <v>39.4</v>
      </c>
      <c r="C3" s="123"/>
      <c r="D3" s="123"/>
      <c r="E3" s="123"/>
      <c r="F3" s="123"/>
      <c r="G3" s="123"/>
      <c r="H3" s="123"/>
      <c r="I3" s="123"/>
      <c r="J3" s="123"/>
      <c r="K3" s="123"/>
      <c r="L3" s="123"/>
      <c r="M3" s="123"/>
    </row>
    <row r="4" ht="14.25" customHeight="1">
      <c r="A4" s="123"/>
      <c r="B4" s="123"/>
      <c r="C4" s="123"/>
      <c r="D4" s="123"/>
      <c r="E4" s="123"/>
      <c r="F4" s="123"/>
      <c r="G4" s="123"/>
      <c r="H4" s="123"/>
      <c r="I4" s="123"/>
      <c r="J4" s="123"/>
      <c r="K4" s="123"/>
      <c r="L4" s="123"/>
      <c r="M4" s="123"/>
    </row>
    <row r="5" ht="14.25" customHeight="1">
      <c r="A5" s="124" t="s">
        <v>60</v>
      </c>
      <c r="B5" s="124" t="s">
        <v>61</v>
      </c>
      <c r="C5" s="124"/>
      <c r="D5" s="124"/>
      <c r="E5" s="124"/>
      <c r="F5" s="124"/>
      <c r="G5" s="124"/>
      <c r="H5" s="124"/>
      <c r="I5" s="124"/>
      <c r="J5" s="124"/>
      <c r="K5" s="124"/>
      <c r="L5" s="124"/>
      <c r="M5" s="124"/>
    </row>
    <row r="6" ht="14.25" customHeight="1">
      <c r="A6" s="126" t="s">
        <v>62</v>
      </c>
      <c r="B6" s="126" t="inlineStr">
        <is>
          <t xml:space="preserve">Dec '22</t>
        </is>
      </c>
      <c r="C6" s="126" t="inlineStr">
        <is>
          <t xml:space="preserve">Dec '23</t>
        </is>
      </c>
      <c r="D6" s="126" t="inlineStr">
        <is>
          <t xml:space="preserve">Dec '24</t>
        </is>
      </c>
      <c r="E6" s="126" t="inlineStr">
        <is>
          <t xml:space="preserve">Dec '25</t>
        </is>
      </c>
      <c r="F6" s="126" t="s">
        <v>67</v>
      </c>
      <c r="G6" s="126" t="s">
        <v>68</v>
      </c>
      <c r="H6" s="126" t="s">
        <v>69</v>
      </c>
      <c r="I6" s="123"/>
      <c r="J6" s="123"/>
      <c r="K6" s="123"/>
      <c r="L6" s="123"/>
      <c r="M6" s="123"/>
    </row>
    <row r="7" ht="14.25" customHeight="1">
      <c r="A7" s="127" t="s">
        <v>71</v>
      </c>
      <c r="B7" s="15">
        <f>'Trailing Valuation'!H5</f>
        <v>304773.462</v>
      </c>
      <c r="C7" s="15">
        <f>'Trailing Valuation'!I5</f>
        <v>463924.972</v>
      </c>
      <c r="D7" s="15">
        <f>'Trailing Valuation'!J5</f>
        <v>387177.527</v>
      </c>
      <c r="E7" s="15">
        <f>'Trailing Valuation'!K5</f>
        <v>227170.59</v>
      </c>
      <c r="F7" s="15">
        <f>'Trailing Valuation'!L5</f>
        <v>174021.92</v>
      </c>
      <c r="G7" s="19"/>
      <c r="H7" s="19"/>
      <c r="I7" s="123"/>
      <c r="J7" s="128" t="s">
        <v>73</v>
      </c>
      <c r="K7" s="123"/>
      <c r="L7" s="123"/>
      <c r="M7" s="123"/>
    </row>
    <row r="8" ht="14.25" customHeight="1">
      <c r="A8" s="127" t="s">
        <v>137</v>
      </c>
      <c r="B8" s="25">
        <f>'Trailing Valuation'!H13</f>
        <v>38.9745075318656</v>
      </c>
      <c r="C8" s="25">
        <f t="shared" ref="C8:E8" si="1">C7/C9</f>
        <v>38.2111153025673</v>
      </c>
      <c r="D8" s="25">
        <f t="shared" si="1"/>
        <v>26.4268766423906</v>
      </c>
      <c r="E8" s="25">
        <f t="shared" si="1"/>
        <v>14.6763352219502</v>
      </c>
      <c r="F8" s="34">
        <f>IFERROR(IF(J8&lt;&gt;"",J8,F19*0.9),"")</f>
        <v>13.2087016997552</v>
      </c>
      <c r="G8" s="34">
        <f>F8</f>
        <v>13.2087016997552</v>
      </c>
      <c r="H8" s="34">
        <f>F8</f>
        <v>13.2087016997552</v>
      </c>
      <c r="I8" s="123"/>
      <c r="J8" s="129"/>
      <c r="K8" s="123"/>
      <c r="L8" s="123"/>
      <c r="M8" s="123"/>
    </row>
    <row r="9" ht="14.25" customHeight="1">
      <c r="A9" s="127" t="s">
        <v>138</v>
      </c>
      <c r="B9" s="19">
        <f>B7/B8</f>
        <v>7819.8156</v>
      </c>
      <c r="C9" s="19">
        <f>'Financials Multiples'!B15</f>
        <v>12141.1</v>
      </c>
      <c r="D9" s="19">
        <f>'Financials Multiples'!C15</f>
        <v>14650.9</v>
      </c>
      <c r="E9" s="19">
        <f>'Financials Multiples'!D15</f>
        <v>15478.7</v>
      </c>
      <c r="F9" s="19">
        <f>'Financials Multiples'!E15</f>
        <v>18023.1076095315</v>
      </c>
      <c r="G9" s="19">
        <f>'Financials Multiples'!F15</f>
        <v>18414.6303664147</v>
      </c>
      <c r="H9" s="19">
        <f>'Financials Multiples'!G15</f>
        <v>18656.258540769</v>
      </c>
      <c r="I9" s="123"/>
      <c r="J9" s="123"/>
      <c r="K9" s="123"/>
      <c r="L9" s="123"/>
      <c r="M9" s="123"/>
    </row>
    <row r="10" ht="14.25" customHeight="1">
      <c r="A10" s="130" t="s">
        <v>83</v>
      </c>
      <c r="B10" s="57"/>
      <c r="C10" s="57"/>
      <c r="D10" s="57"/>
      <c r="E10" s="57"/>
      <c r="F10" s="57">
        <f>F8*(F9/'Financials Multiples'!E31)</f>
        <v>53.5909801712865</v>
      </c>
      <c r="G10" s="57">
        <f>G8*(G9/'Financials Multiples'!F31)</f>
        <v>55.0442227680241</v>
      </c>
      <c r="H10" s="57">
        <f>H8*(H9/'Financials Multiples'!G31)</f>
        <v>56.0608919334477</v>
      </c>
      <c r="I10" s="123"/>
      <c r="J10" s="123"/>
      <c r="K10" s="123"/>
      <c r="L10" s="123"/>
      <c r="M10" s="123"/>
    </row>
    <row r="11" ht="14.25" customHeight="1">
      <c r="A11" s="127" t="s">
        <v>85</v>
      </c>
      <c r="B11" s="19"/>
      <c r="C11" s="19"/>
      <c r="D11" s="19"/>
      <c r="E11" s="19"/>
      <c r="F11" s="19">
        <f>'Financials Multiples'!E35</f>
        <v>1.8266</v>
      </c>
      <c r="G11" s="19">
        <f>'Financials Multiples'!F35</f>
        <v>1.95525136250418</v>
      </c>
      <c r="H11" s="19">
        <f>'Financials Multiples'!G35</f>
        <v>2.08390272500836</v>
      </c>
      <c r="I11" s="123"/>
      <c r="J11" s="123"/>
      <c r="K11" s="123"/>
      <c r="L11" s="123"/>
      <c r="M11" s="123"/>
    </row>
    <row r="12" ht="14.25" customHeight="1">
      <c r="A12" s="130" t="s">
        <v>87</v>
      </c>
      <c r="B12" s="57"/>
      <c r="C12" s="57"/>
      <c r="D12" s="57"/>
      <c r="E12" s="57"/>
      <c r="F12" s="57">
        <f t="shared" ref="F12:H12" si="2">F10+F11</f>
        <v>55.4175801712865</v>
      </c>
      <c r="G12" s="57">
        <f t="shared" si="2"/>
        <v>56.9994741305283</v>
      </c>
      <c r="H12" s="78">
        <f t="shared" si="2"/>
        <v>58.1447946584561</v>
      </c>
      <c r="I12" s="123"/>
      <c r="J12" s="123"/>
      <c r="K12" s="123"/>
      <c r="L12" s="123"/>
      <c r="M12" s="123"/>
    </row>
    <row r="13" ht="14.25" customHeight="1">
      <c r="A13" s="130" t="s">
        <v>89</v>
      </c>
      <c r="B13" s="79"/>
      <c r="C13" s="79"/>
      <c r="D13" s="79"/>
      <c r="E13" s="79"/>
      <c r="F13" s="79">
        <f>(F12-B3)/B3</f>
        <v>0.40653756779915</v>
      </c>
      <c r="G13" s="79">
        <f>(G12-B3)/B3</f>
        <v>0.446687160673306</v>
      </c>
      <c r="H13" s="79">
        <f>(H12-B3)/B3</f>
        <v>0.475756209605485</v>
      </c>
      <c r="I13" s="123"/>
      <c r="J13" s="123"/>
      <c r="K13" s="123"/>
      <c r="L13" s="123"/>
      <c r="M13" s="123"/>
    </row>
    <row r="14" ht="14.25" customHeight="1">
      <c r="A14" s="127" t="s">
        <v>93</v>
      </c>
      <c r="B14" s="84"/>
      <c r="C14" s="84"/>
      <c r="D14" s="84"/>
      <c r="E14" s="84"/>
      <c r="F14" s="84">
        <f>(F12/B3) ^ (1 / 1) - 1</f>
        <v>0.40653756779915</v>
      </c>
      <c r="G14" s="84">
        <f>(G12/B3) ^ (1 / 2) - 1</f>
        <v>0.20278308961895</v>
      </c>
      <c r="H14" s="84">
        <f>(H12/B3) ^ (1 / 3) - 1</f>
        <v>0.138513557083435</v>
      </c>
      <c r="I14" s="123"/>
      <c r="J14" s="123"/>
      <c r="K14" s="123"/>
      <c r="L14" s="123"/>
      <c r="M14" s="123"/>
    </row>
    <row r="15" ht="14.25" customHeight="1">
      <c r="A15" s="123"/>
      <c r="B15" s="123"/>
      <c r="C15" s="123"/>
      <c r="D15" s="123"/>
      <c r="E15" s="123"/>
      <c r="F15" s="123"/>
      <c r="G15" s="123"/>
      <c r="H15" s="123"/>
      <c r="I15" s="123"/>
      <c r="J15" s="123"/>
      <c r="K15" s="123"/>
      <c r="L15" s="123"/>
      <c r="M15" s="123"/>
    </row>
    <row r="16" ht="14.25" customHeight="1">
      <c r="A16" s="124" t="s">
        <v>60</v>
      </c>
      <c r="B16" s="124" t="s">
        <v>106</v>
      </c>
      <c r="C16" s="124"/>
      <c r="D16" s="124"/>
      <c r="E16" s="124"/>
      <c r="F16" s="124"/>
      <c r="G16" s="124"/>
      <c r="H16" s="124"/>
      <c r="I16" s="124"/>
      <c r="J16" s="124"/>
      <c r="K16" s="124"/>
      <c r="L16" s="124"/>
      <c r="M16" s="124"/>
    </row>
    <row r="17" ht="14.25" customHeight="1">
      <c r="A17" s="126" t="s">
        <v>62</v>
      </c>
      <c r="B17" s="126" t="inlineStr">
        <is>
          <t xml:space="preserve">Dec '22</t>
        </is>
      </c>
      <c r="C17" s="126" t="inlineStr">
        <is>
          <t xml:space="preserve">Dec '23</t>
        </is>
      </c>
      <c r="D17" s="126" t="inlineStr">
        <is>
          <t xml:space="preserve">Dec '24</t>
        </is>
      </c>
      <c r="E17" s="126" t="inlineStr">
        <is>
          <t xml:space="preserve">Dec '25</t>
        </is>
      </c>
      <c r="F17" s="126" t="s">
        <v>67</v>
      </c>
      <c r="G17" s="126" t="s">
        <v>68</v>
      </c>
      <c r="H17" s="126" t="s">
        <v>69</v>
      </c>
      <c r="I17" s="123"/>
      <c r="J17" s="123"/>
      <c r="K17" s="123"/>
      <c r="L17" s="123"/>
      <c r="M17" s="123"/>
    </row>
    <row r="18" ht="14.25" customHeight="1">
      <c r="A18" s="127" t="s">
        <v>71</v>
      </c>
      <c r="B18" s="15">
        <f t="shared" ref="B18:F18" si="3">B7</f>
        <v>304773.462</v>
      </c>
      <c r="C18" s="15">
        <f t="shared" si="3"/>
        <v>463924.972</v>
      </c>
      <c r="D18" s="15">
        <f t="shared" si="3"/>
        <v>387177.527</v>
      </c>
      <c r="E18" s="15">
        <f t="shared" si="3"/>
        <v>227170.59</v>
      </c>
      <c r="F18" s="15">
        <f t="shared" si="3"/>
        <v>174021.92</v>
      </c>
      <c r="G18" s="19"/>
      <c r="H18" s="19"/>
      <c r="I18" s="123"/>
      <c r="J18" s="128" t="s">
        <v>73</v>
      </c>
      <c r="K18" s="123"/>
      <c r="L18" s="123"/>
      <c r="M18" s="123"/>
    </row>
    <row r="19" ht="14.25" customHeight="1">
      <c r="A19" s="127" t="s">
        <v>137</v>
      </c>
      <c r="B19" s="99">
        <f t="shared" ref="B19:E19" si="4">B8</f>
        <v>38.9745075318656</v>
      </c>
      <c r="C19" s="99">
        <f t="shared" si="4"/>
        <v>38.2111153025673</v>
      </c>
      <c r="D19" s="99">
        <f t="shared" si="4"/>
        <v>26.4268766423906</v>
      </c>
      <c r="E19" s="99">
        <f t="shared" si="4"/>
        <v>14.6763352219502</v>
      </c>
      <c r="F19" s="34">
        <f>IFERROR(IF(J19&lt;&gt;"",J19,MEDIAN('Trailing Valuation'!G13:K13)),"")</f>
        <v>14.6763352219502</v>
      </c>
      <c r="G19" s="34">
        <f>F19</f>
        <v>14.6763352219502</v>
      </c>
      <c r="H19" s="34">
        <f>F19</f>
        <v>14.6763352219502</v>
      </c>
      <c r="I19" s="123"/>
      <c r="J19" s="129">
        <f>MIN(B19:E19)</f>
        <v>14.6763352219502</v>
      </c>
      <c r="K19" s="123"/>
      <c r="L19" s="123"/>
      <c r="M19" s="123"/>
    </row>
    <row r="20" ht="14.25" customHeight="1">
      <c r="A20" s="127" t="s">
        <v>138</v>
      </c>
      <c r="B20" s="19">
        <f>B18/B19</f>
        <v>7819.8156</v>
      </c>
      <c r="C20" s="19">
        <f>'Financials Multiples'!B54</f>
        <v>12141.1</v>
      </c>
      <c r="D20" s="19">
        <f>'Financials Multiples'!C54</f>
        <v>14650.9</v>
      </c>
      <c r="E20" s="19">
        <f>'Financials Multiples'!D54</f>
        <v>15478.7</v>
      </c>
      <c r="F20" s="19">
        <f>'Financials Multiples'!E54</f>
        <v>17219.5295632467</v>
      </c>
      <c r="G20" s="19">
        <f>'Financials Multiples'!F54</f>
        <v>17447.1799727592</v>
      </c>
      <c r="H20" s="19">
        <f>'Financials Multiples'!G54</f>
        <v>17863.7516295141</v>
      </c>
      <c r="I20" s="123"/>
      <c r="J20" s="123"/>
      <c r="K20" s="123"/>
      <c r="L20" s="123"/>
      <c r="M20" s="123"/>
    </row>
    <row r="21" ht="14.25" customHeight="1">
      <c r="A21" s="130" t="s">
        <v>83</v>
      </c>
      <c r="B21" s="57"/>
      <c r="C21" s="57"/>
      <c r="D21" s="57"/>
      <c r="E21" s="57"/>
      <c r="F21" s="57">
        <f>F19*(F20/'Financials Multiples'!E70)</f>
        <v>56.890637124508</v>
      </c>
      <c r="G21" s="57">
        <f>G19*(G20/'Financials Multiples'!F70)</f>
        <v>57.9470684139594</v>
      </c>
      <c r="H21" s="57">
        <f>H19*(H20/'Financials Multiples'!G70)</f>
        <v>59.6438423920665</v>
      </c>
      <c r="I21" s="123"/>
      <c r="J21" s="123"/>
      <c r="K21" s="123"/>
      <c r="L21" s="123"/>
      <c r="M21" s="123"/>
    </row>
    <row r="22" ht="14.25" customHeight="1">
      <c r="A22" s="127" t="s">
        <v>85</v>
      </c>
      <c r="B22" s="19"/>
      <c r="C22" s="19"/>
      <c r="D22" s="19"/>
      <c r="E22" s="19"/>
      <c r="F22" s="19">
        <f>'Financials Multiples'!E74</f>
        <v>1.8266</v>
      </c>
      <c r="G22" s="19">
        <f>'Financials Multiples'!F74</f>
        <v>1.95525136250418</v>
      </c>
      <c r="H22" s="19">
        <f>'Financials Multiples'!G74</f>
        <v>2.08390272500836</v>
      </c>
      <c r="I22" s="123"/>
      <c r="J22" s="123"/>
      <c r="K22" s="123"/>
      <c r="L22" s="123"/>
      <c r="M22" s="123"/>
    </row>
    <row r="23" ht="14.25" customHeight="1">
      <c r="A23" s="130" t="s">
        <v>87</v>
      </c>
      <c r="B23" s="57"/>
      <c r="C23" s="57"/>
      <c r="D23" s="57"/>
      <c r="E23" s="57"/>
      <c r="F23" s="57">
        <f t="shared" ref="F23:H23" si="5">F21+F22</f>
        <v>58.717237124508</v>
      </c>
      <c r="G23" s="57">
        <f t="shared" si="5"/>
        <v>59.9023197764636</v>
      </c>
      <c r="H23" s="78">
        <f t="shared" si="5"/>
        <v>61.7277451170749</v>
      </c>
      <c r="I23" s="123"/>
      <c r="J23" s="123"/>
      <c r="K23" s="123"/>
      <c r="L23" s="123"/>
      <c r="M23" s="123"/>
    </row>
    <row r="24" ht="14.25" customHeight="1">
      <c r="A24" s="130" t="s">
        <v>89</v>
      </c>
      <c r="B24" s="79"/>
      <c r="C24" s="79"/>
      <c r="D24" s="79"/>
      <c r="E24" s="79"/>
      <c r="F24" s="79">
        <f>(F23-B3)/B3</f>
        <v>0.490285206205786</v>
      </c>
      <c r="G24" s="79">
        <f>(G23-B3)/B3</f>
        <v>0.520363446103136</v>
      </c>
      <c r="H24" s="118">
        <f>(H23-B3)/B3</f>
        <v>0.566694038504438</v>
      </c>
      <c r="I24" s="123"/>
      <c r="J24" s="123"/>
      <c r="K24" s="123"/>
      <c r="L24" s="123"/>
      <c r="M24" s="123"/>
    </row>
    <row r="25" ht="14.25" customHeight="1">
      <c r="A25" s="127" t="s">
        <v>93</v>
      </c>
      <c r="B25" s="84"/>
      <c r="C25" s="84"/>
      <c r="D25" s="84"/>
      <c r="E25" s="84"/>
      <c r="F25" s="84">
        <f>(F23/B3) ^ (1 / 1) - 1</f>
        <v>0.490285206205786</v>
      </c>
      <c r="G25" s="84">
        <f>(G23/B3) ^ (1 / 2) - 1</f>
        <v>0.233030188642247</v>
      </c>
      <c r="H25" s="125">
        <f>(H23/B3) ^ (1 / 3) - 1</f>
        <v>0.161434520965372</v>
      </c>
      <c r="I25" s="123"/>
      <c r="J25" s="123"/>
      <c r="K25" s="123"/>
      <c r="L25" s="123"/>
      <c r="M25" s="123"/>
    </row>
    <row r="26" ht="14.25" customHeight="1">
      <c r="A26" s="123"/>
      <c r="B26" s="123"/>
      <c r="C26" s="123"/>
      <c r="D26" s="123"/>
      <c r="E26" s="123"/>
      <c r="F26" s="123"/>
      <c r="G26" s="123"/>
      <c r="H26" s="123"/>
      <c r="I26" s="123"/>
      <c r="J26" s="123"/>
      <c r="K26" s="123"/>
      <c r="L26" s="123"/>
      <c r="M26" s="123"/>
    </row>
    <row r="27" ht="14.25" customHeight="1">
      <c r="A27" s="124" t="s">
        <v>60</v>
      </c>
      <c r="B27" s="124" t="s">
        <v>113</v>
      </c>
      <c r="C27" s="124"/>
      <c r="D27" s="124"/>
      <c r="E27" s="124"/>
      <c r="F27" s="124"/>
      <c r="G27" s="124"/>
      <c r="H27" s="124"/>
      <c r="I27" s="124"/>
      <c r="J27" s="124"/>
      <c r="K27" s="124"/>
      <c r="L27" s="124"/>
      <c r="M27" s="124"/>
    </row>
    <row r="28" ht="14.25" customHeight="1">
      <c r="A28" s="126" t="s">
        <v>62</v>
      </c>
      <c r="B28" s="126" t="inlineStr">
        <is>
          <t xml:space="preserve">Dec '22</t>
        </is>
      </c>
      <c r="C28" s="126" t="inlineStr">
        <is>
          <t xml:space="preserve">Dec '23</t>
        </is>
      </c>
      <c r="D28" s="126" t="inlineStr">
        <is>
          <t xml:space="preserve">Dec '24</t>
        </is>
      </c>
      <c r="E28" s="126" t="inlineStr">
        <is>
          <t xml:space="preserve">Dec '25</t>
        </is>
      </c>
      <c r="F28" s="126" t="s">
        <v>67</v>
      </c>
      <c r="G28" s="126" t="s">
        <v>68</v>
      </c>
      <c r="H28" s="126" t="s">
        <v>69</v>
      </c>
      <c r="I28" s="123"/>
      <c r="J28" s="123"/>
      <c r="K28" s="123"/>
      <c r="L28" s="123"/>
      <c r="M28" s="123"/>
    </row>
    <row r="29" ht="14.25" customHeight="1">
      <c r="A29" s="127" t="s">
        <v>71</v>
      </c>
      <c r="B29" s="15">
        <f t="shared" ref="B29:F29" si="6">B7</f>
        <v>304773.462</v>
      </c>
      <c r="C29" s="15">
        <f t="shared" si="6"/>
        <v>463924.972</v>
      </c>
      <c r="D29" s="15">
        <f t="shared" si="6"/>
        <v>387177.527</v>
      </c>
      <c r="E29" s="15">
        <f t="shared" si="6"/>
        <v>227170.59</v>
      </c>
      <c r="F29" s="15">
        <f t="shared" si="6"/>
        <v>174021.92</v>
      </c>
      <c r="G29" s="19"/>
      <c r="H29" s="19"/>
      <c r="I29" s="123"/>
      <c r="J29" s="128" t="s">
        <v>73</v>
      </c>
      <c r="K29" s="123"/>
      <c r="L29" s="123"/>
      <c r="M29" s="123"/>
    </row>
    <row r="30" ht="14.25" customHeight="1">
      <c r="A30" s="127" t="s">
        <v>137</v>
      </c>
      <c r="B30" s="99">
        <f t="shared" ref="B30:E30" si="7">B8</f>
        <v>38.9745075318656</v>
      </c>
      <c r="C30" s="99">
        <f t="shared" si="7"/>
        <v>38.2111153025673</v>
      </c>
      <c r="D30" s="99">
        <f t="shared" si="7"/>
        <v>26.4268766423906</v>
      </c>
      <c r="E30" s="99">
        <f t="shared" si="7"/>
        <v>14.6763352219502</v>
      </c>
      <c r="F30" s="34">
        <f>IFERROR(IF(J30&lt;&gt;"",J30,F19*1.1),"")</f>
        <v>16.1439687441452</v>
      </c>
      <c r="G30" s="34">
        <f>F30</f>
        <v>16.1439687441452</v>
      </c>
      <c r="H30" s="34">
        <f>F30</f>
        <v>16.1439687441452</v>
      </c>
      <c r="I30" s="123"/>
      <c r="J30" s="129"/>
      <c r="K30" s="123"/>
      <c r="L30" s="123"/>
      <c r="M30" s="123"/>
    </row>
    <row r="31" ht="14.25" customHeight="1">
      <c r="A31" s="127" t="s">
        <v>138</v>
      </c>
      <c r="B31" s="19">
        <f>B29/B30</f>
        <v>7819.8156</v>
      </c>
      <c r="C31" s="19">
        <f>'Financials Multiples'!B94</f>
        <v>12141.1</v>
      </c>
      <c r="D31" s="19">
        <f>'Financials Multiples'!C94</f>
        <v>14650.9</v>
      </c>
      <c r="E31" s="19">
        <f>'Financials Multiples'!D94</f>
        <v>15478.7</v>
      </c>
      <c r="F31" s="19">
        <f>'Financials Multiples'!E94</f>
        <v>17004.2854437061</v>
      </c>
      <c r="G31" s="19">
        <f>'Financials Multiples'!F94</f>
        <v>16459.6045560914</v>
      </c>
      <c r="H31" s="19">
        <f>'Financials Multiples'!G94</f>
        <v>15764.6480060618</v>
      </c>
      <c r="I31" s="123"/>
      <c r="J31" s="123"/>
      <c r="K31" s="123"/>
      <c r="L31" s="123"/>
      <c r="M31" s="123"/>
    </row>
    <row r="32" ht="14.25" customHeight="1">
      <c r="A32" s="130" t="s">
        <v>83</v>
      </c>
      <c r="B32" s="57"/>
      <c r="C32" s="57"/>
      <c r="D32" s="57"/>
      <c r="E32" s="57"/>
      <c r="F32" s="57">
        <f>F30*(F31/'Financials Multiples'!E110)</f>
        <v>61.7974545764968</v>
      </c>
      <c r="G32" s="57">
        <f>G30*(G31/'Financials Multiples'!F110)</f>
        <v>60.1337531936104</v>
      </c>
      <c r="H32" s="57">
        <f>H30*(H31/'Financials Multiples'!G110)</f>
        <v>57.8988456957224</v>
      </c>
      <c r="I32" s="123"/>
      <c r="J32" s="123"/>
      <c r="K32" s="123"/>
      <c r="L32" s="123"/>
      <c r="M32" s="123"/>
    </row>
    <row r="33" ht="14.25" customHeight="1">
      <c r="A33" s="127" t="s">
        <v>85</v>
      </c>
      <c r="B33" s="19"/>
      <c r="C33" s="19"/>
      <c r="D33" s="19"/>
      <c r="E33" s="19"/>
      <c r="F33" s="19">
        <f>'Financials Multiples'!E114</f>
        <v>1.8266</v>
      </c>
      <c r="G33" s="19">
        <f>'Financials Multiples'!F114</f>
        <v>1.95525136250418</v>
      </c>
      <c r="H33" s="19">
        <f>'Financials Multiples'!G114</f>
        <v>2.08390272500836</v>
      </c>
      <c r="I33" s="123"/>
      <c r="J33" s="123"/>
      <c r="K33" s="123"/>
      <c r="L33" s="123"/>
      <c r="M33" s="123"/>
    </row>
    <row r="34" ht="14.25" customHeight="1">
      <c r="A34" s="130" t="s">
        <v>87</v>
      </c>
      <c r="B34" s="57"/>
      <c r="C34" s="57"/>
      <c r="D34" s="57"/>
      <c r="E34" s="57"/>
      <c r="F34" s="57">
        <f t="shared" ref="F34:H34" si="8">F32+F33</f>
        <v>63.6240545764968</v>
      </c>
      <c r="G34" s="57">
        <f t="shared" si="8"/>
        <v>62.0890045561146</v>
      </c>
      <c r="H34" s="78">
        <f t="shared" si="8"/>
        <v>59.9827484207308</v>
      </c>
      <c r="I34" s="123"/>
      <c r="J34" s="123"/>
      <c r="K34" s="123"/>
      <c r="L34" s="123"/>
      <c r="M34" s="123"/>
    </row>
    <row r="35" ht="14.25" customHeight="1">
      <c r="A35" s="130" t="s">
        <v>89</v>
      </c>
      <c r="B35" s="79"/>
      <c r="C35" s="79"/>
      <c r="D35" s="79"/>
      <c r="E35" s="79"/>
      <c r="F35" s="79">
        <f>(F34-B3)/B3</f>
        <v>0.614823720215654</v>
      </c>
      <c r="G35" s="79">
        <f>(G34-B3)/B3</f>
        <v>0.575863059799862</v>
      </c>
      <c r="H35" s="118">
        <f>(H34-B3)/B3</f>
        <v>0.52240478225205</v>
      </c>
      <c r="I35" s="123"/>
      <c r="J35" s="123"/>
      <c r="K35" s="123"/>
      <c r="L35" s="123"/>
      <c r="M35" s="123"/>
    </row>
    <row r="36" ht="14.25" customHeight="1">
      <c r="A36" s="127" t="s">
        <v>93</v>
      </c>
      <c r="B36" s="84"/>
      <c r="C36" s="84"/>
      <c r="D36" s="84"/>
      <c r="E36" s="84"/>
      <c r="F36" s="84">
        <f>(F34/B3) ^ (1 / 1) - 1</f>
        <v>0.614823720215654</v>
      </c>
      <c r="G36" s="84">
        <f>(G34/B3) ^ (1 / 2) - 1</f>
        <v>0.255333843963375</v>
      </c>
      <c r="H36" s="125">
        <f>(H34/B3) ^ (1 / 3) - 1</f>
        <v>0.150385449180741</v>
      </c>
      <c r="I36" s="123"/>
      <c r="J36" s="123"/>
      <c r="K36" s="123"/>
      <c r="L36" s="123"/>
      <c r="M36" s="123"/>
    </row>
    <row r="37" ht="14.25" customHeight="1">
      <c r="A37" s="127"/>
      <c r="B37" s="127"/>
      <c r="C37" s="127"/>
      <c r="D37" s="127"/>
      <c r="E37" s="127"/>
      <c r="F37" s="127"/>
      <c r="G37" s="127"/>
      <c r="H37" s="155"/>
      <c r="I37" s="123"/>
      <c r="J37" s="123"/>
      <c r="K37" s="123"/>
      <c r="L37" s="123"/>
      <c r="M37" s="123"/>
    </row>
    <row r="38" ht="14.25" customHeight="1">
      <c r="A38" s="127"/>
      <c r="B38" s="127"/>
      <c r="C38" s="127"/>
      <c r="D38" s="127"/>
      <c r="E38" s="127"/>
      <c r="F38" s="127"/>
      <c r="G38" s="127"/>
      <c r="H38" s="155"/>
      <c r="I38" s="123"/>
      <c r="J38" s="123"/>
      <c r="K38" s="123"/>
      <c r="L38" s="123"/>
      <c r="M38" s="123"/>
    </row>
    <row r="39" ht="14.25" customHeight="1">
      <c r="A39" s="127" t="s">
        <v>148</v>
      </c>
      <c r="B39" s="127">
        <f>MEDIAN('Trailing Valuation'!B13:K13)</f>
        <v>24.6202245145918</v>
      </c>
      <c r="C39" s="127"/>
      <c r="D39" s="127"/>
      <c r="E39" s="127"/>
      <c r="F39" s="127"/>
      <c r="G39" s="127"/>
      <c r="H39" s="127"/>
      <c r="I39" s="123"/>
      <c r="J39" s="123"/>
      <c r="K39" s="123"/>
      <c r="L39" s="123"/>
      <c r="M39" s="123"/>
    </row>
    <row r="40" ht="14.25" customHeight="1">
      <c r="A40" s="127" t="s">
        <v>149</v>
      </c>
      <c r="B40" s="127">
        <f>MEDIAN('Trailing Valuation'!G13:K13)</f>
        <v>34.0109223300971</v>
      </c>
      <c r="C40" s="127"/>
      <c r="D40" s="127"/>
      <c r="E40" s="127"/>
      <c r="F40" s="127"/>
      <c r="G40" s="127"/>
      <c r="H40" s="127"/>
      <c r="I40" s="123"/>
      <c r="J40" s="123"/>
      <c r="K40" s="123"/>
      <c r="L40" s="123"/>
      <c r="M40" s="123"/>
    </row>
    <row r="41" ht="14.25" customHeight="1">
      <c r="A41" s="127" t="s">
        <v>150</v>
      </c>
      <c r="B41" s="127">
        <f>MEDIAN('Trailing Valuation'!I13:K13)</f>
        <v>26.4788303381054</v>
      </c>
      <c r="C41" s="127"/>
      <c r="D41" s="127"/>
      <c r="E41" s="127"/>
      <c r="F41" s="127"/>
      <c r="G41" s="127"/>
      <c r="H41" s="127"/>
      <c r="I41" s="123"/>
      <c r="J41" s="123"/>
      <c r="K41" s="123"/>
      <c r="L41" s="123"/>
      <c r="M41" s="123"/>
    </row>
    <row r="42" ht="14.25" customHeight="1">
      <c r="A42" s="127" t="s">
        <v>154</v>
      </c>
      <c r="B42" s="127">
        <f>'Trailing Valuation'!L13</f>
        <v>11.1614730878187</v>
      </c>
      <c r="C42" s="127"/>
      <c r="D42" s="127"/>
      <c r="E42" s="127"/>
      <c r="F42" s="127"/>
      <c r="G42" s="127"/>
      <c r="H42" s="127"/>
      <c r="I42" s="123"/>
      <c r="J42" s="123"/>
      <c r="K42" s="123"/>
      <c r="L42" s="123"/>
      <c r="M42" s="123"/>
    </row>
    <row r="43" ht="14.25" customHeight="1">
      <c r="A43" s="127"/>
      <c r="B43" s="127"/>
      <c r="C43" s="127"/>
      <c r="D43" s="127"/>
      <c r="E43" s="127"/>
      <c r="F43" s="127"/>
      <c r="G43" s="127"/>
      <c r="H43" s="127"/>
      <c r="I43" s="123"/>
      <c r="J43" s="123"/>
      <c r="K43" s="123"/>
      <c r="L43" s="123"/>
      <c r="M43" s="123"/>
    </row>
    <row r="44" ht="14.25" customHeight="1">
      <c r="A44" s="127"/>
      <c r="B44" s="127"/>
      <c r="C44" s="127"/>
      <c r="D44" s="127"/>
      <c r="E44" s="127"/>
      <c r="F44" s="127"/>
      <c r="G44" s="127"/>
      <c r="H44" s="127"/>
      <c r="I44" s="123"/>
      <c r="J44" s="123"/>
      <c r="K44" s="123"/>
      <c r="L44" s="123"/>
      <c r="M44" s="123"/>
    </row>
    <row r="45" ht="14.25" customHeight="1">
      <c r="A45" s="172" t="s">
        <v>133</v>
      </c>
      <c r="B45" s="127"/>
      <c r="C45" s="127"/>
      <c r="D45" s="127"/>
      <c r="E45" s="127"/>
      <c r="F45" s="127"/>
      <c r="G45" s="127"/>
      <c r="H45" s="127"/>
      <c r="I45" s="123"/>
      <c r="J45" s="123"/>
      <c r="K45" s="123"/>
      <c r="L45" s="123"/>
      <c r="M45" s="123"/>
    </row>
    <row r="46" ht="14.25" customHeight="1">
      <c r="A46" s="178" t="s">
        <v>163</v>
      </c>
      <c r="B46" s="181">
        <f>$H$20*0.9</f>
        <v>16077.3764665627</v>
      </c>
      <c r="C46" s="181">
        <f>$H$20*0.95</f>
        <v>16970.5640480384</v>
      </c>
      <c r="D46" s="181">
        <f>$H$20</f>
        <v>17863.7516295141</v>
      </c>
      <c r="E46" s="181">
        <f>$H$20*1.05</f>
        <v>18756.9392109899</v>
      </c>
      <c r="F46" s="182">
        <f>$H$20*1.1</f>
        <v>19650.1267924656</v>
      </c>
      <c r="G46" s="127"/>
      <c r="H46" s="127"/>
      <c r="I46" s="123"/>
      <c r="J46" s="123"/>
      <c r="K46" s="123"/>
      <c r="L46" s="123"/>
      <c r="M46" s="123"/>
    </row>
    <row r="47" ht="14.25" customHeight="1">
      <c r="A47" s="183">
        <f>$F$19*0.9</f>
        <v>13.2087016997552</v>
      </c>
      <c r="B47" s="185">
        <f>$A47*(B$46/'Financials Multiples'!$E$70)</f>
        <v>47.8054274597025</v>
      </c>
      <c r="C47" s="185">
        <f>$A47*(C$46/'Financials Multiples'!$E$70)</f>
        <v>50.4612845407971</v>
      </c>
      <c r="D47" s="185">
        <f>$A47*(D$46/'Financials Multiples'!$E$70)</f>
        <v>53.1171416218917</v>
      </c>
      <c r="E47" s="185">
        <f>$A47*(E$46/'Financials Multiples'!$E$70)</f>
        <v>55.7729987029863</v>
      </c>
      <c r="F47" s="189">
        <f>$A47*(F$46/'Financials Multiples'!$E$70)</f>
        <v>58.4288557840809</v>
      </c>
      <c r="G47" s="127"/>
      <c r="H47" s="127"/>
      <c r="I47" s="123"/>
      <c r="J47" s="123"/>
      <c r="K47" s="123"/>
      <c r="L47" s="123"/>
      <c r="M47" s="123"/>
    </row>
    <row r="48" ht="14.25" customHeight="1">
      <c r="A48" s="183">
        <f>$F$19*0.95</f>
        <v>13.9425184608527</v>
      </c>
      <c r="B48" s="185">
        <f>$A48*(B$46/'Financials Multiples'!$E$70)</f>
        <v>50.4612845407971</v>
      </c>
      <c r="C48" s="185">
        <f>$A48*(C$46/'Financials Multiples'!$E$70)</f>
        <v>53.2646892375081</v>
      </c>
      <c r="D48" s="185">
        <f>$A48*(D$46/'Financials Multiples'!$E$70)</f>
        <v>56.068093934219</v>
      </c>
      <c r="E48" s="185">
        <f>$A48*(E$46/'Financials Multiples'!$E$70)</f>
        <v>58.87149863093</v>
      </c>
      <c r="F48" s="189">
        <f>$A48*(F$46/'Financials Multiples'!$E$70)</f>
        <v>61.6749033276409</v>
      </c>
      <c r="G48" s="127"/>
      <c r="H48" s="127"/>
      <c r="I48" s="123"/>
      <c r="J48" s="123"/>
      <c r="K48" s="123"/>
      <c r="L48" s="123"/>
      <c r="M48" s="123"/>
    </row>
    <row r="49" ht="14.25" customHeight="1">
      <c r="A49" s="183">
        <f>$F$19</f>
        <v>14.6763352219502</v>
      </c>
      <c r="B49" s="185">
        <f>$A49*(B$46/'Financials Multiples'!$E$70)</f>
        <v>53.1171416218917</v>
      </c>
      <c r="C49" s="185">
        <f>$A49*(C$46/'Financials Multiples'!$E$70)</f>
        <v>56.068093934219</v>
      </c>
      <c r="D49" s="185">
        <f>$A49*(D$46/'Financials Multiples'!$E$70)</f>
        <v>59.0190462465463</v>
      </c>
      <c r="E49" s="185">
        <f>$A49*(E$46/'Financials Multiples'!$E$70)</f>
        <v>61.9699985588737</v>
      </c>
      <c r="F49" s="189">
        <f>$A49*(F$46/'Financials Multiples'!$E$70)</f>
        <v>64.920950871201</v>
      </c>
      <c r="G49" s="127"/>
      <c r="H49" s="127"/>
      <c r="I49" s="123"/>
      <c r="J49" s="123"/>
      <c r="K49" s="123"/>
      <c r="L49" s="123"/>
      <c r="M49" s="123"/>
    </row>
    <row r="50" ht="14.25" customHeight="1">
      <c r="A50" s="183">
        <f>$F$19*1.05</f>
        <v>15.4101519830477</v>
      </c>
      <c r="B50" s="185">
        <f>$A50*(B$46/'Financials Multiples'!$E$70)</f>
        <v>55.7729987029863</v>
      </c>
      <c r="C50" s="185">
        <f>$A50*(C$46/'Financials Multiples'!$E$70)</f>
        <v>58.87149863093</v>
      </c>
      <c r="D50" s="185">
        <f>$A50*(D$46/'Financials Multiples'!$E$70)</f>
        <v>61.9699985588737</v>
      </c>
      <c r="E50" s="185">
        <f>$A50*(E$46/'Financials Multiples'!$E$70)</f>
        <v>65.0684984868174</v>
      </c>
      <c r="F50" s="189">
        <f>$A50*(F$46/'Financials Multiples'!$E$70)</f>
        <v>68.166998414761</v>
      </c>
      <c r="G50" s="127"/>
      <c r="H50" s="127"/>
      <c r="I50" s="123"/>
      <c r="J50" s="123"/>
      <c r="K50" s="123"/>
      <c r="L50" s="123"/>
      <c r="M50" s="123"/>
    </row>
    <row r="51" ht="14.25" customHeight="1">
      <c r="A51" s="191">
        <f>$F$19*1.1</f>
        <v>16.1439687441452</v>
      </c>
      <c r="B51" s="192">
        <f>$A51*(B$46/'Financials Multiples'!$E$70)</f>
        <v>58.4288557840809</v>
      </c>
      <c r="C51" s="192">
        <f>$A51*(C$46/'Financials Multiples'!$E$70)</f>
        <v>61.6749033276409</v>
      </c>
      <c r="D51" s="192">
        <f>$A51*(D$46/'Financials Multiples'!$E$70)</f>
        <v>64.920950871201</v>
      </c>
      <c r="E51" s="192">
        <f>$A51*(E$46/'Financials Multiples'!$E$70)</f>
        <v>68.166998414761</v>
      </c>
      <c r="F51" s="193">
        <f>$A51*(F$46/'Financials Multiples'!$E$70)</f>
        <v>71.4130459583211</v>
      </c>
      <c r="G51" s="127"/>
      <c r="H51" s="127"/>
      <c r="I51" s="123"/>
      <c r="J51" s="123"/>
      <c r="K51" s="123"/>
      <c r="L51" s="123"/>
      <c r="M51" s="123"/>
    </row>
    <row r="52" ht="14.25" customHeight="1">
      <c r="A52" s="127"/>
      <c r="B52" s="127"/>
      <c r="C52" s="127"/>
      <c r="D52" s="127"/>
      <c r="E52" s="127"/>
      <c r="F52" s="127"/>
      <c r="G52" s="127"/>
      <c r="H52" s="155"/>
      <c r="I52" s="123"/>
      <c r="J52" s="123"/>
      <c r="K52" s="123"/>
      <c r="L52" s="123"/>
      <c r="M52" s="123"/>
    </row>
    <row r="53" ht="14.25" customHeight="1">
      <c r="A53" s="127"/>
      <c r="B53" s="127"/>
      <c r="C53" s="127"/>
      <c r="D53" s="127"/>
      <c r="E53" s="127"/>
      <c r="F53" s="127"/>
      <c r="G53" s="127"/>
      <c r="H53" s="155"/>
      <c r="I53" s="123"/>
      <c r="J53" s="123"/>
      <c r="K53" s="123"/>
      <c r="L53" s="123"/>
      <c r="M53" s="123"/>
    </row>
    <row r="54" ht="14.25" customHeight="1">
      <c r="A54" s="127"/>
      <c r="B54" s="127"/>
      <c r="C54" s="127"/>
      <c r="D54" s="127"/>
      <c r="E54" s="127"/>
      <c r="F54" s="127"/>
      <c r="G54" s="127"/>
      <c r="H54" s="155"/>
      <c r="I54" s="123"/>
      <c r="J54" s="123"/>
      <c r="K54" s="123"/>
      <c r="L54" s="123"/>
      <c r="M54" s="123"/>
    </row>
    <row r="55" ht="14.25" customHeight="1">
      <c r="A55" s="127"/>
      <c r="B55" s="127"/>
      <c r="C55" s="127"/>
      <c r="D55" s="127"/>
      <c r="E55" s="127"/>
      <c r="F55" s="127"/>
      <c r="G55" s="127"/>
      <c r="H55" s="155"/>
      <c r="I55" s="123"/>
      <c r="J55" s="123"/>
      <c r="K55" s="123"/>
      <c r="L55" s="123"/>
      <c r="M55" s="123"/>
    </row>
    <row r="56" ht="14.25" customHeight="1">
      <c r="A56" s="127"/>
      <c r="B56" s="127"/>
      <c r="C56" s="127"/>
      <c r="D56" s="127"/>
      <c r="E56" s="127"/>
      <c r="F56" s="127"/>
      <c r="G56" s="127"/>
      <c r="H56" s="155"/>
      <c r="I56" s="123"/>
      <c r="J56" s="123"/>
      <c r="K56" s="123"/>
      <c r="L56" s="123"/>
      <c r="M56" s="123"/>
    </row>
    <row r="57" ht="15.75" customHeight="1">
      <c r="A57" s="77"/>
      <c r="B57" s="77"/>
      <c r="C57" s="77"/>
      <c r="D57" s="77"/>
      <c r="E57" s="77"/>
      <c r="F57" s="77"/>
      <c r="G57" s="77"/>
      <c r="H57" s="77"/>
      <c r="I57" s="77"/>
      <c r="J57" s="77"/>
      <c r="K57" s="77"/>
      <c r="L57" s="77"/>
      <c r="M57" s="77"/>
    </row>
    <row r="58" ht="15.75" customHeight="1">
      <c r="A58" s="77"/>
      <c r="B58" s="77"/>
      <c r="C58" s="77"/>
      <c r="D58" s="77"/>
      <c r="E58" s="77"/>
      <c r="F58" s="77"/>
      <c r="G58" s="77"/>
      <c r="H58" s="77"/>
      <c r="I58" s="77"/>
      <c r="J58" s="77"/>
      <c r="K58" s="77"/>
      <c r="L58" s="77"/>
      <c r="M58" s="77"/>
    </row>
    <row r="59" ht="15.75" customHeight="1">
      <c r="A59" s="77"/>
      <c r="B59" s="77"/>
      <c r="C59" s="77"/>
      <c r="D59" s="77"/>
      <c r="E59" s="77"/>
      <c r="F59" s="77"/>
      <c r="G59" s="77"/>
      <c r="H59" s="77"/>
      <c r="I59" s="77"/>
      <c r="J59" s="77"/>
      <c r="K59" s="77"/>
      <c r="L59" s="77"/>
      <c r="M59" s="77"/>
    </row>
    <row r="60" ht="15.75" customHeight="1">
      <c r="A60" s="77"/>
      <c r="B60" s="77"/>
      <c r="C60" s="77"/>
      <c r="D60" s="77"/>
      <c r="E60" s="77"/>
      <c r="F60" s="77"/>
      <c r="G60" s="77"/>
      <c r="H60" s="77"/>
      <c r="I60" s="77"/>
      <c r="J60" s="77"/>
      <c r="K60" s="77"/>
      <c r="L60" s="77"/>
      <c r="M60" s="77"/>
    </row>
    <row r="61" ht="15.75" customHeight="1">
      <c r="A61" s="77"/>
      <c r="B61" s="77"/>
      <c r="C61" s="77"/>
      <c r="D61" s="77"/>
      <c r="E61" s="77"/>
      <c r="F61" s="77"/>
      <c r="G61" s="77"/>
      <c r="H61" s="77"/>
      <c r="I61" s="77"/>
      <c r="J61" s="77"/>
      <c r="K61" s="77"/>
      <c r="L61" s="77"/>
      <c r="M61" s="77"/>
    </row>
    <row r="62" ht="15.75" customHeight="1">
      <c r="A62" s="77"/>
      <c r="B62" s="77"/>
      <c r="C62" s="77"/>
      <c r="D62" s="77"/>
      <c r="E62" s="77"/>
      <c r="F62" s="77"/>
      <c r="G62" s="77"/>
      <c r="H62" s="77"/>
      <c r="I62" s="77"/>
      <c r="J62" s="77"/>
      <c r="K62" s="77"/>
      <c r="L62" s="77"/>
      <c r="M62" s="77"/>
    </row>
    <row r="63" ht="15.75" customHeight="1">
      <c r="A63" s="77"/>
      <c r="B63" s="77"/>
      <c r="C63" s="77"/>
      <c r="D63" s="77"/>
      <c r="E63" s="77"/>
      <c r="F63" s="77"/>
      <c r="G63" s="77"/>
      <c r="H63" s="77"/>
      <c r="I63" s="77"/>
      <c r="J63" s="77"/>
      <c r="K63" s="77"/>
      <c r="L63" s="77"/>
      <c r="M63" s="77"/>
    </row>
    <row r="64" ht="15.75" customHeight="1">
      <c r="A64" s="77"/>
      <c r="B64" s="77"/>
      <c r="C64" s="77"/>
      <c r="D64" s="77"/>
      <c r="E64" s="77"/>
      <c r="F64" s="77"/>
      <c r="G64" s="77"/>
      <c r="H64" s="77"/>
      <c r="I64" s="77"/>
      <c r="J64" s="77"/>
      <c r="K64" s="77"/>
      <c r="L64" s="77"/>
      <c r="M64" s="77"/>
    </row>
    <row r="65" ht="15.75" customHeight="1">
      <c r="A65" s="77"/>
      <c r="B65" s="77"/>
      <c r="C65" s="77"/>
      <c r="D65" s="77"/>
      <c r="E65" s="77"/>
      <c r="F65" s="77"/>
      <c r="G65" s="77"/>
      <c r="H65" s="77"/>
      <c r="I65" s="77"/>
      <c r="J65" s="77"/>
      <c r="K65" s="77"/>
      <c r="L65" s="77"/>
      <c r="M65" s="77"/>
    </row>
    <row r="66" ht="15.75" customHeight="1">
      <c r="A66" s="77"/>
      <c r="B66" s="77"/>
      <c r="C66" s="77"/>
      <c r="D66" s="77"/>
      <c r="E66" s="77"/>
      <c r="F66" s="77"/>
      <c r="G66" s="77"/>
      <c r="H66" s="77"/>
      <c r="I66" s="77"/>
      <c r="J66" s="77"/>
      <c r="K66" s="77"/>
      <c r="L66" s="77"/>
      <c r="M66" s="77"/>
    </row>
    <row r="67" ht="15.75" customHeight="1">
      <c r="A67" s="77"/>
      <c r="B67" s="77"/>
      <c r="C67" s="77"/>
      <c r="D67" s="77"/>
      <c r="E67" s="77"/>
      <c r="F67" s="77"/>
      <c r="G67" s="77"/>
      <c r="H67" s="77"/>
      <c r="I67" s="77"/>
      <c r="J67" s="77"/>
      <c r="K67" s="77"/>
      <c r="L67" s="77"/>
      <c r="M67" s="77"/>
    </row>
    <row r="68" ht="15.75" customHeight="1">
      <c r="A68" s="77"/>
      <c r="B68" s="77"/>
      <c r="C68" s="77"/>
      <c r="D68" s="77"/>
      <c r="E68" s="77"/>
      <c r="F68" s="77"/>
      <c r="G68" s="77"/>
      <c r="H68" s="77"/>
      <c r="I68" s="77"/>
      <c r="J68" s="77"/>
      <c r="K68" s="77"/>
      <c r="L68" s="77"/>
      <c r="M68" s="77"/>
    </row>
    <row r="69" ht="15.75" customHeight="1">
      <c r="A69" s="77"/>
      <c r="B69" s="77"/>
      <c r="C69" s="77"/>
      <c r="D69" s="77"/>
      <c r="E69" s="77"/>
      <c r="F69" s="77"/>
      <c r="G69" s="77"/>
      <c r="H69" s="77"/>
      <c r="I69" s="77"/>
      <c r="J69" s="77"/>
      <c r="K69" s="77"/>
      <c r="L69" s="77"/>
      <c r="M69" s="77"/>
    </row>
    <row r="70" ht="15.75" customHeight="1">
      <c r="A70" s="77"/>
      <c r="B70" s="77"/>
      <c r="C70" s="77"/>
      <c r="D70" s="77"/>
      <c r="E70" s="77"/>
      <c r="F70" s="77"/>
      <c r="G70" s="77"/>
      <c r="H70" s="77"/>
      <c r="I70" s="77"/>
      <c r="J70" s="77"/>
      <c r="K70" s="77"/>
      <c r="L70" s="77"/>
      <c r="M70" s="77"/>
    </row>
    <row r="71" ht="15.75" customHeight="1">
      <c r="A71" s="77"/>
      <c r="B71" s="77"/>
      <c r="C71" s="77"/>
      <c r="D71" s="77"/>
      <c r="E71" s="77"/>
      <c r="F71" s="77"/>
      <c r="G71" s="77"/>
      <c r="H71" s="77"/>
      <c r="I71" s="77"/>
      <c r="J71" s="77"/>
      <c r="K71" s="77"/>
      <c r="L71" s="77"/>
      <c r="M71" s="77"/>
    </row>
    <row r="72" ht="15.75" customHeight="1">
      <c r="A72" s="77"/>
      <c r="B72" s="77"/>
      <c r="C72" s="77"/>
      <c r="D72" s="77"/>
      <c r="E72" s="77"/>
      <c r="F72" s="77"/>
      <c r="G72" s="77"/>
      <c r="H72" s="77"/>
      <c r="I72" s="77"/>
      <c r="J72" s="77"/>
      <c r="K72" s="77"/>
      <c r="L72" s="77"/>
      <c r="M72" s="77"/>
    </row>
    <row r="73" ht="15.75" customHeight="1">
      <c r="A73" s="77"/>
      <c r="B73" s="77"/>
      <c r="C73" s="77"/>
      <c r="D73" s="77"/>
      <c r="E73" s="77"/>
      <c r="F73" s="77"/>
      <c r="G73" s="77"/>
      <c r="H73" s="77"/>
      <c r="I73" s="77"/>
      <c r="J73" s="77"/>
      <c r="K73" s="77"/>
      <c r="L73" s="77"/>
      <c r="M73" s="77"/>
    </row>
    <row r="74" ht="15.75" customHeight="1">
      <c r="A74" s="77"/>
      <c r="B74" s="77"/>
      <c r="C74" s="77"/>
      <c r="D74" s="77"/>
      <c r="E74" s="77"/>
      <c r="F74" s="77"/>
      <c r="G74" s="77"/>
      <c r="H74" s="77"/>
      <c r="I74" s="77"/>
      <c r="J74" s="77"/>
      <c r="K74" s="77"/>
      <c r="L74" s="77"/>
      <c r="M74" s="77"/>
    </row>
    <row r="75" ht="15.75" customHeight="1">
      <c r="A75" s="77"/>
      <c r="B75" s="77"/>
      <c r="C75" s="77"/>
      <c r="D75" s="77"/>
      <c r="E75" s="77"/>
      <c r="F75" s="77"/>
      <c r="G75" s="77"/>
      <c r="H75" s="77"/>
      <c r="I75" s="77"/>
      <c r="J75" s="77"/>
      <c r="K75" s="77"/>
      <c r="L75" s="77"/>
      <c r="M75" s="77"/>
    </row>
    <row r="76" ht="15.75" customHeight="1">
      <c r="A76" s="77"/>
      <c r="B76" s="77"/>
      <c r="C76" s="77"/>
      <c r="D76" s="77"/>
      <c r="E76" s="77"/>
      <c r="F76" s="77"/>
      <c r="G76" s="77"/>
      <c r="H76" s="77"/>
      <c r="I76" s="77"/>
      <c r="J76" s="77"/>
      <c r="K76" s="77"/>
      <c r="L76" s="77"/>
      <c r="M76" s="77"/>
    </row>
    <row r="77" ht="15.75" customHeight="1">
      <c r="A77" s="77"/>
      <c r="B77" s="77"/>
      <c r="C77" s="77"/>
      <c r="D77" s="77"/>
      <c r="E77" s="77"/>
      <c r="F77" s="77"/>
      <c r="G77" s="77"/>
      <c r="H77" s="77"/>
      <c r="I77" s="77"/>
      <c r="J77" s="77"/>
      <c r="K77" s="77"/>
      <c r="L77" s="77"/>
      <c r="M77" s="77"/>
    </row>
    <row r="78" ht="15.75" customHeight="1">
      <c r="A78" s="77"/>
      <c r="B78" s="77"/>
      <c r="C78" s="77"/>
      <c r="D78" s="77"/>
      <c r="E78" s="77"/>
      <c r="F78" s="77"/>
      <c r="G78" s="77"/>
      <c r="H78" s="77"/>
      <c r="I78" s="77"/>
      <c r="J78" s="77"/>
      <c r="K78" s="77"/>
      <c r="L78" s="77"/>
      <c r="M78" s="77"/>
    </row>
    <row r="79" ht="15.75" customHeight="1">
      <c r="A79" s="77"/>
      <c r="B79" s="77"/>
      <c r="C79" s="77"/>
      <c r="D79" s="77"/>
      <c r="E79" s="77"/>
      <c r="F79" s="77"/>
      <c r="G79" s="77"/>
      <c r="H79" s="77"/>
      <c r="I79" s="77"/>
      <c r="J79" s="77"/>
      <c r="K79" s="77"/>
      <c r="L79" s="77"/>
      <c r="M79" s="77"/>
    </row>
    <row r="80" ht="15.75" customHeight="1">
      <c r="A80" s="77"/>
      <c r="B80" s="77"/>
      <c r="C80" s="77"/>
      <c r="D80" s="77"/>
      <c r="E80" s="77"/>
      <c r="F80" s="77"/>
      <c r="G80" s="77"/>
      <c r="H80" s="77"/>
      <c r="I80" s="77"/>
      <c r="J80" s="77"/>
      <c r="K80" s="77"/>
      <c r="L80" s="77"/>
      <c r="M80" s="77"/>
    </row>
    <row r="81" ht="15.75" customHeight="1">
      <c r="A81" s="77"/>
      <c r="B81" s="77"/>
      <c r="C81" s="77"/>
      <c r="D81" s="77"/>
      <c r="E81" s="77"/>
      <c r="F81" s="77"/>
      <c r="G81" s="77"/>
      <c r="H81" s="77"/>
      <c r="I81" s="77"/>
      <c r="J81" s="77"/>
      <c r="K81" s="77"/>
      <c r="L81" s="77"/>
      <c r="M81" s="77"/>
    </row>
    <row r="82" ht="15.75" customHeight="1">
      <c r="A82" s="77"/>
      <c r="B82" s="77"/>
      <c r="C82" s="77"/>
      <c r="D82" s="77"/>
      <c r="E82" s="77"/>
      <c r="F82" s="77"/>
      <c r="G82" s="77"/>
      <c r="H82" s="77"/>
      <c r="I82" s="77"/>
      <c r="J82" s="77"/>
      <c r="K82" s="77"/>
      <c r="L82" s="77"/>
      <c r="M82" s="77"/>
    </row>
    <row r="83" ht="15.75" customHeight="1">
      <c r="A83" s="77"/>
      <c r="B83" s="77"/>
      <c r="C83" s="77"/>
      <c r="D83" s="77"/>
      <c r="E83" s="77"/>
      <c r="F83" s="77"/>
      <c r="G83" s="77"/>
      <c r="H83" s="77"/>
      <c r="I83" s="77"/>
      <c r="J83" s="77"/>
      <c r="K83" s="77"/>
      <c r="L83" s="77"/>
      <c r="M83" s="77"/>
    </row>
    <row r="84" ht="15.75" customHeight="1">
      <c r="A84" s="77"/>
      <c r="B84" s="77"/>
      <c r="C84" s="77"/>
      <c r="D84" s="77"/>
      <c r="E84" s="77"/>
      <c r="F84" s="77"/>
      <c r="G84" s="77"/>
      <c r="H84" s="77"/>
      <c r="I84" s="77"/>
      <c r="J84" s="77"/>
      <c r="K84" s="77"/>
      <c r="L84" s="77"/>
      <c r="M84" s="77"/>
    </row>
    <row r="85" ht="15.75" customHeight="1">
      <c r="A85" s="77"/>
      <c r="B85" s="77"/>
      <c r="C85" s="77"/>
      <c r="D85" s="77"/>
      <c r="E85" s="77"/>
      <c r="F85" s="77"/>
      <c r="G85" s="77"/>
      <c r="H85" s="77"/>
      <c r="I85" s="77"/>
      <c r="J85" s="77"/>
      <c r="K85" s="77"/>
      <c r="L85" s="77"/>
      <c r="M85" s="77"/>
    </row>
    <row r="86" ht="15.75" customHeight="1">
      <c r="A86" s="77"/>
      <c r="B86" s="77"/>
      <c r="C86" s="77"/>
      <c r="D86" s="77"/>
      <c r="E86" s="77"/>
      <c r="F86" s="77"/>
      <c r="G86" s="77"/>
      <c r="H86" s="77"/>
      <c r="I86" s="77"/>
      <c r="J86" s="77"/>
      <c r="K86" s="77"/>
      <c r="L86" s="77"/>
      <c r="M86" s="77"/>
    </row>
    <row r="87" ht="15.75" customHeight="1">
      <c r="A87" s="77"/>
      <c r="B87" s="77"/>
      <c r="C87" s="77"/>
      <c r="D87" s="77"/>
      <c r="E87" s="77"/>
      <c r="F87" s="77"/>
      <c r="G87" s="77"/>
      <c r="H87" s="77"/>
      <c r="I87" s="77"/>
      <c r="J87" s="77"/>
      <c r="K87" s="77"/>
      <c r="L87" s="77"/>
      <c r="M87" s="77"/>
    </row>
    <row r="88" ht="15.75" customHeight="1">
      <c r="A88" s="77"/>
      <c r="B88" s="77"/>
      <c r="C88" s="77"/>
      <c r="D88" s="77"/>
      <c r="E88" s="77"/>
      <c r="F88" s="77"/>
      <c r="G88" s="77"/>
      <c r="H88" s="77"/>
      <c r="I88" s="77"/>
      <c r="J88" s="77"/>
      <c r="K88" s="77"/>
      <c r="L88" s="77"/>
      <c r="M88" s="77"/>
    </row>
    <row r="89" ht="15.75" customHeight="1">
      <c r="A89" s="77"/>
      <c r="B89" s="77"/>
      <c r="C89" s="77"/>
      <c r="D89" s="77"/>
      <c r="E89" s="77"/>
      <c r="F89" s="77"/>
      <c r="G89" s="77"/>
      <c r="H89" s="77"/>
      <c r="I89" s="77"/>
      <c r="J89" s="77"/>
      <c r="K89" s="77"/>
      <c r="L89" s="77"/>
      <c r="M89" s="77"/>
    </row>
    <row r="90" ht="15.75" customHeight="1">
      <c r="A90" s="77"/>
      <c r="B90" s="77"/>
      <c r="C90" s="77"/>
      <c r="D90" s="77"/>
      <c r="E90" s="77"/>
      <c r="F90" s="77"/>
      <c r="G90" s="77"/>
      <c r="H90" s="77"/>
      <c r="I90" s="77"/>
      <c r="J90" s="77"/>
      <c r="K90" s="77"/>
      <c r="L90" s="77"/>
      <c r="M90" s="77"/>
    </row>
    <row r="91" ht="15.75" customHeight="1">
      <c r="A91" s="77"/>
      <c r="B91" s="77"/>
      <c r="C91" s="77"/>
      <c r="D91" s="77"/>
      <c r="E91" s="77"/>
      <c r="F91" s="77"/>
      <c r="G91" s="77"/>
      <c r="H91" s="77"/>
      <c r="I91" s="77"/>
      <c r="J91" s="77"/>
      <c r="K91" s="77"/>
      <c r="L91" s="77"/>
      <c r="M91" s="77"/>
    </row>
    <row r="92" ht="15.75" customHeight="1">
      <c r="A92" s="77"/>
      <c r="B92" s="77"/>
      <c r="C92" s="77"/>
      <c r="D92" s="77"/>
      <c r="E92" s="77"/>
      <c r="F92" s="77"/>
      <c r="G92" s="77"/>
      <c r="H92" s="77"/>
      <c r="I92" s="77"/>
      <c r="J92" s="77"/>
      <c r="K92" s="77"/>
      <c r="L92" s="77"/>
      <c r="M92" s="77"/>
    </row>
    <row r="93" ht="15.75" customHeight="1">
      <c r="A93" s="77"/>
      <c r="B93" s="77"/>
      <c r="C93" s="77"/>
      <c r="D93" s="77"/>
      <c r="E93" s="77"/>
      <c r="F93" s="77"/>
      <c r="G93" s="77"/>
      <c r="H93" s="77"/>
      <c r="I93" s="77"/>
      <c r="J93" s="77"/>
      <c r="K93" s="77"/>
      <c r="L93" s="77"/>
      <c r="M93" s="77"/>
    </row>
    <row r="94" ht="15.75" customHeight="1">
      <c r="A94" s="77"/>
      <c r="B94" s="77"/>
      <c r="C94" s="77"/>
      <c r="D94" s="77"/>
      <c r="E94" s="77"/>
      <c r="F94" s="77"/>
      <c r="G94" s="77"/>
      <c r="H94" s="77"/>
      <c r="I94" s="77"/>
      <c r="J94" s="77"/>
      <c r="K94" s="77"/>
      <c r="L94" s="77"/>
      <c r="M94" s="77"/>
    </row>
    <row r="95" ht="15.75" customHeight="1">
      <c r="A95" s="77"/>
      <c r="B95" s="77"/>
      <c r="C95" s="77"/>
      <c r="D95" s="77"/>
      <c r="E95" s="77"/>
      <c r="F95" s="77"/>
      <c r="G95" s="77"/>
      <c r="H95" s="77"/>
      <c r="I95" s="77"/>
      <c r="J95" s="77"/>
      <c r="K95" s="77"/>
      <c r="L95" s="77"/>
      <c r="M95" s="77"/>
    </row>
    <row r="96" ht="15.75" customHeight="1">
      <c r="A96" s="77"/>
      <c r="B96" s="77"/>
      <c r="C96" s="77"/>
      <c r="D96" s="77"/>
      <c r="E96" s="77"/>
      <c r="F96" s="77"/>
      <c r="G96" s="77"/>
      <c r="H96" s="77"/>
      <c r="I96" s="77"/>
      <c r="J96" s="77"/>
      <c r="K96" s="77"/>
      <c r="L96" s="77"/>
      <c r="M96" s="77"/>
    </row>
    <row r="97" ht="15.75" customHeight="1">
      <c r="A97" s="77"/>
      <c r="B97" s="77"/>
      <c r="C97" s="77"/>
      <c r="D97" s="77"/>
      <c r="E97" s="77"/>
      <c r="F97" s="77"/>
      <c r="G97" s="77"/>
      <c r="H97" s="77"/>
      <c r="I97" s="77"/>
      <c r="J97" s="77"/>
      <c r="K97" s="77"/>
      <c r="L97" s="77"/>
      <c r="M97" s="77"/>
    </row>
    <row r="98" ht="15.75" customHeight="1">
      <c r="A98" s="77"/>
      <c r="B98" s="77"/>
      <c r="C98" s="77"/>
      <c r="D98" s="77"/>
      <c r="E98" s="77"/>
      <c r="F98" s="77"/>
      <c r="G98" s="77"/>
      <c r="H98" s="77"/>
      <c r="I98" s="77"/>
      <c r="J98" s="77"/>
      <c r="K98" s="77"/>
      <c r="L98" s="77"/>
      <c r="M98" s="77"/>
    </row>
    <row r="99" ht="15.75" customHeight="1">
      <c r="A99" s="77"/>
      <c r="B99" s="77"/>
      <c r="C99" s="77"/>
      <c r="D99" s="77"/>
      <c r="E99" s="77"/>
      <c r="F99" s="77"/>
      <c r="G99" s="77"/>
      <c r="H99" s="77"/>
      <c r="I99" s="77"/>
      <c r="J99" s="77"/>
      <c r="K99" s="77"/>
      <c r="L99" s="77"/>
      <c r="M99" s="77"/>
    </row>
    <row r="100" ht="15.75" customHeight="1">
      <c r="A100" s="77"/>
      <c r="B100" s="77"/>
      <c r="C100" s="77"/>
      <c r="D100" s="77"/>
      <c r="E100" s="77"/>
      <c r="F100" s="77"/>
      <c r="G100" s="77"/>
      <c r="H100" s="77"/>
      <c r="I100" s="77"/>
      <c r="J100" s="77"/>
      <c r="K100" s="77"/>
      <c r="L100" s="77"/>
      <c r="M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2" t="str">
        <f>'Input sheet'!A1</f>
        <v>Novo Nordisk (NYSE:NVO)</v>
      </c>
      <c r="B1" s="2"/>
      <c r="C1" s="2" t="s">
        <v>57</v>
      </c>
      <c r="D1" s="2">
        <f>'Input sheet'!D1</f>
        <v>39.4</v>
      </c>
      <c r="E1" s="138"/>
      <c r="F1" s="138"/>
      <c r="G1" s="138"/>
      <c r="H1" s="138"/>
      <c r="I1" s="138"/>
      <c r="J1" s="138"/>
      <c r="K1" s="138"/>
      <c r="L1" s="138"/>
      <c r="M1" s="138"/>
    </row>
    <row r="2" ht="14.25" customHeight="1">
      <c r="A2" s="139" t="s">
        <v>58</v>
      </c>
      <c r="B2" s="140"/>
      <c r="C2" s="140"/>
      <c r="D2" s="140"/>
      <c r="E2" s="140"/>
      <c r="F2" s="140"/>
      <c r="G2" s="140"/>
      <c r="H2" s="140"/>
      <c r="I2" s="140"/>
      <c r="J2" s="140"/>
      <c r="K2" s="140"/>
      <c r="L2" s="140"/>
      <c r="M2" s="140"/>
    </row>
    <row r="3" ht="14.25" customHeight="1">
      <c r="A3" s="140" t="s">
        <v>59</v>
      </c>
      <c r="B3" s="140">
        <f>'Input sheet'!D1</f>
        <v>39.4</v>
      </c>
      <c r="C3" s="140"/>
      <c r="D3" s="140"/>
      <c r="E3" s="140"/>
      <c r="F3" s="140"/>
      <c r="G3" s="140"/>
      <c r="H3" s="140"/>
      <c r="I3" s="140"/>
      <c r="J3" s="140"/>
      <c r="K3" s="140"/>
      <c r="L3" s="140"/>
      <c r="M3" s="140"/>
    </row>
    <row r="4" ht="14.25" customHeight="1">
      <c r="A4" s="140"/>
      <c r="B4" s="140"/>
      <c r="C4" s="140"/>
      <c r="D4" s="140"/>
      <c r="E4" s="140"/>
      <c r="F4" s="140"/>
      <c r="G4" s="140"/>
      <c r="H4" s="140"/>
      <c r="I4" s="140"/>
      <c r="J4" s="140"/>
      <c r="K4" s="140"/>
      <c r="L4" s="140"/>
      <c r="M4" s="140"/>
    </row>
    <row r="5" ht="14.25" customHeight="1">
      <c r="A5" s="141" t="s">
        <v>60</v>
      </c>
      <c r="B5" s="141" t="s">
        <v>61</v>
      </c>
      <c r="C5" s="141"/>
      <c r="D5" s="141"/>
      <c r="E5" s="141"/>
      <c r="F5" s="141"/>
      <c r="G5" s="141"/>
      <c r="H5" s="141"/>
      <c r="I5" s="141"/>
      <c r="J5" s="141"/>
      <c r="K5" s="141"/>
      <c r="L5" s="141"/>
      <c r="M5" s="141"/>
    </row>
    <row r="6" ht="14.25" customHeight="1">
      <c r="A6" s="142" t="s">
        <v>62</v>
      </c>
      <c r="B6" s="142" t="str">
        <f>'Income Statement'!H2</f>
        <v>Dec '22</v>
      </c>
      <c r="C6" s="142" t="str">
        <f>'Income Statement'!I2</f>
        <v>Dec '23</v>
      </c>
      <c r="D6" s="142" t="str">
        <f>'Income Statement'!J2</f>
        <v>Dec '24</v>
      </c>
      <c r="E6" s="142" t="str">
        <f>'Income Statement'!K2</f>
        <v>Dec '25</v>
      </c>
      <c r="F6" s="142" t="s">
        <v>67</v>
      </c>
      <c r="G6" s="142" t="s">
        <v>68</v>
      </c>
      <c r="H6" s="142" t="s">
        <v>69</v>
      </c>
      <c r="I6" s="145"/>
      <c r="J6" s="145"/>
      <c r="K6" s="145"/>
      <c r="L6" s="145"/>
      <c r="M6" s="145"/>
    </row>
    <row r="7" ht="14.25" customHeight="1">
      <c r="A7" s="145" t="s">
        <v>71</v>
      </c>
      <c r="B7" s="17">
        <f>'Trailing Valuation'!H5</f>
        <v>304773.462</v>
      </c>
      <c r="C7" s="17">
        <f>'Trailing Valuation'!I5</f>
        <v>463924.972</v>
      </c>
      <c r="D7" s="17">
        <f>'Trailing Valuation'!J5</f>
        <v>387177.527</v>
      </c>
      <c r="E7" s="17">
        <f>'Trailing Valuation'!K5</f>
        <v>227170.59</v>
      </c>
      <c r="F7" s="17">
        <f>'Trailing Valuation'!L5</f>
        <v>174021.92</v>
      </c>
      <c r="G7" s="20"/>
      <c r="H7" s="20"/>
      <c r="I7" s="145"/>
      <c r="J7" s="147" t="s">
        <v>73</v>
      </c>
      <c r="K7" s="145"/>
      <c r="L7" s="145"/>
      <c r="M7" s="145"/>
    </row>
    <row r="8" ht="14.25" customHeight="1">
      <c r="A8" s="145" t="s">
        <v>144</v>
      </c>
      <c r="B8" s="26">
        <f>'Trailing Valuation'!H16</f>
        <v>32.3343053566313</v>
      </c>
      <c r="C8" s="26">
        <f t="shared" ref="C8:E8" si="1">C7/C9</f>
        <v>37.0499754025045</v>
      </c>
      <c r="D8" s="26">
        <f t="shared" si="1"/>
        <v>16.9642086561043</v>
      </c>
      <c r="E8" s="26">
        <f t="shared" si="1"/>
        <v>17.4944429470247</v>
      </c>
      <c r="F8" s="30">
        <f>IFERROR(IF(J8&lt;&gt;"",J8,F19*0.9),"")</f>
        <v>15.2677877904939</v>
      </c>
      <c r="G8" s="30">
        <f>F8</f>
        <v>15.2677877904939</v>
      </c>
      <c r="H8" s="30">
        <f>F8</f>
        <v>15.2677877904939</v>
      </c>
      <c r="I8" s="145"/>
      <c r="J8" s="76"/>
      <c r="K8" s="145"/>
      <c r="L8" s="145"/>
      <c r="M8" s="145"/>
    </row>
    <row r="9" ht="14.25" customHeight="1">
      <c r="A9" s="145" t="s">
        <v>145</v>
      </c>
      <c r="B9" s="20">
        <f>B7/B8</f>
        <v>9425.7</v>
      </c>
      <c r="C9" s="20">
        <f>'Financials Multiples'!B29</f>
        <v>12521.6</v>
      </c>
      <c r="D9" s="20">
        <f>'Financials Multiples'!C29</f>
        <v>22823.2</v>
      </c>
      <c r="E9" s="20">
        <f>'Financials Multiples'!D29</f>
        <v>12985.3</v>
      </c>
      <c r="F9" s="20">
        <f>'Financials Multiples'!E29</f>
        <v>18597.5998135291</v>
      </c>
      <c r="G9" s="20">
        <f>'Financials Multiples'!F29</f>
        <v>19284.5463654451</v>
      </c>
      <c r="H9" s="20">
        <f>'Financials Multiples'!G29</f>
        <v>19523.4350910568</v>
      </c>
      <c r="I9" s="145"/>
      <c r="J9" s="145"/>
      <c r="K9" s="145"/>
      <c r="L9" s="145"/>
      <c r="M9" s="145"/>
    </row>
    <row r="10" ht="14.25" customHeight="1">
      <c r="A10" s="148" t="s">
        <v>83</v>
      </c>
      <c r="B10" s="45"/>
      <c r="C10" s="45"/>
      <c r="D10" s="45"/>
      <c r="E10" s="45"/>
      <c r="F10" s="45">
        <f>F8*(F9/'Financials Multiples'!E31)</f>
        <v>63.9197261189256</v>
      </c>
      <c r="G10" s="45">
        <f>G8*(G9/'Financials Multiples'!F31)</f>
        <v>66.630665043163</v>
      </c>
      <c r="H10" s="45">
        <f>H8*(H9/'Financials Multiples'!G31)</f>
        <v>67.8121738961362</v>
      </c>
      <c r="I10" s="145"/>
      <c r="J10" s="145"/>
      <c r="K10" s="145"/>
      <c r="L10" s="145"/>
      <c r="M10" s="145"/>
    </row>
    <row r="11" ht="14.25" customHeight="1">
      <c r="A11" s="145" t="s">
        <v>85</v>
      </c>
      <c r="B11" s="20"/>
      <c r="C11" s="20"/>
      <c r="D11" s="20"/>
      <c r="E11" s="20"/>
      <c r="F11" s="20">
        <f>'Financials Multiples'!E35</f>
        <v>1.8266</v>
      </c>
      <c r="G11" s="20">
        <f>'Financials Multiples'!F35</f>
        <v>1.95525136250418</v>
      </c>
      <c r="H11" s="20">
        <f>'Financials Multiples'!G35</f>
        <v>2.08390272500836</v>
      </c>
      <c r="I11" s="145"/>
      <c r="J11" s="145"/>
      <c r="K11" s="145"/>
      <c r="L11" s="145"/>
      <c r="M11" s="145"/>
    </row>
    <row r="12" ht="14.25" customHeight="1">
      <c r="A12" s="148" t="s">
        <v>87</v>
      </c>
      <c r="B12" s="45"/>
      <c r="C12" s="45"/>
      <c r="D12" s="45"/>
      <c r="E12" s="45"/>
      <c r="F12" s="45">
        <f t="shared" ref="F12:H12" si="2">F10+F11</f>
        <v>65.7463261189256</v>
      </c>
      <c r="G12" s="45">
        <f t="shared" si="2"/>
        <v>68.5859164056672</v>
      </c>
      <c r="H12" s="51">
        <f t="shared" si="2"/>
        <v>69.8960766211446</v>
      </c>
      <c r="I12" s="145"/>
      <c r="J12" s="145"/>
      <c r="K12" s="145"/>
      <c r="L12" s="145"/>
      <c r="M12" s="145"/>
    </row>
    <row r="13" ht="14.25" customHeight="1">
      <c r="A13" s="148" t="s">
        <v>89</v>
      </c>
      <c r="B13" s="54"/>
      <c r="C13" s="54"/>
      <c r="D13" s="54"/>
      <c r="E13" s="54"/>
      <c r="F13" s="54">
        <f>(F12-B3)/B3</f>
        <v>0.668688480175778</v>
      </c>
      <c r="G13" s="54">
        <f>(G12-B3)/B3</f>
        <v>0.740759299636223</v>
      </c>
      <c r="H13" s="54">
        <f>(H12-B3)/B3</f>
        <v>0.774012096983365</v>
      </c>
      <c r="I13" s="145"/>
      <c r="J13" s="145"/>
      <c r="K13" s="145"/>
      <c r="L13" s="145"/>
      <c r="M13" s="145"/>
    </row>
    <row r="14" ht="14.25" customHeight="1">
      <c r="A14" s="145" t="s">
        <v>93</v>
      </c>
      <c r="B14" s="59"/>
      <c r="C14" s="59"/>
      <c r="D14" s="59"/>
      <c r="E14" s="59"/>
      <c r="F14" s="59">
        <f>(F12/B3) ^ (1 / 1) - 1</f>
        <v>0.668688480175778</v>
      </c>
      <c r="G14" s="59">
        <f>(G12/B3) ^ (1 / 2) - 1</f>
        <v>0.319378376219734</v>
      </c>
      <c r="H14" s="59">
        <f>(H12/B3) ^ (1 / 3) - 1</f>
        <v>0.21055778690472</v>
      </c>
      <c r="I14" s="145"/>
      <c r="J14" s="145"/>
      <c r="K14" s="145"/>
      <c r="L14" s="145"/>
      <c r="M14" s="145"/>
    </row>
    <row r="15" ht="14.25" customHeight="1">
      <c r="A15" s="145"/>
      <c r="B15" s="145"/>
      <c r="C15" s="145"/>
      <c r="D15" s="145"/>
      <c r="E15" s="145"/>
      <c r="F15" s="145"/>
      <c r="G15" s="145"/>
      <c r="H15" s="145"/>
      <c r="I15" s="145"/>
      <c r="J15" s="145"/>
      <c r="K15" s="145"/>
      <c r="L15" s="145"/>
      <c r="M15" s="145"/>
    </row>
    <row r="16" ht="14.25" customHeight="1">
      <c r="A16" s="141" t="s">
        <v>60</v>
      </c>
      <c r="B16" s="141" t="s">
        <v>106</v>
      </c>
      <c r="C16" s="141"/>
      <c r="D16" s="141"/>
      <c r="E16" s="141"/>
      <c r="F16" s="141"/>
      <c r="G16" s="141"/>
      <c r="H16" s="141"/>
      <c r="I16" s="141"/>
      <c r="J16" s="141"/>
      <c r="K16" s="141"/>
      <c r="L16" s="141"/>
      <c r="M16" s="141"/>
    </row>
    <row r="17" ht="14.25" customHeight="1">
      <c r="A17" s="142" t="s">
        <v>62</v>
      </c>
      <c r="B17" s="142" t="str">
        <f>'Income Statement'!H2</f>
        <v>Dec '22</v>
      </c>
      <c r="C17" s="142" t="str">
        <f>'Income Statement'!I2</f>
        <v>Dec '23</v>
      </c>
      <c r="D17" s="142" t="str">
        <f>'Income Statement'!J2</f>
        <v>Dec '24</v>
      </c>
      <c r="E17" s="142" t="str">
        <f>'Income Statement'!K2</f>
        <v>Dec '25</v>
      </c>
      <c r="F17" s="142" t="s">
        <v>67</v>
      </c>
      <c r="G17" s="142" t="s">
        <v>68</v>
      </c>
      <c r="H17" s="142" t="s">
        <v>69</v>
      </c>
      <c r="I17" s="145"/>
      <c r="J17" s="145"/>
      <c r="K17" s="145"/>
      <c r="L17" s="145"/>
      <c r="M17" s="145"/>
    </row>
    <row r="18" ht="14.25" customHeight="1">
      <c r="A18" s="145" t="s">
        <v>71</v>
      </c>
      <c r="B18" s="17">
        <f t="shared" ref="B18:F18" si="3">B7</f>
        <v>304773.462</v>
      </c>
      <c r="C18" s="17">
        <f t="shared" si="3"/>
        <v>463924.972</v>
      </c>
      <c r="D18" s="17">
        <f t="shared" si="3"/>
        <v>387177.527</v>
      </c>
      <c r="E18" s="17">
        <f t="shared" si="3"/>
        <v>227170.59</v>
      </c>
      <c r="F18" s="17">
        <f t="shared" si="3"/>
        <v>174021.92</v>
      </c>
      <c r="G18" s="20"/>
      <c r="H18" s="20"/>
      <c r="I18" s="145"/>
      <c r="J18" s="147" t="s">
        <v>73</v>
      </c>
      <c r="K18" s="145"/>
      <c r="L18" s="145"/>
      <c r="M18" s="145"/>
    </row>
    <row r="19" ht="14.25" customHeight="1">
      <c r="A19" s="145" t="s">
        <v>144</v>
      </c>
      <c r="B19" s="73">
        <f t="shared" ref="B19:E19" si="4">B8</f>
        <v>32.3343053566313</v>
      </c>
      <c r="C19" s="73">
        <f t="shared" si="4"/>
        <v>37.0499754025045</v>
      </c>
      <c r="D19" s="73">
        <f t="shared" si="4"/>
        <v>16.9642086561043</v>
      </c>
      <c r="E19" s="73">
        <f t="shared" si="4"/>
        <v>17.4944429470247</v>
      </c>
      <c r="F19" s="30">
        <f>IFERROR(IF(J19&lt;&gt;"",J19,MEDIAN('Trailing Valuation'!G16:K16)),"")</f>
        <v>16.9642086561043</v>
      </c>
      <c r="G19" s="30">
        <f>F19</f>
        <v>16.9642086561043</v>
      </c>
      <c r="H19" s="30">
        <f>F19</f>
        <v>16.9642086561043</v>
      </c>
      <c r="I19" s="145"/>
      <c r="J19" s="76">
        <f>MIN(B19:E19)</f>
        <v>16.9642086561043</v>
      </c>
      <c r="K19" s="145"/>
      <c r="L19" s="145"/>
      <c r="M19" s="145"/>
    </row>
    <row r="20" ht="14.25" customHeight="1">
      <c r="A20" s="145" t="s">
        <v>145</v>
      </c>
      <c r="B20" s="20">
        <f>B18/B19</f>
        <v>9425.7</v>
      </c>
      <c r="C20" s="20">
        <f>'Financials Multiples'!B68</f>
        <v>12521.6</v>
      </c>
      <c r="D20" s="20">
        <f>'Financials Multiples'!C68</f>
        <v>22823.2</v>
      </c>
      <c r="E20" s="20">
        <f>'Financials Multiples'!D68</f>
        <v>12985.3</v>
      </c>
      <c r="F20" s="20">
        <f>'Financials Multiples'!E68</f>
        <v>17624.588719869</v>
      </c>
      <c r="G20" s="20">
        <f>'Financials Multiples'!F68</f>
        <v>18365.9632248901</v>
      </c>
      <c r="H20" s="20">
        <f>'Financials Multiples'!G68</f>
        <v>18807.6824555892</v>
      </c>
      <c r="I20" s="145"/>
      <c r="J20" s="145"/>
      <c r="K20" s="145"/>
      <c r="L20" s="145"/>
      <c r="M20" s="145"/>
    </row>
    <row r="21" ht="14.25" customHeight="1">
      <c r="A21" s="148" t="s">
        <v>83</v>
      </c>
      <c r="B21" s="45"/>
      <c r="C21" s="45"/>
      <c r="D21" s="45"/>
      <c r="E21" s="45"/>
      <c r="F21" s="45">
        <f>F19*(F20/'Financials Multiples'!E70)</f>
        <v>67.3061097028229</v>
      </c>
      <c r="G21" s="45">
        <f>G19*(G20/'Financials Multiples'!F70)</f>
        <v>70.5075983088402</v>
      </c>
      <c r="H21" s="45">
        <f>H19*(H20/'Financials Multiples'!G70)</f>
        <v>72.5845532881858</v>
      </c>
      <c r="I21" s="145"/>
      <c r="J21" s="145"/>
      <c r="K21" s="145"/>
      <c r="L21" s="145"/>
      <c r="M21" s="145"/>
    </row>
    <row r="22" ht="14.25" customHeight="1">
      <c r="A22" s="145" t="s">
        <v>85</v>
      </c>
      <c r="B22" s="20"/>
      <c r="C22" s="20"/>
      <c r="D22" s="20"/>
      <c r="E22" s="20"/>
      <c r="F22" s="20">
        <f>'Financials Multiples'!E74</f>
        <v>1.8266</v>
      </c>
      <c r="G22" s="20">
        <f>'Financials Multiples'!F74</f>
        <v>1.95525136250418</v>
      </c>
      <c r="H22" s="20">
        <f>'Financials Multiples'!G74</f>
        <v>2.08390272500836</v>
      </c>
      <c r="I22" s="145"/>
      <c r="J22" s="145"/>
      <c r="K22" s="145"/>
      <c r="L22" s="145"/>
      <c r="M22" s="145"/>
    </row>
    <row r="23" ht="14.25" customHeight="1">
      <c r="A23" s="148" t="s">
        <v>87</v>
      </c>
      <c r="B23" s="45"/>
      <c r="C23" s="45"/>
      <c r="D23" s="45"/>
      <c r="E23" s="45"/>
      <c r="F23" s="45">
        <f t="shared" ref="F23:H23" si="5">F21+F22</f>
        <v>69.1327097028229</v>
      </c>
      <c r="G23" s="45">
        <f t="shared" si="5"/>
        <v>72.4628496713444</v>
      </c>
      <c r="H23" s="51">
        <f t="shared" si="5"/>
        <v>74.6684560131942</v>
      </c>
      <c r="I23" s="145"/>
      <c r="J23" s="145"/>
      <c r="K23" s="145"/>
      <c r="L23" s="145"/>
      <c r="M23" s="145"/>
    </row>
    <row r="24" ht="14.25" customHeight="1">
      <c r="A24" s="148" t="s">
        <v>89</v>
      </c>
      <c r="B24" s="54"/>
      <c r="C24" s="54"/>
      <c r="D24" s="54"/>
      <c r="E24" s="54"/>
      <c r="F24" s="54">
        <f>(F23-B3)/B3</f>
        <v>0.754637302102103</v>
      </c>
      <c r="G24" s="54">
        <f>(G23-B3)/B3</f>
        <v>0.839158621100111</v>
      </c>
      <c r="H24" s="82">
        <f>(H23-B3)/B3</f>
        <v>0.895138477492238</v>
      </c>
      <c r="I24" s="145"/>
      <c r="J24" s="145"/>
      <c r="K24" s="145"/>
      <c r="L24" s="145"/>
      <c r="M24" s="145"/>
    </row>
    <row r="25" ht="14.25" customHeight="1">
      <c r="A25" s="145" t="s">
        <v>93</v>
      </c>
      <c r="B25" s="59"/>
      <c r="C25" s="59"/>
      <c r="D25" s="59"/>
      <c r="E25" s="59"/>
      <c r="F25" s="59">
        <f>(F23/B3) ^ (1 / 1) - 1</f>
        <v>0.754637302102103</v>
      </c>
      <c r="G25" s="59">
        <f>(G23/B3) ^ (1 / 2) - 1</f>
        <v>0.356155824785674</v>
      </c>
      <c r="H25" s="85">
        <f>(H23/B3) ^ (1 / 3) - 1</f>
        <v>0.237505059189272</v>
      </c>
      <c r="I25" s="145"/>
      <c r="J25" s="145"/>
      <c r="K25" s="145"/>
      <c r="L25" s="145"/>
      <c r="M25" s="145"/>
    </row>
    <row r="26" ht="14.25" customHeight="1">
      <c r="A26" s="145"/>
      <c r="B26" s="145"/>
      <c r="C26" s="145"/>
      <c r="D26" s="145"/>
      <c r="E26" s="145"/>
      <c r="F26" s="145"/>
      <c r="G26" s="145"/>
      <c r="H26" s="145"/>
      <c r="I26" s="145"/>
      <c r="J26" s="145"/>
      <c r="K26" s="145"/>
      <c r="L26" s="145"/>
      <c r="M26" s="145"/>
    </row>
    <row r="27" ht="14.25" customHeight="1">
      <c r="A27" s="141" t="s">
        <v>60</v>
      </c>
      <c r="B27" s="141" t="s">
        <v>113</v>
      </c>
      <c r="C27" s="141"/>
      <c r="D27" s="141"/>
      <c r="E27" s="141"/>
      <c r="F27" s="141"/>
      <c r="G27" s="141"/>
      <c r="H27" s="141"/>
      <c r="I27" s="141"/>
      <c r="J27" s="141"/>
      <c r="K27" s="141"/>
      <c r="L27" s="141"/>
      <c r="M27" s="141"/>
    </row>
    <row r="28" ht="14.25" customHeight="1">
      <c r="A28" s="142" t="s">
        <v>62</v>
      </c>
      <c r="B28" s="142" t="str">
        <f>'Income Statement'!H2</f>
        <v>Dec '22</v>
      </c>
      <c r="C28" s="142" t="str">
        <f>'Income Statement'!I2</f>
        <v>Dec '23</v>
      </c>
      <c r="D28" s="142" t="str">
        <f>'Income Statement'!J2</f>
        <v>Dec '24</v>
      </c>
      <c r="E28" s="142" t="str">
        <f>'Income Statement'!K2</f>
        <v>Dec '25</v>
      </c>
      <c r="F28" s="142" t="s">
        <v>67</v>
      </c>
      <c r="G28" s="142" t="s">
        <v>68</v>
      </c>
      <c r="H28" s="142" t="s">
        <v>69</v>
      </c>
      <c r="I28" s="145"/>
      <c r="J28" s="145"/>
      <c r="K28" s="145"/>
      <c r="L28" s="145"/>
      <c r="M28" s="145"/>
    </row>
    <row r="29" ht="14.25" customHeight="1">
      <c r="A29" s="145" t="s">
        <v>71</v>
      </c>
      <c r="B29" s="17">
        <f t="shared" ref="B29:F29" si="6">B7</f>
        <v>304773.462</v>
      </c>
      <c r="C29" s="17">
        <f t="shared" si="6"/>
        <v>463924.972</v>
      </c>
      <c r="D29" s="17">
        <f t="shared" si="6"/>
        <v>387177.527</v>
      </c>
      <c r="E29" s="17">
        <f t="shared" si="6"/>
        <v>227170.59</v>
      </c>
      <c r="F29" s="17">
        <f t="shared" si="6"/>
        <v>174021.92</v>
      </c>
      <c r="G29" s="20"/>
      <c r="H29" s="20"/>
      <c r="I29" s="145"/>
      <c r="J29" s="147" t="s">
        <v>73</v>
      </c>
      <c r="K29" s="145"/>
      <c r="L29" s="145"/>
      <c r="M29" s="145"/>
    </row>
    <row r="30" ht="14.25" customHeight="1">
      <c r="A30" s="145" t="s">
        <v>144</v>
      </c>
      <c r="B30" s="73">
        <f t="shared" ref="B30:E30" si="7">B8</f>
        <v>32.3343053566313</v>
      </c>
      <c r="C30" s="73">
        <f t="shared" si="7"/>
        <v>37.0499754025045</v>
      </c>
      <c r="D30" s="73">
        <f t="shared" si="7"/>
        <v>16.9642086561043</v>
      </c>
      <c r="E30" s="73">
        <f t="shared" si="7"/>
        <v>17.4944429470247</v>
      </c>
      <c r="F30" s="30">
        <f>IFERROR(IF(J30&lt;&gt;"",J30,F19*1.1),"")</f>
        <v>18.6606295217147</v>
      </c>
      <c r="G30" s="30">
        <f>F30</f>
        <v>18.6606295217147</v>
      </c>
      <c r="H30" s="30">
        <f>F30</f>
        <v>18.6606295217147</v>
      </c>
      <c r="I30" s="145"/>
      <c r="J30" s="76"/>
      <c r="K30" s="145"/>
      <c r="L30" s="145"/>
      <c r="M30" s="145"/>
    </row>
    <row r="31" ht="14.25" customHeight="1">
      <c r="A31" s="145" t="s">
        <v>145</v>
      </c>
      <c r="B31" s="20">
        <f>B29/B30</f>
        <v>9425.7</v>
      </c>
      <c r="C31" s="20">
        <f>'Financials Multiples'!B108</f>
        <v>12521.6</v>
      </c>
      <c r="D31" s="20">
        <f>'Financials Multiples'!C108</f>
        <v>22823.2</v>
      </c>
      <c r="E31" s="20">
        <f>'Financials Multiples'!D108</f>
        <v>12985.3</v>
      </c>
      <c r="F31" s="20">
        <f>'Financials Multiples'!E108</f>
        <v>17369.0271110163</v>
      </c>
      <c r="G31" s="20">
        <f>'Financials Multiples'!F108</f>
        <v>17065.8930397668</v>
      </c>
      <c r="H31" s="20">
        <f>'Financials Multiples'!G108</f>
        <v>16333.6020961141</v>
      </c>
      <c r="I31" s="145"/>
      <c r="J31" s="145"/>
      <c r="K31" s="145"/>
      <c r="L31" s="145"/>
      <c r="M31" s="145"/>
    </row>
    <row r="32" ht="14.25" customHeight="1">
      <c r="A32" s="148" t="s">
        <v>83</v>
      </c>
      <c r="B32" s="45"/>
      <c r="C32" s="45"/>
      <c r="D32" s="45"/>
      <c r="E32" s="45"/>
      <c r="F32" s="45">
        <f>F30*(F31/'Financials Multiples'!E110)</f>
        <v>72.9631669153337</v>
      </c>
      <c r="G32" s="45">
        <f>G30*(G31/'Financials Multiples'!F110)</f>
        <v>72.0682399362898</v>
      </c>
      <c r="H32" s="45">
        <f>H30*(H31/'Financials Multiples'!G110)</f>
        <v>69.3399591356459</v>
      </c>
      <c r="I32" s="145"/>
      <c r="J32" s="145"/>
      <c r="K32" s="145"/>
      <c r="L32" s="145"/>
      <c r="M32" s="145"/>
    </row>
    <row r="33" ht="14.25" customHeight="1">
      <c r="A33" s="145" t="s">
        <v>85</v>
      </c>
      <c r="B33" s="20"/>
      <c r="C33" s="20"/>
      <c r="D33" s="20"/>
      <c r="E33" s="20"/>
      <c r="F33" s="20">
        <f>'Financials Multiples'!E114</f>
        <v>1.8266</v>
      </c>
      <c r="G33" s="20">
        <f>'Financials Multiples'!F114</f>
        <v>1.95525136250418</v>
      </c>
      <c r="H33" s="20">
        <f>'Financials Multiples'!G114</f>
        <v>2.08390272500836</v>
      </c>
      <c r="I33" s="145"/>
      <c r="J33" s="145"/>
      <c r="K33" s="145"/>
      <c r="L33" s="145"/>
      <c r="M33" s="145"/>
    </row>
    <row r="34" ht="14.25" customHeight="1">
      <c r="A34" s="148" t="s">
        <v>87</v>
      </c>
      <c r="B34" s="45"/>
      <c r="C34" s="45"/>
      <c r="D34" s="45"/>
      <c r="E34" s="45"/>
      <c r="F34" s="45">
        <f t="shared" ref="F34:H34" si="8">F32+F33</f>
        <v>74.7897669153337</v>
      </c>
      <c r="G34" s="45">
        <f t="shared" si="8"/>
        <v>74.023491298794</v>
      </c>
      <c r="H34" s="51">
        <f t="shared" si="8"/>
        <v>71.4238618606543</v>
      </c>
      <c r="I34" s="145"/>
      <c r="J34" s="145"/>
      <c r="K34" s="145"/>
      <c r="L34" s="145"/>
      <c r="M34" s="145"/>
    </row>
    <row r="35" ht="14.25" customHeight="1">
      <c r="A35" s="156" t="s">
        <v>89</v>
      </c>
      <c r="B35" s="157"/>
      <c r="C35" s="157"/>
      <c r="D35" s="157"/>
      <c r="E35" s="157"/>
      <c r="F35" s="157">
        <f>(F34-B3)/B3</f>
        <v>0.898217434399332</v>
      </c>
      <c r="G35" s="157">
        <f>(G34-B3)/B3</f>
        <v>0.878768814690202</v>
      </c>
      <c r="H35" s="158">
        <f>(H34-B3)/B3</f>
        <v>0.812788372097825</v>
      </c>
      <c r="I35" s="140"/>
      <c r="J35" s="140"/>
      <c r="K35" s="140"/>
      <c r="L35" s="140"/>
      <c r="M35" s="140"/>
    </row>
    <row r="36" ht="14.25" customHeight="1">
      <c r="A36" s="140" t="s">
        <v>93</v>
      </c>
      <c r="B36" s="159"/>
      <c r="C36" s="159"/>
      <c r="D36" s="159"/>
      <c r="E36" s="159"/>
      <c r="F36" s="159">
        <f>(F34/B3) ^ (1 / 1) - 1</f>
        <v>0.898217434399332</v>
      </c>
      <c r="G36" s="159">
        <f>(G34/B3) ^ (1 / 2) - 1</f>
        <v>0.370681879463722</v>
      </c>
      <c r="H36" s="160">
        <f>(H34/B3) ^ (1 / 3) - 1</f>
        <v>0.219314398467944</v>
      </c>
      <c r="I36" s="140"/>
      <c r="J36" s="140"/>
      <c r="K36" s="140"/>
      <c r="L36" s="140"/>
      <c r="M36" s="140"/>
    </row>
    <row r="37" ht="14.25" customHeight="1">
      <c r="A37" s="140"/>
      <c r="B37" s="140"/>
      <c r="C37" s="140"/>
      <c r="D37" s="140"/>
      <c r="E37" s="140"/>
      <c r="F37" s="140"/>
      <c r="G37" s="140"/>
      <c r="H37" s="161"/>
      <c r="I37" s="140"/>
      <c r="J37" s="140"/>
      <c r="K37" s="140"/>
      <c r="L37" s="140"/>
      <c r="M37" s="140"/>
    </row>
    <row r="38" ht="14.25" customHeight="1">
      <c r="A38" s="140"/>
      <c r="B38" s="140"/>
      <c r="C38" s="140"/>
      <c r="D38" s="140"/>
      <c r="E38" s="140"/>
      <c r="F38" s="140"/>
      <c r="G38" s="140"/>
      <c r="H38" s="161"/>
      <c r="I38" s="140"/>
      <c r="J38" s="140"/>
      <c r="K38" s="140"/>
      <c r="L38" s="140"/>
      <c r="M38" s="140"/>
    </row>
    <row r="39" ht="14.25" customHeight="1">
      <c r="A39" s="140" t="s">
        <v>151</v>
      </c>
      <c r="B39" s="140">
        <f>MEDIAN('Trailing Valuation'!B16:K16)</f>
        <v>25.8722899448962</v>
      </c>
      <c r="C39" s="140"/>
      <c r="D39" s="140"/>
      <c r="E39" s="140"/>
      <c r="F39" s="140"/>
      <c r="G39" s="140"/>
      <c r="H39" s="140"/>
      <c r="I39" s="140"/>
      <c r="J39" s="140"/>
      <c r="K39" s="140"/>
      <c r="L39" s="140"/>
      <c r="M39" s="140"/>
    </row>
    <row r="40" ht="14.25" customHeight="1">
      <c r="A40" s="140" t="s">
        <v>152</v>
      </c>
      <c r="B40" s="140">
        <f>MEDIAN('Trailing Valuation'!G16:K16)</f>
        <v>33.2840579710145</v>
      </c>
      <c r="C40" s="140"/>
      <c r="D40" s="140"/>
      <c r="E40" s="140"/>
      <c r="F40" s="140"/>
      <c r="G40" s="140"/>
      <c r="H40" s="140"/>
      <c r="I40" s="140"/>
      <c r="J40" s="140"/>
      <c r="K40" s="140"/>
      <c r="L40" s="140"/>
      <c r="M40" s="140"/>
    </row>
    <row r="41" ht="14.25" customHeight="1">
      <c r="A41" s="140" t="s">
        <v>155</v>
      </c>
      <c r="B41" s="140">
        <f>MEDIAN('Trailing Valuation'!I16:K16)</f>
        <v>36.1608210439802</v>
      </c>
      <c r="C41" s="140"/>
      <c r="D41" s="140"/>
      <c r="E41" s="140"/>
      <c r="F41" s="140"/>
      <c r="G41" s="140"/>
      <c r="H41" s="140"/>
      <c r="I41" s="140"/>
      <c r="J41" s="140"/>
      <c r="K41" s="140"/>
      <c r="L41" s="140"/>
      <c r="M41" s="140"/>
    </row>
    <row r="42" ht="14.25" customHeight="1">
      <c r="A42" s="140" t="s">
        <v>157</v>
      </c>
      <c r="B42" s="140">
        <f>'Trailing Valuation'!L16</f>
        <v>14.6976731615442</v>
      </c>
      <c r="C42" s="140"/>
      <c r="D42" s="140"/>
      <c r="E42" s="140"/>
      <c r="F42" s="140"/>
      <c r="G42" s="140"/>
      <c r="H42" s="140"/>
      <c r="I42" s="140"/>
      <c r="J42" s="140"/>
      <c r="K42" s="140"/>
      <c r="L42" s="140"/>
      <c r="M42" s="140"/>
    </row>
    <row r="43" ht="14.25" customHeight="1">
      <c r="A43" s="140"/>
      <c r="B43" s="140"/>
      <c r="C43" s="140"/>
      <c r="D43" s="140"/>
      <c r="E43" s="140"/>
      <c r="F43" s="140"/>
      <c r="G43" s="140"/>
      <c r="H43" s="140"/>
      <c r="I43" s="140"/>
      <c r="J43" s="140"/>
      <c r="K43" s="140"/>
      <c r="L43" s="140"/>
      <c r="M43" s="140"/>
    </row>
    <row r="44" ht="14.25" customHeight="1">
      <c r="A44" s="140"/>
      <c r="B44" s="140"/>
      <c r="C44" s="140"/>
      <c r="D44" s="140"/>
      <c r="E44" s="140"/>
      <c r="F44" s="140"/>
      <c r="G44" s="140"/>
      <c r="H44" s="140"/>
      <c r="I44" s="140"/>
      <c r="J44" s="140"/>
      <c r="K44" s="140"/>
      <c r="L44" s="140"/>
      <c r="M44" s="140"/>
    </row>
    <row r="45" ht="14.25" customHeight="1">
      <c r="A45" s="165" t="s">
        <v>133</v>
      </c>
      <c r="B45" s="140"/>
      <c r="C45" s="140"/>
      <c r="D45" s="140"/>
      <c r="E45" s="140"/>
      <c r="F45" s="140"/>
      <c r="G45" s="140"/>
      <c r="H45" s="140"/>
      <c r="I45" s="140"/>
      <c r="J45" s="140"/>
      <c r="K45" s="140"/>
      <c r="L45" s="140"/>
      <c r="M45" s="140"/>
    </row>
    <row r="46" ht="14.25" customHeight="1">
      <c r="A46" s="166" t="s">
        <v>159</v>
      </c>
      <c r="B46" s="168">
        <f>$H$20*0.9</f>
        <v>16926.9142100302</v>
      </c>
      <c r="C46" s="168">
        <f>$H$20*0.95</f>
        <v>17867.2983328097</v>
      </c>
      <c r="D46" s="168">
        <f>$H$20</f>
        <v>18807.6824555892</v>
      </c>
      <c r="E46" s="168">
        <f>$H$20*1.05</f>
        <v>19748.0665783686</v>
      </c>
      <c r="F46" s="170">
        <f>$H$20*1.1</f>
        <v>20688.4507011481</v>
      </c>
      <c r="G46" s="140"/>
      <c r="H46" s="140"/>
      <c r="I46" s="140"/>
      <c r="J46" s="140"/>
      <c r="K46" s="140"/>
      <c r="L46" s="140"/>
      <c r="M46" s="140"/>
    </row>
    <row r="47" ht="14.25" customHeight="1">
      <c r="A47" s="173">
        <f>$F$19*0.9</f>
        <v>15.2677877904939</v>
      </c>
      <c r="B47" s="175">
        <f>$A47*(B$46/'Financials Multiples'!$E$70)</f>
        <v>58.1775998619236</v>
      </c>
      <c r="C47" s="175">
        <f>$A47*(C$46/'Financials Multiples'!$E$70)</f>
        <v>61.4096887431416</v>
      </c>
      <c r="D47" s="175">
        <f>$A47*(D$46/'Financials Multiples'!$E$70)</f>
        <v>64.6417776243596</v>
      </c>
      <c r="E47" s="175">
        <f>$A47*(E$46/'Financials Multiples'!$E$70)</f>
        <v>67.8738665055775</v>
      </c>
      <c r="F47" s="179">
        <f>$A47*(F$46/'Financials Multiples'!$E$70)</f>
        <v>71.1059553867955</v>
      </c>
      <c r="G47" s="140"/>
      <c r="H47" s="140"/>
      <c r="I47" s="140"/>
      <c r="J47" s="140"/>
      <c r="K47" s="140"/>
      <c r="L47" s="140"/>
      <c r="M47" s="140"/>
    </row>
    <row r="48" ht="14.25" customHeight="1">
      <c r="A48" s="173">
        <f>$F$19*0.95</f>
        <v>16.1159982232991</v>
      </c>
      <c r="B48" s="175">
        <f>$A48*(B$46/'Financials Multiples'!$E$70)</f>
        <v>61.4096887431416</v>
      </c>
      <c r="C48" s="175">
        <f>$A48*(C$46/'Financials Multiples'!$E$70)</f>
        <v>64.8213381177605</v>
      </c>
      <c r="D48" s="175">
        <f>$A48*(D$46/'Financials Multiples'!$E$70)</f>
        <v>68.2329874923795</v>
      </c>
      <c r="E48" s="175">
        <f>$A48*(E$46/'Financials Multiples'!$E$70)</f>
        <v>71.6446368669985</v>
      </c>
      <c r="F48" s="179">
        <f>$A48*(F$46/'Financials Multiples'!$E$70)</f>
        <v>75.0562862416175</v>
      </c>
      <c r="G48" s="140"/>
      <c r="H48" s="140"/>
      <c r="I48" s="140"/>
      <c r="J48" s="140"/>
      <c r="K48" s="140"/>
      <c r="L48" s="140"/>
      <c r="M48" s="140"/>
    </row>
    <row r="49" ht="14.25" customHeight="1">
      <c r="A49" s="173">
        <f>$F$19</f>
        <v>16.9642086561043</v>
      </c>
      <c r="B49" s="175">
        <f>$A49*(B$46/'Financials Multiples'!$E$70)</f>
        <v>64.6417776243596</v>
      </c>
      <c r="C49" s="175">
        <f>$A49*(C$46/'Financials Multiples'!$E$70)</f>
        <v>68.2329874923795</v>
      </c>
      <c r="D49" s="175">
        <f>$A49*(D$46/'Financials Multiples'!$E$70)</f>
        <v>71.8241973603995</v>
      </c>
      <c r="E49" s="175">
        <f>$A49*(E$46/'Financials Multiples'!$E$70)</f>
        <v>75.4154072284195</v>
      </c>
      <c r="F49" s="179">
        <f>$A49*(F$46/'Financials Multiples'!$E$70)</f>
        <v>79.0066170964395</v>
      </c>
      <c r="G49" s="140"/>
      <c r="H49" s="140"/>
      <c r="I49" s="140"/>
      <c r="J49" s="140"/>
      <c r="K49" s="140"/>
      <c r="L49" s="140"/>
      <c r="M49" s="140"/>
    </row>
    <row r="50" ht="14.25" customHeight="1">
      <c r="A50" s="173">
        <f>$F$19*1.05</f>
        <v>17.8124190889095</v>
      </c>
      <c r="B50" s="175">
        <f>$A50*(B$46/'Financials Multiples'!$E$70)</f>
        <v>67.8738665055775</v>
      </c>
      <c r="C50" s="175">
        <f>$A50*(C$46/'Financials Multiples'!$E$70)</f>
        <v>71.6446368669985</v>
      </c>
      <c r="D50" s="175">
        <f>$A50*(D$46/'Financials Multiples'!$E$70)</f>
        <v>75.4154072284195</v>
      </c>
      <c r="E50" s="175">
        <f>$A50*(E$46/'Financials Multiples'!$E$70)</f>
        <v>79.1861775898405</v>
      </c>
      <c r="F50" s="179">
        <f>$A50*(F$46/'Financials Multiples'!$E$70)</f>
        <v>82.9569479512614</v>
      </c>
      <c r="G50" s="140"/>
      <c r="H50" s="140"/>
      <c r="I50" s="140"/>
      <c r="J50" s="140"/>
      <c r="K50" s="140"/>
      <c r="L50" s="140"/>
      <c r="M50" s="140"/>
    </row>
    <row r="51" ht="14.25" customHeight="1">
      <c r="A51" s="184">
        <f>$F$19*1.1</f>
        <v>18.6606295217147</v>
      </c>
      <c r="B51" s="186">
        <f>$A51*(B$46/'Financials Multiples'!$E$70)</f>
        <v>71.1059553867955</v>
      </c>
      <c r="C51" s="186">
        <f>$A51*(C$46/'Financials Multiples'!$E$70)</f>
        <v>75.0562862416175</v>
      </c>
      <c r="D51" s="186">
        <f>$A51*(D$46/'Financials Multiples'!$E$70)</f>
        <v>79.0066170964395</v>
      </c>
      <c r="E51" s="186">
        <f>$A51*(E$46/'Financials Multiples'!$E$70)</f>
        <v>82.9569479512614</v>
      </c>
      <c r="F51" s="187">
        <f>$A51*(F$46/'Financials Multiples'!$E$70)</f>
        <v>86.9072788060834</v>
      </c>
      <c r="G51" s="140"/>
      <c r="H51" s="140"/>
      <c r="I51" s="140"/>
      <c r="J51" s="140"/>
      <c r="K51" s="140"/>
      <c r="L51" s="140"/>
      <c r="M51" s="140"/>
    </row>
    <row r="52" ht="14.25" customHeight="1">
      <c r="A52" s="140"/>
      <c r="B52" s="140"/>
      <c r="C52" s="140"/>
      <c r="D52" s="140"/>
      <c r="E52" s="140"/>
      <c r="F52" s="140"/>
      <c r="G52" s="140"/>
      <c r="H52" s="161"/>
      <c r="I52" s="140"/>
      <c r="J52" s="140"/>
      <c r="K52" s="140"/>
      <c r="L52" s="140"/>
      <c r="M52" s="140"/>
    </row>
    <row r="53" ht="14.25" customHeight="1">
      <c r="A53" s="140"/>
      <c r="B53" s="140"/>
      <c r="C53" s="140"/>
      <c r="D53" s="140"/>
      <c r="E53" s="140"/>
      <c r="F53" s="140"/>
      <c r="G53" s="140"/>
      <c r="H53" s="161"/>
      <c r="I53" s="140"/>
      <c r="J53" s="140"/>
      <c r="K53" s="140"/>
      <c r="L53" s="140"/>
      <c r="M53" s="140"/>
    </row>
    <row r="54" ht="14.25" customHeight="1">
      <c r="A54" s="140"/>
      <c r="B54" s="140"/>
      <c r="C54" s="140"/>
      <c r="D54" s="140"/>
      <c r="E54" s="140"/>
      <c r="F54" s="140"/>
      <c r="G54" s="140"/>
      <c r="H54" s="161"/>
      <c r="I54" s="140"/>
      <c r="J54" s="140"/>
      <c r="K54" s="140"/>
      <c r="L54" s="140"/>
      <c r="M54" s="140"/>
    </row>
    <row r="55" ht="14.25" customHeight="1">
      <c r="A55" s="140"/>
      <c r="B55" s="140"/>
      <c r="C55" s="140"/>
      <c r="D55" s="140"/>
      <c r="E55" s="140"/>
      <c r="F55" s="140"/>
      <c r="G55" s="140"/>
      <c r="H55" s="161"/>
      <c r="I55" s="140"/>
      <c r="J55" s="140"/>
      <c r="K55" s="140"/>
      <c r="L55" s="140"/>
      <c r="M55" s="140"/>
    </row>
    <row r="56" ht="14.25" customHeight="1">
      <c r="A56" s="140"/>
      <c r="B56" s="140"/>
      <c r="C56" s="140"/>
      <c r="D56" s="140"/>
      <c r="E56" s="140"/>
      <c r="F56" s="140"/>
      <c r="G56" s="140"/>
      <c r="H56" s="161"/>
      <c r="I56" s="140"/>
      <c r="J56" s="140"/>
      <c r="K56" s="140"/>
      <c r="L56" s="140"/>
      <c r="M56" s="140"/>
    </row>
    <row r="57" ht="15.75" customHeight="1">
      <c r="A57" s="77"/>
      <c r="B57" s="77"/>
      <c r="C57" s="77"/>
      <c r="D57" s="77"/>
      <c r="E57" s="77"/>
      <c r="F57" s="77"/>
      <c r="G57" s="77"/>
      <c r="H57" s="77"/>
      <c r="I57" s="77"/>
      <c r="J57" s="77"/>
      <c r="K57" s="77"/>
      <c r="L57" s="77"/>
      <c r="M57" s="77"/>
    </row>
    <row r="58" ht="15.75" customHeight="1">
      <c r="A58" s="77"/>
      <c r="B58" s="77"/>
      <c r="C58" s="77"/>
      <c r="D58" s="77"/>
      <c r="E58" s="77"/>
      <c r="F58" s="77"/>
      <c r="G58" s="77"/>
      <c r="H58" s="77"/>
      <c r="I58" s="77"/>
      <c r="J58" s="77"/>
      <c r="K58" s="77"/>
      <c r="L58" s="77"/>
      <c r="M58" s="77"/>
    </row>
    <row r="59" ht="15.75" customHeight="1">
      <c r="A59" s="77"/>
      <c r="B59" s="77"/>
      <c r="C59" s="77"/>
      <c r="D59" s="77"/>
      <c r="E59" s="77"/>
      <c r="F59" s="77"/>
      <c r="G59" s="77"/>
      <c r="H59" s="77"/>
      <c r="I59" s="77"/>
      <c r="J59" s="77"/>
      <c r="K59" s="77"/>
      <c r="L59" s="77"/>
      <c r="M59" s="77"/>
    </row>
    <row r="60" ht="15.75" customHeight="1">
      <c r="A60" s="77"/>
      <c r="B60" s="77"/>
      <c r="C60" s="77"/>
      <c r="D60" s="77"/>
      <c r="E60" s="77"/>
      <c r="F60" s="77"/>
      <c r="G60" s="77"/>
      <c r="H60" s="77"/>
      <c r="I60" s="77"/>
      <c r="J60" s="77"/>
      <c r="K60" s="77"/>
      <c r="L60" s="77"/>
      <c r="M60" s="77"/>
    </row>
    <row r="61" ht="15.75" customHeight="1">
      <c r="A61" s="77"/>
      <c r="B61" s="77"/>
      <c r="C61" s="77"/>
      <c r="D61" s="77"/>
      <c r="E61" s="77"/>
      <c r="F61" s="77"/>
      <c r="G61" s="77"/>
      <c r="H61" s="77"/>
      <c r="I61" s="77"/>
      <c r="J61" s="77"/>
      <c r="K61" s="77"/>
      <c r="L61" s="77"/>
      <c r="M61" s="77"/>
    </row>
    <row r="62" ht="15.75" customHeight="1">
      <c r="A62" s="77"/>
      <c r="B62" s="77"/>
      <c r="C62" s="77"/>
      <c r="D62" s="77"/>
      <c r="E62" s="77"/>
      <c r="F62" s="77"/>
      <c r="G62" s="77"/>
      <c r="H62" s="77"/>
      <c r="I62" s="77"/>
      <c r="J62" s="77"/>
      <c r="K62" s="77"/>
      <c r="L62" s="77"/>
      <c r="M62" s="77"/>
    </row>
    <row r="63" ht="15.75" customHeight="1">
      <c r="A63" s="77"/>
      <c r="B63" s="77"/>
      <c r="C63" s="77"/>
      <c r="D63" s="77"/>
      <c r="E63" s="77"/>
      <c r="F63" s="77"/>
      <c r="G63" s="77"/>
      <c r="H63" s="77"/>
      <c r="I63" s="77"/>
      <c r="J63" s="77"/>
      <c r="K63" s="77"/>
      <c r="L63" s="77"/>
      <c r="M63" s="77"/>
    </row>
    <row r="64" ht="15.75" customHeight="1">
      <c r="A64" s="77"/>
      <c r="B64" s="77"/>
      <c r="C64" s="77"/>
      <c r="D64" s="77"/>
      <c r="E64" s="77"/>
      <c r="F64" s="77"/>
      <c r="G64" s="77"/>
      <c r="H64" s="77"/>
      <c r="I64" s="77"/>
      <c r="J64" s="77"/>
      <c r="K64" s="77"/>
      <c r="L64" s="77"/>
      <c r="M64" s="77"/>
    </row>
    <row r="65" ht="15.75" customHeight="1">
      <c r="A65" s="77"/>
      <c r="B65" s="77"/>
      <c r="C65" s="77"/>
      <c r="D65" s="77"/>
      <c r="E65" s="77"/>
      <c r="F65" s="77"/>
      <c r="G65" s="77"/>
      <c r="H65" s="77"/>
      <c r="I65" s="77"/>
      <c r="J65" s="77"/>
      <c r="K65" s="77"/>
      <c r="L65" s="77"/>
      <c r="M65" s="77"/>
    </row>
    <row r="66" ht="15.75" customHeight="1">
      <c r="A66" s="77"/>
      <c r="B66" s="77"/>
      <c r="C66" s="77"/>
      <c r="D66" s="77"/>
      <c r="E66" s="77"/>
      <c r="F66" s="77"/>
      <c r="G66" s="77"/>
      <c r="H66" s="77"/>
      <c r="I66" s="77"/>
      <c r="J66" s="77"/>
      <c r="K66" s="77"/>
      <c r="L66" s="77"/>
      <c r="M66" s="77"/>
    </row>
    <row r="67" ht="15.75" customHeight="1">
      <c r="A67" s="77"/>
      <c r="B67" s="77"/>
      <c r="C67" s="77"/>
      <c r="D67" s="77"/>
      <c r="E67" s="77"/>
      <c r="F67" s="77"/>
      <c r="G67" s="77"/>
      <c r="H67" s="77"/>
      <c r="I67" s="77"/>
      <c r="J67" s="77"/>
      <c r="K67" s="77"/>
      <c r="L67" s="77"/>
      <c r="M67" s="77"/>
    </row>
    <row r="68" ht="15.75" customHeight="1">
      <c r="A68" s="77"/>
      <c r="B68" s="77"/>
      <c r="C68" s="77"/>
      <c r="D68" s="77"/>
      <c r="E68" s="77"/>
      <c r="F68" s="77"/>
      <c r="G68" s="77"/>
      <c r="H68" s="77"/>
      <c r="I68" s="77"/>
      <c r="J68" s="77"/>
      <c r="K68" s="77"/>
      <c r="L68" s="77"/>
      <c r="M68" s="77"/>
    </row>
    <row r="69" ht="15.75" customHeight="1">
      <c r="A69" s="77"/>
      <c r="B69" s="77"/>
      <c r="C69" s="77"/>
      <c r="D69" s="77"/>
      <c r="E69" s="77"/>
      <c r="F69" s="77"/>
      <c r="G69" s="77"/>
      <c r="H69" s="77"/>
      <c r="I69" s="77"/>
      <c r="J69" s="77"/>
      <c r="K69" s="77"/>
      <c r="L69" s="77"/>
      <c r="M69" s="77"/>
    </row>
    <row r="70" ht="15.75" customHeight="1">
      <c r="A70" s="77"/>
      <c r="B70" s="77"/>
      <c r="C70" s="77"/>
      <c r="D70" s="77"/>
      <c r="E70" s="77"/>
      <c r="F70" s="77"/>
      <c r="G70" s="77"/>
      <c r="H70" s="77"/>
      <c r="I70" s="77"/>
      <c r="J70" s="77"/>
      <c r="K70" s="77"/>
      <c r="L70" s="77"/>
      <c r="M70" s="77"/>
    </row>
    <row r="71" ht="15.75" customHeight="1">
      <c r="A71" s="77"/>
      <c r="B71" s="77"/>
      <c r="C71" s="77"/>
      <c r="D71" s="77"/>
      <c r="E71" s="77"/>
      <c r="F71" s="77"/>
      <c r="G71" s="77"/>
      <c r="H71" s="77"/>
      <c r="I71" s="77"/>
      <c r="J71" s="77"/>
      <c r="K71" s="77"/>
      <c r="L71" s="77"/>
      <c r="M71" s="77"/>
    </row>
    <row r="72" ht="15.75" customHeight="1">
      <c r="A72" s="77"/>
      <c r="B72" s="77"/>
      <c r="C72" s="77"/>
      <c r="D72" s="77"/>
      <c r="E72" s="77"/>
      <c r="F72" s="77"/>
      <c r="G72" s="77"/>
      <c r="H72" s="77"/>
      <c r="I72" s="77"/>
      <c r="J72" s="77"/>
      <c r="K72" s="77"/>
      <c r="L72" s="77"/>
      <c r="M72" s="77"/>
    </row>
    <row r="73" ht="15.75" customHeight="1">
      <c r="A73" s="77"/>
      <c r="B73" s="77"/>
      <c r="C73" s="77"/>
      <c r="D73" s="77"/>
      <c r="E73" s="77"/>
      <c r="F73" s="77"/>
      <c r="G73" s="77"/>
      <c r="H73" s="77"/>
      <c r="I73" s="77"/>
      <c r="J73" s="77"/>
      <c r="K73" s="77"/>
      <c r="L73" s="77"/>
      <c r="M73" s="77"/>
    </row>
    <row r="74" ht="15.75" customHeight="1">
      <c r="A74" s="77"/>
      <c r="B74" s="77"/>
      <c r="C74" s="77"/>
      <c r="D74" s="77"/>
      <c r="E74" s="77"/>
      <c r="F74" s="77"/>
      <c r="G74" s="77"/>
      <c r="H74" s="77"/>
      <c r="I74" s="77"/>
      <c r="J74" s="77"/>
      <c r="K74" s="77"/>
      <c r="L74" s="77"/>
      <c r="M74" s="77"/>
    </row>
    <row r="75" ht="15.75" customHeight="1">
      <c r="A75" s="77"/>
      <c r="B75" s="77"/>
      <c r="C75" s="77"/>
      <c r="D75" s="77"/>
      <c r="E75" s="77"/>
      <c r="F75" s="77"/>
      <c r="G75" s="77"/>
      <c r="H75" s="77"/>
      <c r="I75" s="77"/>
      <c r="J75" s="77"/>
      <c r="K75" s="77"/>
      <c r="L75" s="77"/>
      <c r="M75" s="77"/>
    </row>
    <row r="76" ht="15.75" customHeight="1">
      <c r="A76" s="77"/>
      <c r="B76" s="77"/>
      <c r="C76" s="77"/>
      <c r="D76" s="77"/>
      <c r="E76" s="77"/>
      <c r="F76" s="77"/>
      <c r="G76" s="77"/>
      <c r="H76" s="77"/>
      <c r="I76" s="77"/>
      <c r="J76" s="77"/>
      <c r="K76" s="77"/>
      <c r="L76" s="77"/>
      <c r="M76" s="77"/>
    </row>
    <row r="77" ht="15.75" customHeight="1">
      <c r="A77" s="77"/>
      <c r="B77" s="77"/>
      <c r="C77" s="77"/>
      <c r="D77" s="77"/>
      <c r="E77" s="77"/>
      <c r="F77" s="77"/>
      <c r="G77" s="77"/>
      <c r="H77" s="77"/>
      <c r="I77" s="77"/>
      <c r="J77" s="77"/>
      <c r="K77" s="77"/>
      <c r="L77" s="77"/>
      <c r="M77" s="77"/>
    </row>
    <row r="78" ht="15.75" customHeight="1">
      <c r="A78" s="77"/>
      <c r="B78" s="77"/>
      <c r="C78" s="77"/>
      <c r="D78" s="77"/>
      <c r="E78" s="77"/>
      <c r="F78" s="77"/>
      <c r="G78" s="77"/>
      <c r="H78" s="77"/>
      <c r="I78" s="77"/>
      <c r="J78" s="77"/>
      <c r="K78" s="77"/>
      <c r="L78" s="77"/>
      <c r="M78" s="77"/>
    </row>
    <row r="79" ht="15.75" customHeight="1">
      <c r="A79" s="77"/>
      <c r="B79" s="77"/>
      <c r="C79" s="77"/>
      <c r="D79" s="77"/>
      <c r="E79" s="77"/>
      <c r="F79" s="77"/>
      <c r="G79" s="77"/>
      <c r="H79" s="77"/>
      <c r="I79" s="77"/>
      <c r="J79" s="77"/>
      <c r="K79" s="77"/>
      <c r="L79" s="77"/>
      <c r="M79" s="77"/>
    </row>
    <row r="80" ht="15.75" customHeight="1">
      <c r="A80" s="77"/>
      <c r="B80" s="77"/>
      <c r="C80" s="77"/>
      <c r="D80" s="77"/>
      <c r="E80" s="77"/>
      <c r="F80" s="77"/>
      <c r="G80" s="77"/>
      <c r="H80" s="77"/>
      <c r="I80" s="77"/>
      <c r="J80" s="77"/>
      <c r="K80" s="77"/>
      <c r="L80" s="77"/>
      <c r="M80" s="77"/>
    </row>
    <row r="81" ht="15.75" customHeight="1">
      <c r="A81" s="77"/>
      <c r="B81" s="77"/>
      <c r="C81" s="77"/>
      <c r="D81" s="77"/>
      <c r="E81" s="77"/>
      <c r="F81" s="77"/>
      <c r="G81" s="77"/>
      <c r="H81" s="77"/>
      <c r="I81" s="77"/>
      <c r="J81" s="77"/>
      <c r="K81" s="77"/>
      <c r="L81" s="77"/>
      <c r="M81" s="77"/>
    </row>
    <row r="82" ht="15.75" customHeight="1">
      <c r="A82" s="77"/>
      <c r="B82" s="77"/>
      <c r="C82" s="77"/>
      <c r="D82" s="77"/>
      <c r="E82" s="77"/>
      <c r="F82" s="77"/>
      <c r="G82" s="77"/>
      <c r="H82" s="77"/>
      <c r="I82" s="77"/>
      <c r="J82" s="77"/>
      <c r="K82" s="77"/>
      <c r="L82" s="77"/>
      <c r="M82" s="77"/>
    </row>
    <row r="83" ht="15.75" customHeight="1">
      <c r="A83" s="77"/>
      <c r="B83" s="77"/>
      <c r="C83" s="77"/>
      <c r="D83" s="77"/>
      <c r="E83" s="77"/>
      <c r="F83" s="77"/>
      <c r="G83" s="77"/>
      <c r="H83" s="77"/>
      <c r="I83" s="77"/>
      <c r="J83" s="77"/>
      <c r="K83" s="77"/>
      <c r="L83" s="77"/>
      <c r="M83" s="77"/>
    </row>
    <row r="84" ht="15.75" customHeight="1">
      <c r="A84" s="77"/>
      <c r="B84" s="77"/>
      <c r="C84" s="77"/>
      <c r="D84" s="77"/>
      <c r="E84" s="77"/>
      <c r="F84" s="77"/>
      <c r="G84" s="77"/>
      <c r="H84" s="77"/>
      <c r="I84" s="77"/>
      <c r="J84" s="77"/>
      <c r="K84" s="77"/>
      <c r="L84" s="77"/>
      <c r="M84" s="77"/>
    </row>
    <row r="85" ht="15.75" customHeight="1">
      <c r="A85" s="77"/>
      <c r="B85" s="77"/>
      <c r="C85" s="77"/>
      <c r="D85" s="77"/>
      <c r="E85" s="77"/>
      <c r="F85" s="77"/>
      <c r="G85" s="77"/>
      <c r="H85" s="77"/>
      <c r="I85" s="77"/>
      <c r="J85" s="77"/>
      <c r="K85" s="77"/>
      <c r="L85" s="77"/>
      <c r="M85" s="77"/>
    </row>
    <row r="86" ht="15.75" customHeight="1">
      <c r="A86" s="77"/>
      <c r="B86" s="77"/>
      <c r="C86" s="77"/>
      <c r="D86" s="77"/>
      <c r="E86" s="77"/>
      <c r="F86" s="77"/>
      <c r="G86" s="77"/>
      <c r="H86" s="77"/>
      <c r="I86" s="77"/>
      <c r="J86" s="77"/>
      <c r="K86" s="77"/>
      <c r="L86" s="77"/>
      <c r="M86" s="77"/>
    </row>
    <row r="87" ht="15.75" customHeight="1">
      <c r="A87" s="77"/>
      <c r="B87" s="77"/>
      <c r="C87" s="77"/>
      <c r="D87" s="77"/>
      <c r="E87" s="77"/>
      <c r="F87" s="77"/>
      <c r="G87" s="77"/>
      <c r="H87" s="77"/>
      <c r="I87" s="77"/>
      <c r="J87" s="77"/>
      <c r="K87" s="77"/>
      <c r="L87" s="77"/>
      <c r="M87" s="77"/>
    </row>
    <row r="88" ht="15.75" customHeight="1">
      <c r="A88" s="77"/>
      <c r="B88" s="77"/>
      <c r="C88" s="77"/>
      <c r="D88" s="77"/>
      <c r="E88" s="77"/>
      <c r="F88" s="77"/>
      <c r="G88" s="77"/>
      <c r="H88" s="77"/>
      <c r="I88" s="77"/>
      <c r="J88" s="77"/>
      <c r="K88" s="77"/>
      <c r="L88" s="77"/>
      <c r="M88" s="77"/>
    </row>
    <row r="89" ht="15.75" customHeight="1">
      <c r="A89" s="77"/>
      <c r="B89" s="77"/>
      <c r="C89" s="77"/>
      <c r="D89" s="77"/>
      <c r="E89" s="77"/>
      <c r="F89" s="77"/>
      <c r="G89" s="77"/>
      <c r="H89" s="77"/>
      <c r="I89" s="77"/>
      <c r="J89" s="77"/>
      <c r="K89" s="77"/>
      <c r="L89" s="77"/>
      <c r="M89" s="77"/>
    </row>
    <row r="90" ht="15.75" customHeight="1">
      <c r="A90" s="77"/>
      <c r="B90" s="77"/>
      <c r="C90" s="77"/>
      <c r="D90" s="77"/>
      <c r="E90" s="77"/>
      <c r="F90" s="77"/>
      <c r="G90" s="77"/>
      <c r="H90" s="77"/>
      <c r="I90" s="77"/>
      <c r="J90" s="77"/>
      <c r="K90" s="77"/>
      <c r="L90" s="77"/>
      <c r="M90" s="77"/>
    </row>
    <row r="91" ht="15.75" customHeight="1">
      <c r="A91" s="77"/>
      <c r="B91" s="77"/>
      <c r="C91" s="77"/>
      <c r="D91" s="77"/>
      <c r="E91" s="77"/>
      <c r="F91" s="77"/>
      <c r="G91" s="77"/>
      <c r="H91" s="77"/>
      <c r="I91" s="77"/>
      <c r="J91" s="77"/>
      <c r="K91" s="77"/>
      <c r="L91" s="77"/>
      <c r="M91" s="77"/>
    </row>
    <row r="92" ht="15.75" customHeight="1">
      <c r="A92" s="77"/>
      <c r="B92" s="77"/>
      <c r="C92" s="77"/>
      <c r="D92" s="77"/>
      <c r="E92" s="77"/>
      <c r="F92" s="77"/>
      <c r="G92" s="77"/>
      <c r="H92" s="77"/>
      <c r="I92" s="77"/>
      <c r="J92" s="77"/>
      <c r="K92" s="77"/>
      <c r="L92" s="77"/>
      <c r="M92" s="77"/>
    </row>
    <row r="93" ht="15.75" customHeight="1">
      <c r="A93" s="77"/>
      <c r="B93" s="77"/>
      <c r="C93" s="77"/>
      <c r="D93" s="77"/>
      <c r="E93" s="77"/>
      <c r="F93" s="77"/>
      <c r="G93" s="77"/>
      <c r="H93" s="77"/>
      <c r="I93" s="77"/>
      <c r="J93" s="77"/>
      <c r="K93" s="77"/>
      <c r="L93" s="77"/>
      <c r="M93" s="77"/>
    </row>
    <row r="94" ht="15.75" customHeight="1">
      <c r="A94" s="77"/>
      <c r="B94" s="77"/>
      <c r="C94" s="77"/>
      <c r="D94" s="77"/>
      <c r="E94" s="77"/>
      <c r="F94" s="77"/>
      <c r="G94" s="77"/>
      <c r="H94" s="77"/>
      <c r="I94" s="77"/>
      <c r="J94" s="77"/>
      <c r="K94" s="77"/>
      <c r="L94" s="77"/>
      <c r="M94" s="77"/>
    </row>
    <row r="95" ht="15.75" customHeight="1">
      <c r="A95" s="77"/>
      <c r="B95" s="77"/>
      <c r="C95" s="77"/>
      <c r="D95" s="77"/>
      <c r="E95" s="77"/>
      <c r="F95" s="77"/>
      <c r="G95" s="77"/>
      <c r="H95" s="77"/>
      <c r="I95" s="77"/>
      <c r="J95" s="77"/>
      <c r="K95" s="77"/>
      <c r="L95" s="77"/>
      <c r="M95" s="77"/>
    </row>
    <row r="96" ht="15.75" customHeight="1">
      <c r="A96" s="77"/>
      <c r="B96" s="77"/>
      <c r="C96" s="77"/>
      <c r="D96" s="77"/>
      <c r="E96" s="77"/>
      <c r="F96" s="77"/>
      <c r="G96" s="77"/>
      <c r="H96" s="77"/>
      <c r="I96" s="77"/>
      <c r="J96" s="77"/>
      <c r="K96" s="77"/>
      <c r="L96" s="77"/>
      <c r="M96" s="77"/>
    </row>
    <row r="97" ht="15.75" customHeight="1">
      <c r="A97" s="77"/>
      <c r="B97" s="77"/>
      <c r="C97" s="77"/>
      <c r="D97" s="77"/>
      <c r="E97" s="77"/>
      <c r="F97" s="77"/>
      <c r="G97" s="77"/>
      <c r="H97" s="77"/>
      <c r="I97" s="77"/>
      <c r="J97" s="77"/>
      <c r="K97" s="77"/>
      <c r="L97" s="77"/>
      <c r="M97" s="77"/>
    </row>
    <row r="98" ht="15.75" customHeight="1">
      <c r="A98" s="77"/>
      <c r="B98" s="77"/>
      <c r="C98" s="77"/>
      <c r="D98" s="77"/>
      <c r="E98" s="77"/>
      <c r="F98" s="77"/>
      <c r="G98" s="77"/>
      <c r="H98" s="77"/>
      <c r="I98" s="77"/>
      <c r="J98" s="77"/>
      <c r="K98" s="77"/>
      <c r="L98" s="77"/>
      <c r="M98" s="77"/>
    </row>
    <row r="99" ht="15.75" customHeight="1">
      <c r="A99" s="77"/>
      <c r="B99" s="77"/>
      <c r="C99" s="77"/>
      <c r="D99" s="77"/>
      <c r="E99" s="77"/>
      <c r="F99" s="77"/>
      <c r="G99" s="77"/>
      <c r="H99" s="77"/>
      <c r="I99" s="77"/>
      <c r="J99" s="77"/>
      <c r="K99" s="77"/>
      <c r="L99" s="77"/>
      <c r="M99" s="77"/>
    </row>
    <row r="100" ht="15.75" customHeight="1">
      <c r="A100" s="77"/>
      <c r="B100" s="77"/>
      <c r="C100" s="77"/>
      <c r="D100" s="77"/>
      <c r="E100" s="77"/>
      <c r="F100" s="77"/>
      <c r="G100" s="77"/>
      <c r="H100" s="77"/>
      <c r="I100" s="77"/>
      <c r="J100" s="77"/>
      <c r="K100" s="77"/>
      <c r="L100" s="77"/>
      <c r="M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2" t="str">
        <f>'Input sheet'!A1</f>
        <v>Novo Nordisk (NYSE:NVO)</v>
      </c>
      <c r="B1" s="2"/>
      <c r="C1" s="2" t="s">
        <v>57</v>
      </c>
      <c r="D1" s="2">
        <f>'Input sheet'!D1</f>
        <v>39.4</v>
      </c>
      <c r="E1" s="138"/>
      <c r="F1" s="138"/>
      <c r="G1" s="138"/>
      <c r="H1" s="138"/>
      <c r="I1" s="138"/>
      <c r="J1" s="138"/>
      <c r="K1" s="138"/>
      <c r="L1" s="138"/>
      <c r="M1" s="138"/>
    </row>
    <row r="2" ht="14.25" customHeight="1">
      <c r="A2" s="139" t="s">
        <v>58</v>
      </c>
      <c r="B2" s="140"/>
      <c r="C2" s="140"/>
      <c r="D2" s="140"/>
      <c r="E2" s="140"/>
      <c r="F2" s="140"/>
      <c r="G2" s="140"/>
      <c r="H2" s="140"/>
      <c r="I2" s="140"/>
      <c r="J2" s="140"/>
      <c r="K2" s="140"/>
      <c r="L2" s="140"/>
      <c r="M2" s="140"/>
    </row>
    <row r="3" ht="14.25" customHeight="1">
      <c r="A3" s="140" t="s">
        <v>59</v>
      </c>
      <c r="B3" s="140">
        <f>'Input sheet'!D1</f>
        <v>39.4</v>
      </c>
      <c r="C3" s="140"/>
      <c r="D3" s="140"/>
      <c r="E3" s="140"/>
      <c r="F3" s="140"/>
      <c r="G3" s="140"/>
      <c r="H3" s="140"/>
      <c r="I3" s="140"/>
      <c r="J3" s="140"/>
      <c r="K3" s="140"/>
      <c r="L3" s="140"/>
      <c r="M3" s="140"/>
    </row>
    <row r="4" ht="14.25" customHeight="1">
      <c r="A4" s="140"/>
      <c r="B4" s="140"/>
      <c r="C4" s="140"/>
      <c r="D4" s="140"/>
      <c r="E4" s="140"/>
      <c r="F4" s="140"/>
      <c r="G4" s="140"/>
      <c r="H4" s="140"/>
      <c r="I4" s="140"/>
      <c r="J4" s="140"/>
      <c r="K4" s="140"/>
      <c r="L4" s="140"/>
      <c r="M4" s="140"/>
    </row>
    <row r="5" ht="14.25" customHeight="1">
      <c r="A5" s="149" t="s">
        <v>60</v>
      </c>
      <c r="B5" s="149" t="s">
        <v>61</v>
      </c>
      <c r="C5" s="149"/>
      <c r="D5" s="149"/>
      <c r="E5" s="149"/>
      <c r="F5" s="149"/>
      <c r="G5" s="149"/>
      <c r="H5" s="149"/>
      <c r="I5" s="149"/>
      <c r="J5" s="149"/>
      <c r="K5" s="149"/>
      <c r="L5" s="149"/>
      <c r="M5" s="149"/>
    </row>
    <row r="6" ht="14.25" customHeight="1">
      <c r="A6" s="150" t="s">
        <v>62</v>
      </c>
      <c r="B6" s="150" t="inlineStr">
        <is>
          <t xml:space="preserve">Dec '22</t>
        </is>
      </c>
      <c r="C6" s="150" t="inlineStr">
        <is>
          <t xml:space="preserve">Dec '23</t>
        </is>
      </c>
      <c r="D6" s="150" t="inlineStr">
        <is>
          <t xml:space="preserve">Dec '24</t>
        </is>
      </c>
      <c r="E6" s="150" t="inlineStr">
        <is>
          <t xml:space="preserve">Dec '25</t>
        </is>
      </c>
      <c r="F6" s="150" t="s">
        <v>67</v>
      </c>
      <c r="G6" s="150" t="s">
        <v>68</v>
      </c>
      <c r="H6" s="150" t="s">
        <v>69</v>
      </c>
      <c r="I6" s="140"/>
      <c r="J6" s="140"/>
      <c r="K6" s="140"/>
      <c r="L6" s="140"/>
      <c r="M6" s="140"/>
    </row>
    <row r="7" ht="14.25" customHeight="1">
      <c r="A7" s="151" t="s">
        <v>70</v>
      </c>
      <c r="B7" s="15">
        <f>'Trailing Valuation'!H6</f>
        <v>305090.362</v>
      </c>
      <c r="C7" s="15">
        <f>'Trailing Valuation'!I6</f>
        <v>463447.072</v>
      </c>
      <c r="D7" s="15">
        <f>'Trailing Valuation'!J6</f>
        <v>397831.327</v>
      </c>
      <c r="E7" s="15">
        <f>'Trailing Valuation'!K6</f>
        <v>243531.19</v>
      </c>
      <c r="F7" s="15">
        <f>'Trailing Valuation'!L6</f>
        <v>188525.82</v>
      </c>
      <c r="G7" s="19"/>
      <c r="H7" s="19"/>
      <c r="I7" s="140"/>
      <c r="J7" s="152" t="s">
        <v>73</v>
      </c>
      <c r="K7" s="140"/>
      <c r="L7" s="140"/>
      <c r="M7" s="140"/>
    </row>
    <row r="8" ht="14.25" customHeight="1">
      <c r="A8" s="151" t="s">
        <v>146</v>
      </c>
      <c r="B8" s="25">
        <f>'Trailing Valuation'!H21</f>
        <v>26.2900146491107</v>
      </c>
      <c r="C8" s="25">
        <f t="shared" ref="C8:E8" si="1">C7/C9</f>
        <v>28.5240325955833</v>
      </c>
      <c r="D8" s="25">
        <f t="shared" si="1"/>
        <v>18.5983313776548</v>
      </c>
      <c r="E8" s="25">
        <f t="shared" si="1"/>
        <v>10.7699977887847</v>
      </c>
      <c r="F8" s="34">
        <f>IFERROR(IF(J8&lt;&gt;"",J8,F19*0.9),"")</f>
        <v>9.69299800990625</v>
      </c>
      <c r="G8" s="34">
        <f>F8</f>
        <v>9.69299800990625</v>
      </c>
      <c r="H8" s="34">
        <f>F8</f>
        <v>9.69299800990625</v>
      </c>
      <c r="I8" s="140"/>
      <c r="J8" s="153"/>
      <c r="K8" s="140"/>
      <c r="L8" s="140"/>
      <c r="M8" s="140"/>
    </row>
    <row r="9" ht="14.25" customHeight="1">
      <c r="A9" s="151" t="s">
        <v>147</v>
      </c>
      <c r="B9" s="19">
        <f>B7/B8</f>
        <v>11604.8</v>
      </c>
      <c r="C9" s="19">
        <f>'Financials Multiples'!B18</f>
        <v>16247.6</v>
      </c>
      <c r="D9" s="19">
        <f>'Financials Multiples'!C18</f>
        <v>21390.7</v>
      </c>
      <c r="E9" s="19">
        <f>'Financials Multiples'!D18</f>
        <v>22612.0</v>
      </c>
      <c r="F9" s="19">
        <f>'Financials Multiples'!E18</f>
        <v>25065.2111967011</v>
      </c>
      <c r="G9" s="19">
        <f>'Financials Multiples'!F18</f>
        <v>25855.4049954052</v>
      </c>
      <c r="H9" s="19">
        <f>'Financials Multiples'!G18</f>
        <v>26162.1084850244</v>
      </c>
      <c r="I9" s="140"/>
      <c r="J9" s="140"/>
      <c r="K9" s="140"/>
      <c r="L9" s="140"/>
      <c r="M9" s="140"/>
    </row>
    <row r="10" ht="14.25" customHeight="1">
      <c r="A10" s="154" t="s">
        <v>83</v>
      </c>
      <c r="B10" s="57"/>
      <c r="C10" s="57"/>
      <c r="D10" s="57"/>
      <c r="E10" s="57"/>
      <c r="F10" s="57">
        <f>F8*(F9/'Financials Multiples'!E31)</f>
        <v>54.6929544476844</v>
      </c>
      <c r="G10" s="57">
        <f>G8*(G9/'Financials Multiples'!F31)</f>
        <v>56.715017986778</v>
      </c>
      <c r="H10" s="57">
        <f>H8*(H9/'Financials Multiples'!G31)</f>
        <v>57.6907499937167</v>
      </c>
      <c r="I10" s="140"/>
      <c r="J10" s="140"/>
      <c r="K10" s="140"/>
      <c r="L10" s="140"/>
      <c r="M10" s="140"/>
    </row>
    <row r="11" ht="14.25" customHeight="1">
      <c r="A11" s="151" t="s">
        <v>85</v>
      </c>
      <c r="B11" s="19"/>
      <c r="C11" s="19"/>
      <c r="D11" s="19"/>
      <c r="E11" s="19"/>
      <c r="F11" s="19">
        <f>'Financials Multiples'!E35</f>
        <v>1.8266</v>
      </c>
      <c r="G11" s="19">
        <f>'Financials Multiples'!F35</f>
        <v>1.95525136250418</v>
      </c>
      <c r="H11" s="19">
        <f>'Financials Multiples'!G35</f>
        <v>2.08390272500836</v>
      </c>
      <c r="I11" s="140"/>
      <c r="J11" s="140"/>
      <c r="K11" s="140"/>
      <c r="L11" s="140"/>
      <c r="M11" s="140"/>
    </row>
    <row r="12" ht="14.25" customHeight="1">
      <c r="A12" s="154" t="s">
        <v>87</v>
      </c>
      <c r="B12" s="57"/>
      <c r="C12" s="57"/>
      <c r="D12" s="57"/>
      <c r="E12" s="57"/>
      <c r="F12" s="57">
        <f t="shared" ref="F12:H12" si="2">F10+F11</f>
        <v>56.5195544476844</v>
      </c>
      <c r="G12" s="57">
        <f t="shared" si="2"/>
        <v>58.6702693492822</v>
      </c>
      <c r="H12" s="78">
        <f t="shared" si="2"/>
        <v>59.774652718725</v>
      </c>
      <c r="I12" s="140"/>
      <c r="J12" s="140"/>
      <c r="K12" s="140"/>
      <c r="L12" s="140"/>
      <c r="M12" s="140"/>
    </row>
    <row r="13" ht="14.25" customHeight="1">
      <c r="A13" s="154" t="s">
        <v>89</v>
      </c>
      <c r="B13" s="79"/>
      <c r="C13" s="79"/>
      <c r="D13" s="79"/>
      <c r="E13" s="79"/>
      <c r="F13" s="79">
        <f>(F12-B3)/B3</f>
        <v>0.434506458063056</v>
      </c>
      <c r="G13" s="79">
        <f>(G12-B3)/B3</f>
        <v>0.489093130692442</v>
      </c>
      <c r="H13" s="79">
        <f>(H12-B3)/B3</f>
        <v>0.517123165449874</v>
      </c>
      <c r="I13" s="140"/>
      <c r="J13" s="140"/>
      <c r="K13" s="140"/>
      <c r="L13" s="140"/>
      <c r="M13" s="140"/>
    </row>
    <row r="14" ht="14.25" customHeight="1">
      <c r="A14" s="151" t="s">
        <v>93</v>
      </c>
      <c r="B14" s="84"/>
      <c r="C14" s="84"/>
      <c r="D14" s="84"/>
      <c r="E14" s="84"/>
      <c r="F14" s="84">
        <f>(F12/B3) ^ (1 / 1) - 1</f>
        <v>0.434506458063056</v>
      </c>
      <c r="G14" s="84">
        <f>(G12/B3) ^ (1 / 2) - 1</f>
        <v>0.220284036891593</v>
      </c>
      <c r="H14" s="84">
        <f>(H12/B3) ^ (1 / 3) - 1</f>
        <v>0.149053579355026</v>
      </c>
      <c r="I14" s="140"/>
      <c r="J14" s="140"/>
      <c r="K14" s="140"/>
      <c r="L14" s="140"/>
      <c r="M14" s="140"/>
    </row>
    <row r="15" ht="14.25" customHeight="1">
      <c r="A15" s="140"/>
      <c r="B15" s="140"/>
      <c r="C15" s="140"/>
      <c r="D15" s="140"/>
      <c r="E15" s="140"/>
      <c r="F15" s="140"/>
      <c r="G15" s="140"/>
      <c r="H15" s="140"/>
      <c r="I15" s="140"/>
      <c r="J15" s="140"/>
      <c r="K15" s="140"/>
      <c r="L15" s="140"/>
      <c r="M15" s="140"/>
    </row>
    <row r="16" ht="14.25" customHeight="1">
      <c r="A16" s="149" t="s">
        <v>60</v>
      </c>
      <c r="B16" s="149" t="s">
        <v>106</v>
      </c>
      <c r="C16" s="149"/>
      <c r="D16" s="149"/>
      <c r="E16" s="149"/>
      <c r="F16" s="149"/>
      <c r="G16" s="149"/>
      <c r="H16" s="149"/>
      <c r="I16" s="149"/>
      <c r="J16" s="149"/>
      <c r="K16" s="149"/>
      <c r="L16" s="149"/>
      <c r="M16" s="149"/>
    </row>
    <row r="17" ht="14.25" customHeight="1">
      <c r="A17" s="150" t="s">
        <v>62</v>
      </c>
      <c r="B17" s="150" t="inlineStr">
        <is>
          <t xml:space="preserve">Dec '22</t>
        </is>
      </c>
      <c r="C17" s="150" t="inlineStr">
        <is>
          <t xml:space="preserve">Dec '23</t>
        </is>
      </c>
      <c r="D17" s="150" t="inlineStr">
        <is>
          <t xml:space="preserve">Dec '24</t>
        </is>
      </c>
      <c r="E17" s="150" t="inlineStr">
        <is>
          <t xml:space="preserve">Dec '25</t>
        </is>
      </c>
      <c r="F17" s="150" t="s">
        <v>67</v>
      </c>
      <c r="G17" s="150" t="s">
        <v>68</v>
      </c>
      <c r="H17" s="150" t="s">
        <v>69</v>
      </c>
      <c r="I17" s="140"/>
      <c r="J17" s="140"/>
      <c r="K17" s="140"/>
      <c r="L17" s="140"/>
      <c r="M17" s="140"/>
    </row>
    <row r="18" ht="14.25" customHeight="1">
      <c r="A18" s="151" t="s">
        <v>70</v>
      </c>
      <c r="B18" s="15">
        <f t="shared" ref="B18:F18" si="3">B7</f>
        <v>305090.362</v>
      </c>
      <c r="C18" s="15">
        <f t="shared" si="3"/>
        <v>463447.072</v>
      </c>
      <c r="D18" s="15">
        <f t="shared" si="3"/>
        <v>397831.327</v>
      </c>
      <c r="E18" s="15">
        <f t="shared" si="3"/>
        <v>243531.19</v>
      </c>
      <c r="F18" s="15">
        <f t="shared" si="3"/>
        <v>188525.82</v>
      </c>
      <c r="G18" s="19"/>
      <c r="H18" s="19"/>
      <c r="I18" s="140"/>
      <c r="J18" s="152" t="s">
        <v>73</v>
      </c>
      <c r="K18" s="140"/>
      <c r="L18" s="140"/>
      <c r="M18" s="140"/>
    </row>
    <row r="19" ht="14.25" customHeight="1">
      <c r="A19" s="151" t="s">
        <v>146</v>
      </c>
      <c r="B19" s="99">
        <f t="shared" ref="B19:E19" si="4">B8</f>
        <v>26.2900146491107</v>
      </c>
      <c r="C19" s="99">
        <f t="shared" si="4"/>
        <v>28.5240325955833</v>
      </c>
      <c r="D19" s="99">
        <f t="shared" si="4"/>
        <v>18.5983313776548</v>
      </c>
      <c r="E19" s="99">
        <f t="shared" si="4"/>
        <v>10.7699977887847</v>
      </c>
      <c r="F19" s="34">
        <f>IFERROR(IF(J19&lt;&gt;"",J19,MEDIAN('Trailing Valuation'!G21:K21)),"")</f>
        <v>10.7699977887847</v>
      </c>
      <c r="G19" s="34">
        <f>F19</f>
        <v>10.7699977887847</v>
      </c>
      <c r="H19" s="34">
        <f>F19</f>
        <v>10.7699977887847</v>
      </c>
      <c r="I19" s="140"/>
      <c r="J19" s="153">
        <f>MIN(B19:E19)</f>
        <v>10.7699977887847</v>
      </c>
      <c r="K19" s="140"/>
      <c r="L19" s="140"/>
      <c r="M19" s="140"/>
    </row>
    <row r="20" ht="14.25" customHeight="1">
      <c r="A20" s="151" t="s">
        <v>147</v>
      </c>
      <c r="B20" s="19">
        <f>B18/B19</f>
        <v>11604.8</v>
      </c>
      <c r="C20" s="19">
        <f>'Financials Multiples'!B57</f>
        <v>16247.6</v>
      </c>
      <c r="D20" s="19">
        <f>'Financials Multiples'!C57</f>
        <v>21390.7</v>
      </c>
      <c r="E20" s="19">
        <f>'Financials Multiples'!D57</f>
        <v>22612.0</v>
      </c>
      <c r="F20" s="19">
        <f>'Financials Multiples'!E57</f>
        <v>23947.654009587</v>
      </c>
      <c r="G20" s="19">
        <f>'Financials Multiples'!F57</f>
        <v>24610.0320789199</v>
      </c>
      <c r="H20" s="19">
        <f>'Financials Multiples'!G57</f>
        <v>25224.3509897788</v>
      </c>
      <c r="I20" s="140"/>
      <c r="J20" s="140"/>
      <c r="K20" s="140"/>
      <c r="L20" s="140"/>
      <c r="M20" s="140"/>
    </row>
    <row r="21" ht="14.25" customHeight="1">
      <c r="A21" s="154" t="s">
        <v>83</v>
      </c>
      <c r="B21" s="57"/>
      <c r="C21" s="57"/>
      <c r="D21" s="57"/>
      <c r="E21" s="57"/>
      <c r="F21" s="57">
        <f>F19*(F20/'Financials Multiples'!E70)</f>
        <v>58.0604611971172</v>
      </c>
      <c r="G21" s="57">
        <f>G19*(G20/'Financials Multiples'!F70)</f>
        <v>59.9813725713431</v>
      </c>
      <c r="H21" s="57">
        <f>H19*(H20/'Financials Multiples'!G70)</f>
        <v>61.8031960033631</v>
      </c>
      <c r="I21" s="140"/>
      <c r="J21" s="140"/>
      <c r="K21" s="140"/>
      <c r="L21" s="140"/>
      <c r="M21" s="140"/>
    </row>
    <row r="22" ht="14.25" customHeight="1">
      <c r="A22" s="151" t="s">
        <v>85</v>
      </c>
      <c r="B22" s="19"/>
      <c r="C22" s="19"/>
      <c r="D22" s="19"/>
      <c r="E22" s="19"/>
      <c r="F22" s="19">
        <f>'Financials Multiples'!E74</f>
        <v>1.8266</v>
      </c>
      <c r="G22" s="19">
        <f>'Financials Multiples'!F74</f>
        <v>1.95525136250418</v>
      </c>
      <c r="H22" s="19">
        <f>'Financials Multiples'!G74</f>
        <v>2.08390272500836</v>
      </c>
      <c r="I22" s="140"/>
      <c r="J22" s="140"/>
      <c r="K22" s="140"/>
      <c r="L22" s="140"/>
      <c r="M22" s="140"/>
    </row>
    <row r="23" ht="14.25" customHeight="1">
      <c r="A23" s="154" t="s">
        <v>87</v>
      </c>
      <c r="B23" s="57"/>
      <c r="C23" s="57"/>
      <c r="D23" s="57"/>
      <c r="E23" s="57"/>
      <c r="F23" s="57">
        <f t="shared" ref="F23:H23" si="5">F21+F22</f>
        <v>59.8870611971172</v>
      </c>
      <c r="G23" s="57">
        <f t="shared" si="5"/>
        <v>61.9366239338472</v>
      </c>
      <c r="H23" s="78">
        <f t="shared" si="5"/>
        <v>63.8870987283714</v>
      </c>
      <c r="I23" s="140"/>
      <c r="J23" s="140"/>
      <c r="K23" s="140"/>
      <c r="L23" s="140"/>
      <c r="M23" s="140"/>
    </row>
    <row r="24" ht="14.25" customHeight="1">
      <c r="A24" s="154" t="s">
        <v>89</v>
      </c>
      <c r="B24" s="79"/>
      <c r="C24" s="79"/>
      <c r="D24" s="79"/>
      <c r="E24" s="79"/>
      <c r="F24" s="79">
        <f>(F23-B3)/B3</f>
        <v>0.519976172515665</v>
      </c>
      <c r="G24" s="79">
        <f>(G23-B3)/B3</f>
        <v>0.57199553131592</v>
      </c>
      <c r="H24" s="118">
        <f>(H23-B3)/B3</f>
        <v>0.621499967725164</v>
      </c>
      <c r="I24" s="140"/>
      <c r="J24" s="140"/>
      <c r="K24" s="140"/>
      <c r="L24" s="140"/>
      <c r="M24" s="140"/>
    </row>
    <row r="25" ht="14.25" customHeight="1">
      <c r="A25" s="151" t="s">
        <v>93</v>
      </c>
      <c r="B25" s="84"/>
      <c r="C25" s="84"/>
      <c r="D25" s="84"/>
      <c r="E25" s="84"/>
      <c r="F25" s="84">
        <f>(F23/B3) ^ (1 / 1) - 1</f>
        <v>0.519976172515665</v>
      </c>
      <c r="G25" s="84">
        <f>(G23/B3) ^ (1 / 2) - 1</f>
        <v>0.253792459426966</v>
      </c>
      <c r="H25" s="125">
        <f>(H23/B3) ^ (1 / 3) - 1</f>
        <v>0.174822660479116</v>
      </c>
      <c r="I25" s="140"/>
      <c r="J25" s="140"/>
      <c r="K25" s="140"/>
      <c r="L25" s="140"/>
      <c r="M25" s="140"/>
    </row>
    <row r="26" ht="14.25" customHeight="1">
      <c r="A26" s="140"/>
      <c r="B26" s="140"/>
      <c r="C26" s="140"/>
      <c r="D26" s="140"/>
      <c r="E26" s="140"/>
      <c r="F26" s="140"/>
      <c r="G26" s="140"/>
      <c r="H26" s="140"/>
      <c r="I26" s="140"/>
      <c r="J26" s="140"/>
      <c r="K26" s="140"/>
      <c r="L26" s="140"/>
      <c r="M26" s="140"/>
    </row>
    <row r="27" ht="14.25" customHeight="1">
      <c r="A27" s="149" t="s">
        <v>60</v>
      </c>
      <c r="B27" s="149" t="s">
        <v>113</v>
      </c>
      <c r="C27" s="149"/>
      <c r="D27" s="149"/>
      <c r="E27" s="149"/>
      <c r="F27" s="149"/>
      <c r="G27" s="149"/>
      <c r="H27" s="149"/>
      <c r="I27" s="149"/>
      <c r="J27" s="149"/>
      <c r="K27" s="149"/>
      <c r="L27" s="149"/>
      <c r="M27" s="149"/>
    </row>
    <row r="28" ht="14.25" customHeight="1">
      <c r="A28" s="150" t="s">
        <v>62</v>
      </c>
      <c r="B28" s="150" t="inlineStr">
        <is>
          <t xml:space="preserve">Dec '22</t>
        </is>
      </c>
      <c r="C28" s="150" t="inlineStr">
        <is>
          <t xml:space="preserve">Dec '23</t>
        </is>
      </c>
      <c r="D28" s="150" t="inlineStr">
        <is>
          <t xml:space="preserve">Dec '24</t>
        </is>
      </c>
      <c r="E28" s="150" t="inlineStr">
        <is>
          <t xml:space="preserve">Dec '25</t>
        </is>
      </c>
      <c r="F28" s="150" t="s">
        <v>67</v>
      </c>
      <c r="G28" s="150" t="s">
        <v>68</v>
      </c>
      <c r="H28" s="150" t="s">
        <v>69</v>
      </c>
      <c r="I28" s="140"/>
      <c r="J28" s="140"/>
      <c r="K28" s="140"/>
      <c r="L28" s="140"/>
      <c r="M28" s="140"/>
    </row>
    <row r="29" ht="14.25" customHeight="1">
      <c r="A29" s="151" t="s">
        <v>70</v>
      </c>
      <c r="B29" s="15">
        <f t="shared" ref="B29:F29" si="6">B7</f>
        <v>305090.362</v>
      </c>
      <c r="C29" s="15">
        <f t="shared" si="6"/>
        <v>463447.072</v>
      </c>
      <c r="D29" s="15">
        <f t="shared" si="6"/>
        <v>397831.327</v>
      </c>
      <c r="E29" s="15">
        <f t="shared" si="6"/>
        <v>243531.19</v>
      </c>
      <c r="F29" s="15">
        <f t="shared" si="6"/>
        <v>188525.82</v>
      </c>
      <c r="G29" s="19"/>
      <c r="H29" s="19"/>
      <c r="I29" s="140"/>
      <c r="J29" s="152" t="s">
        <v>73</v>
      </c>
      <c r="K29" s="140"/>
      <c r="L29" s="140"/>
      <c r="M29" s="140"/>
    </row>
    <row r="30" ht="14.25" customHeight="1">
      <c r="A30" s="151" t="s">
        <v>146</v>
      </c>
      <c r="B30" s="99">
        <f t="shared" ref="B30:E30" si="7">B8</f>
        <v>26.2900146491107</v>
      </c>
      <c r="C30" s="99">
        <f t="shared" si="7"/>
        <v>28.5240325955833</v>
      </c>
      <c r="D30" s="99">
        <f t="shared" si="7"/>
        <v>18.5983313776548</v>
      </c>
      <c r="E30" s="99">
        <f t="shared" si="7"/>
        <v>10.7699977887847</v>
      </c>
      <c r="F30" s="34">
        <f>IFERROR(IF(J30&lt;&gt;"",J30,F19*1.1),"")</f>
        <v>11.8469975676632</v>
      </c>
      <c r="G30" s="34">
        <f>F30</f>
        <v>11.8469975676632</v>
      </c>
      <c r="H30" s="34">
        <f>F30</f>
        <v>11.8469975676632</v>
      </c>
      <c r="I30" s="140"/>
      <c r="J30" s="153"/>
      <c r="K30" s="140"/>
      <c r="L30" s="140"/>
      <c r="M30" s="140"/>
    </row>
    <row r="31" ht="14.25" customHeight="1">
      <c r="A31" s="151" t="s">
        <v>147</v>
      </c>
      <c r="B31" s="19">
        <f>B18/B19</f>
        <v>11604.8</v>
      </c>
      <c r="C31" s="19">
        <f>'Financials Multiples'!B97</f>
        <v>16247.6</v>
      </c>
      <c r="D31" s="19">
        <f>'Financials Multiples'!C97</f>
        <v>21390.7</v>
      </c>
      <c r="E31" s="19">
        <f>'Financials Multiples'!D97</f>
        <v>22612.0</v>
      </c>
      <c r="F31" s="19">
        <f>'Financials Multiples'!E97</f>
        <v>23648.3083344672</v>
      </c>
      <c r="G31" s="19">
        <f>'Financials Multiples'!F97</f>
        <v>23099.0283556093</v>
      </c>
      <c r="H31" s="19">
        <f>'Financials Multiples'!G97</f>
        <v>22091.1129389221</v>
      </c>
      <c r="I31" s="140"/>
      <c r="J31" s="140"/>
      <c r="K31" s="140"/>
      <c r="L31" s="140"/>
      <c r="M31" s="140"/>
    </row>
    <row r="32" ht="14.25" customHeight="1">
      <c r="A32" s="154" t="s">
        <v>83</v>
      </c>
      <c r="B32" s="57"/>
      <c r="C32" s="57"/>
      <c r="D32" s="57"/>
      <c r="E32" s="57"/>
      <c r="F32" s="57">
        <f>F30*(F31/'Financials Multiples'!E110)</f>
        <v>63.0681759753686</v>
      </c>
      <c r="G32" s="57">
        <f>G30*(G31/'Financials Multiples'!F110)</f>
        <v>61.9285079974625</v>
      </c>
      <c r="H32" s="57">
        <f>H30*(H31/'Financials Multiples'!G110)</f>
        <v>59.5389558999894</v>
      </c>
      <c r="I32" s="140"/>
      <c r="J32" s="140"/>
      <c r="K32" s="140"/>
      <c r="L32" s="140"/>
      <c r="M32" s="140"/>
    </row>
    <row r="33" ht="14.25" customHeight="1">
      <c r="A33" s="151" t="s">
        <v>85</v>
      </c>
      <c r="B33" s="19"/>
      <c r="C33" s="19"/>
      <c r="D33" s="19"/>
      <c r="E33" s="19"/>
      <c r="F33" s="19">
        <f>'Financials Multiples'!E114</f>
        <v>1.8266</v>
      </c>
      <c r="G33" s="19">
        <f>'Financials Multiples'!F114</f>
        <v>1.95525136250418</v>
      </c>
      <c r="H33" s="19">
        <f>'Financials Multiples'!G114</f>
        <v>2.08390272500836</v>
      </c>
      <c r="I33" s="140"/>
      <c r="J33" s="140"/>
      <c r="K33" s="140"/>
      <c r="L33" s="140"/>
      <c r="M33" s="140"/>
    </row>
    <row r="34" ht="14.25" customHeight="1">
      <c r="A34" s="154" t="s">
        <v>87</v>
      </c>
      <c r="B34" s="57"/>
      <c r="C34" s="57"/>
      <c r="D34" s="57"/>
      <c r="E34" s="57"/>
      <c r="F34" s="57">
        <f t="shared" ref="F34:H34" si="8">F32+F33</f>
        <v>64.8947759753686</v>
      </c>
      <c r="G34" s="57">
        <f t="shared" si="8"/>
        <v>63.8837593599666</v>
      </c>
      <c r="H34" s="78">
        <f t="shared" si="8"/>
        <v>61.6228586249977</v>
      </c>
      <c r="I34" s="140"/>
      <c r="J34" s="140"/>
      <c r="K34" s="140"/>
      <c r="L34" s="140"/>
      <c r="M34" s="140"/>
    </row>
    <row r="35" ht="14.25" customHeight="1">
      <c r="A35" s="154" t="s">
        <v>89</v>
      </c>
      <c r="B35" s="79"/>
      <c r="C35" s="79"/>
      <c r="D35" s="79"/>
      <c r="E35" s="79"/>
      <c r="F35" s="79">
        <f>(F34-B3)/B3</f>
        <v>0.647075532369761</v>
      </c>
      <c r="G35" s="79">
        <f>(G34-B3)/B3</f>
        <v>0.621415212181894</v>
      </c>
      <c r="H35" s="118">
        <f>(H34-B3)/B3</f>
        <v>0.564031944796896</v>
      </c>
      <c r="I35" s="140"/>
      <c r="J35" s="140"/>
      <c r="K35" s="140"/>
      <c r="L35" s="140"/>
      <c r="M35" s="140"/>
    </row>
    <row r="36" ht="14.25" customHeight="1">
      <c r="A36" s="151" t="s">
        <v>93</v>
      </c>
      <c r="B36" s="84"/>
      <c r="C36" s="84"/>
      <c r="D36" s="84"/>
      <c r="E36" s="84"/>
      <c r="F36" s="84">
        <f>(F34/B3) ^ (1 / 1) - 1</f>
        <v>0.647075532369761</v>
      </c>
      <c r="G36" s="84">
        <f>(G34/B3) ^ (1 / 2) - 1</f>
        <v>0.273348032621834</v>
      </c>
      <c r="H36" s="125">
        <f>(H34/B3) ^ (1 / 3) - 1</f>
        <v>0.160776319617012</v>
      </c>
      <c r="I36" s="140"/>
      <c r="J36" s="140"/>
      <c r="K36" s="140"/>
      <c r="L36" s="140"/>
      <c r="M36" s="140"/>
    </row>
    <row r="37" ht="14.25" customHeight="1">
      <c r="A37" s="151"/>
      <c r="B37" s="151"/>
      <c r="C37" s="151"/>
      <c r="D37" s="151"/>
      <c r="E37" s="151"/>
      <c r="F37" s="151"/>
      <c r="G37" s="151"/>
      <c r="H37" s="205"/>
      <c r="I37" s="140"/>
      <c r="J37" s="140"/>
      <c r="K37" s="140"/>
      <c r="L37" s="140"/>
      <c r="M37" s="140"/>
    </row>
    <row r="38" ht="14.25" customHeight="1">
      <c r="A38" s="151"/>
      <c r="B38" s="151"/>
      <c r="C38" s="151"/>
      <c r="D38" s="151"/>
      <c r="E38" s="151"/>
      <c r="F38" s="151"/>
      <c r="G38" s="151"/>
      <c r="H38" s="205"/>
      <c r="I38" s="140"/>
      <c r="J38" s="140"/>
      <c r="K38" s="140"/>
      <c r="L38" s="140"/>
      <c r="M38" s="140"/>
    </row>
    <row r="39" ht="14.25" customHeight="1">
      <c r="A39" s="151" t="s">
        <v>184</v>
      </c>
      <c r="B39" s="151">
        <f>MEDIAN('Trailing Valuation'!B21:K21)</f>
        <v>17.2151734614736</v>
      </c>
      <c r="C39" s="151"/>
      <c r="D39" s="151"/>
      <c r="E39" s="151"/>
      <c r="F39" s="151"/>
      <c r="G39" s="151"/>
      <c r="H39" s="151"/>
      <c r="I39" s="140"/>
      <c r="J39" s="140"/>
      <c r="K39" s="140"/>
      <c r="L39" s="140"/>
      <c r="M39" s="140"/>
    </row>
    <row r="40" ht="14.25" customHeight="1">
      <c r="A40" s="151" t="s">
        <v>189</v>
      </c>
      <c r="B40" s="151">
        <f>MEDIAN('Trailing Valuation'!G21:K21)</f>
        <v>25.1828031054813</v>
      </c>
      <c r="C40" s="151"/>
      <c r="D40" s="151"/>
      <c r="E40" s="151"/>
      <c r="F40" s="151"/>
      <c r="G40" s="151"/>
      <c r="H40" s="151"/>
      <c r="I40" s="140"/>
      <c r="J40" s="140"/>
      <c r="K40" s="140"/>
      <c r="L40" s="140"/>
      <c r="M40" s="140"/>
    </row>
    <row r="41" ht="14.25" customHeight="1">
      <c r="A41" s="151" t="s">
        <v>193</v>
      </c>
      <c r="B41" s="151">
        <f>MEDIAN('Trailing Valuation'!I21:K21)</f>
        <v>18.5983313776548</v>
      </c>
      <c r="C41" s="151"/>
      <c r="D41" s="151"/>
      <c r="E41" s="151"/>
      <c r="F41" s="151"/>
      <c r="G41" s="151"/>
      <c r="H41" s="151"/>
      <c r="I41" s="140"/>
      <c r="J41" s="140"/>
      <c r="K41" s="140"/>
      <c r="L41" s="140"/>
      <c r="M41" s="140"/>
    </row>
    <row r="42" ht="14.25" customHeight="1">
      <c r="A42" s="151" t="s">
        <v>201</v>
      </c>
      <c r="B42" s="151">
        <f>'Trailing Valuation'!L21</f>
        <v>8.47421315233515</v>
      </c>
      <c r="C42" s="151"/>
      <c r="D42" s="151"/>
      <c r="E42" s="151"/>
      <c r="F42" s="151"/>
      <c r="G42" s="151"/>
      <c r="H42" s="151"/>
      <c r="I42" s="140"/>
      <c r="J42" s="140"/>
      <c r="K42" s="140"/>
      <c r="L42" s="140"/>
      <c r="M42" s="140"/>
    </row>
    <row r="43" ht="14.25" customHeight="1">
      <c r="A43" s="151"/>
      <c r="B43" s="151"/>
      <c r="C43" s="151"/>
      <c r="D43" s="151"/>
      <c r="E43" s="151"/>
      <c r="F43" s="151"/>
      <c r="G43" s="151"/>
      <c r="H43" s="151"/>
      <c r="I43" s="140"/>
      <c r="J43" s="140"/>
      <c r="K43" s="140"/>
      <c r="L43" s="140"/>
      <c r="M43" s="140"/>
    </row>
    <row r="44" ht="14.25" customHeight="1">
      <c r="A44" s="151"/>
      <c r="B44" s="151"/>
      <c r="C44" s="151"/>
      <c r="D44" s="151"/>
      <c r="E44" s="151"/>
      <c r="F44" s="151"/>
      <c r="G44" s="151"/>
      <c r="H44" s="151"/>
      <c r="I44" s="140"/>
      <c r="J44" s="140"/>
      <c r="K44" s="140"/>
      <c r="L44" s="140"/>
      <c r="M44" s="140"/>
    </row>
    <row r="45" ht="14.25" customHeight="1">
      <c r="A45" s="234" t="s">
        <v>133</v>
      </c>
      <c r="B45" s="151"/>
      <c r="C45" s="151"/>
      <c r="D45" s="151"/>
      <c r="E45" s="151"/>
      <c r="F45" s="151"/>
      <c r="G45" s="151"/>
      <c r="H45" s="151"/>
      <c r="I45" s="140"/>
      <c r="J45" s="140"/>
      <c r="K45" s="140"/>
      <c r="L45" s="140"/>
      <c r="M45" s="140"/>
    </row>
    <row r="46" ht="14.25" customHeight="1">
      <c r="A46" s="236" t="s">
        <v>205</v>
      </c>
      <c r="B46" s="237">
        <f>$H$20*0.9</f>
        <v>22701.9158908009</v>
      </c>
      <c r="C46" s="237">
        <f>$H$20*0.95</f>
        <v>23963.1334402899</v>
      </c>
      <c r="D46" s="237">
        <f>$H$20</f>
        <v>25224.3509897788</v>
      </c>
      <c r="E46" s="237">
        <f>$H$20*1.05</f>
        <v>26485.5685392678</v>
      </c>
      <c r="F46" s="239">
        <f>$H$20*1.1</f>
        <v>27746.7860887567</v>
      </c>
      <c r="G46" s="151"/>
      <c r="H46" s="151"/>
      <c r="I46" s="140"/>
      <c r="J46" s="140"/>
      <c r="K46" s="140"/>
      <c r="L46" s="140"/>
      <c r="M46" s="140"/>
    </row>
    <row r="47" ht="14.25" customHeight="1">
      <c r="A47" s="243">
        <f>$F$19*0.9</f>
        <v>9.69299800990625</v>
      </c>
      <c r="B47" s="245">
        <f>$A47*(B$46/'Financials Multiples'!$E$70)</f>
        <v>49.5361815205512</v>
      </c>
      <c r="C47" s="245">
        <f>$A47*(C$46/'Financials Multiples'!$E$70)</f>
        <v>52.2881916050263</v>
      </c>
      <c r="D47" s="245">
        <f>$A47*(D$46/'Financials Multiples'!$E$70)</f>
        <v>55.0402016895013</v>
      </c>
      <c r="E47" s="245">
        <f>$A47*(E$46/'Financials Multiples'!$E$70)</f>
        <v>57.7922117739764</v>
      </c>
      <c r="F47" s="248">
        <f>$A47*(F$46/'Financials Multiples'!$E$70)</f>
        <v>60.5442218584515</v>
      </c>
      <c r="G47" s="151"/>
      <c r="H47" s="151"/>
      <c r="I47" s="140"/>
      <c r="J47" s="140"/>
      <c r="K47" s="140"/>
      <c r="L47" s="140"/>
      <c r="M47" s="140"/>
    </row>
    <row r="48" ht="14.25" customHeight="1">
      <c r="A48" s="243">
        <f>$F$19*0.95</f>
        <v>10.2314978993455</v>
      </c>
      <c r="B48" s="245">
        <f>$A48*(B$46/'Financials Multiples'!$E$70)</f>
        <v>52.2881916050263</v>
      </c>
      <c r="C48" s="245">
        <f>$A48*(C$46/'Financials Multiples'!$E$70)</f>
        <v>55.1930911386388</v>
      </c>
      <c r="D48" s="245">
        <f>$A48*(D$46/'Financials Multiples'!$E$70)</f>
        <v>58.0979906722514</v>
      </c>
      <c r="E48" s="245">
        <f>$A48*(E$46/'Financials Multiples'!$E$70)</f>
        <v>61.002890205864</v>
      </c>
      <c r="F48" s="248">
        <f>$A48*(F$46/'Financials Multiples'!$E$70)</f>
        <v>63.9077897394765</v>
      </c>
      <c r="G48" s="151"/>
      <c r="H48" s="151"/>
      <c r="I48" s="140"/>
      <c r="J48" s="140"/>
      <c r="K48" s="140"/>
      <c r="L48" s="140"/>
      <c r="M48" s="140"/>
    </row>
    <row r="49" ht="14.25" customHeight="1">
      <c r="A49" s="243">
        <f>$F$19</f>
        <v>10.7699977887847</v>
      </c>
      <c r="B49" s="245">
        <f>$A49*(B$46/'Financials Multiples'!$E$70)</f>
        <v>55.0402016895013</v>
      </c>
      <c r="C49" s="245">
        <f>$A49*(C$46/'Financials Multiples'!$E$70)</f>
        <v>58.0979906722514</v>
      </c>
      <c r="D49" s="245">
        <f>$A49*(D$46/'Financials Multiples'!$E$70)</f>
        <v>61.1557796550015</v>
      </c>
      <c r="E49" s="245">
        <f>$A49*(E$46/'Financials Multiples'!$E$70)</f>
        <v>64.2135686377516</v>
      </c>
      <c r="F49" s="248">
        <f>$A49*(F$46/'Financials Multiples'!$E$70)</f>
        <v>67.2713576205016</v>
      </c>
      <c r="G49" s="151"/>
      <c r="H49" s="151"/>
      <c r="I49" s="140"/>
      <c r="J49" s="140"/>
      <c r="K49" s="140"/>
      <c r="L49" s="140"/>
      <c r="M49" s="140"/>
    </row>
    <row r="50" ht="14.25" customHeight="1">
      <c r="A50" s="243">
        <f>$F$19*1.05</f>
        <v>11.308497678224</v>
      </c>
      <c r="B50" s="245">
        <f>$A50*(B$46/'Financials Multiples'!$E$70)</f>
        <v>57.7922117739764</v>
      </c>
      <c r="C50" s="245">
        <f>$A50*(C$46/'Financials Multiples'!$E$70)</f>
        <v>61.002890205864</v>
      </c>
      <c r="D50" s="245">
        <f>$A50*(D$46/'Financials Multiples'!$E$70)</f>
        <v>64.2135686377515</v>
      </c>
      <c r="E50" s="245">
        <f>$A50*(E$46/'Financials Multiples'!$E$70)</f>
        <v>67.4242470696391</v>
      </c>
      <c r="F50" s="248">
        <f>$A50*(F$46/'Financials Multiples'!$E$70)</f>
        <v>70.6349255015267</v>
      </c>
      <c r="G50" s="151"/>
      <c r="H50" s="151"/>
      <c r="I50" s="140"/>
      <c r="J50" s="140"/>
      <c r="K50" s="140"/>
      <c r="L50" s="140"/>
      <c r="M50" s="140"/>
    </row>
    <row r="51" ht="14.25" customHeight="1">
      <c r="A51" s="278">
        <f>$F$19*1.1</f>
        <v>11.8469975676632</v>
      </c>
      <c r="B51" s="279">
        <f>$A51*(B$46/'Financials Multiples'!$E$70)</f>
        <v>60.5442218584515</v>
      </c>
      <c r="C51" s="279">
        <f>$A51*(C$46/'Financials Multiples'!$E$70)</f>
        <v>63.9077897394765</v>
      </c>
      <c r="D51" s="279">
        <f>$A51*(D$46/'Financials Multiples'!$E$70)</f>
        <v>67.2713576205016</v>
      </c>
      <c r="E51" s="279">
        <f>$A51*(E$46/'Financials Multiples'!$E$70)</f>
        <v>70.6349255015267</v>
      </c>
      <c r="F51" s="283">
        <f>$A51*(F$46/'Financials Multiples'!$E$70)</f>
        <v>73.9984933825518</v>
      </c>
      <c r="G51" s="151"/>
      <c r="H51" s="151"/>
      <c r="I51" s="140"/>
      <c r="J51" s="140"/>
      <c r="K51" s="140"/>
      <c r="L51" s="140"/>
      <c r="M51" s="140"/>
    </row>
    <row r="52" ht="14.25" customHeight="1">
      <c r="A52" s="151"/>
      <c r="B52" s="151"/>
      <c r="C52" s="151"/>
      <c r="D52" s="151"/>
      <c r="E52" s="151"/>
      <c r="F52" s="151"/>
      <c r="G52" s="151"/>
      <c r="H52" s="205"/>
      <c r="I52" s="140"/>
      <c r="J52" s="140"/>
      <c r="K52" s="140"/>
      <c r="L52" s="140"/>
      <c r="M52" s="140"/>
    </row>
    <row r="53" ht="14.25" customHeight="1">
      <c r="A53" s="151"/>
      <c r="B53" s="151"/>
      <c r="C53" s="151"/>
      <c r="D53" s="151"/>
      <c r="E53" s="151"/>
      <c r="F53" s="151"/>
      <c r="G53" s="151"/>
      <c r="H53" s="205"/>
      <c r="I53" s="140"/>
      <c r="J53" s="140"/>
      <c r="K53" s="140"/>
      <c r="L53" s="140"/>
      <c r="M53" s="140"/>
    </row>
    <row r="54" ht="14.25" customHeight="1">
      <c r="A54" s="151"/>
      <c r="B54" s="151"/>
      <c r="C54" s="151"/>
      <c r="D54" s="151"/>
      <c r="E54" s="151"/>
      <c r="F54" s="151"/>
      <c r="G54" s="151"/>
      <c r="H54" s="205"/>
      <c r="I54" s="140"/>
      <c r="J54" s="140"/>
      <c r="K54" s="140"/>
      <c r="L54" s="140"/>
      <c r="M54" s="140"/>
    </row>
    <row r="55" ht="14.25" customHeight="1">
      <c r="A55" s="151"/>
      <c r="B55" s="151"/>
      <c r="C55" s="151"/>
      <c r="D55" s="151"/>
      <c r="E55" s="151"/>
      <c r="F55" s="151"/>
      <c r="G55" s="151"/>
      <c r="H55" s="205"/>
      <c r="I55" s="140"/>
      <c r="J55" s="140"/>
      <c r="K55" s="140"/>
      <c r="L55" s="140"/>
      <c r="M55" s="140"/>
    </row>
    <row r="56" ht="14.25" customHeight="1">
      <c r="A56" s="151"/>
      <c r="B56" s="151"/>
      <c r="C56" s="151"/>
      <c r="D56" s="151"/>
      <c r="E56" s="151"/>
      <c r="F56" s="151"/>
      <c r="G56" s="151"/>
      <c r="H56" s="205"/>
      <c r="I56" s="140"/>
      <c r="J56" s="140"/>
      <c r="K56" s="140"/>
      <c r="L56" s="140"/>
      <c r="M56" s="140"/>
    </row>
    <row r="57" ht="15.75" customHeight="1">
      <c r="A57" s="77"/>
      <c r="B57" s="77"/>
      <c r="C57" s="77"/>
      <c r="D57" s="77"/>
      <c r="E57" s="77"/>
      <c r="F57" s="77"/>
      <c r="G57" s="77"/>
      <c r="H57" s="77"/>
      <c r="I57" s="77"/>
      <c r="J57" s="77"/>
      <c r="K57" s="77"/>
      <c r="L57" s="77"/>
      <c r="M57" s="77"/>
    </row>
    <row r="58" ht="15.75" customHeight="1">
      <c r="A58" s="77"/>
      <c r="B58" s="77"/>
      <c r="C58" s="77"/>
      <c r="D58" s="77"/>
      <c r="E58" s="77"/>
      <c r="F58" s="77"/>
      <c r="G58" s="77"/>
      <c r="H58" s="77"/>
      <c r="I58" s="77"/>
      <c r="J58" s="77"/>
      <c r="K58" s="77"/>
      <c r="L58" s="77"/>
      <c r="M58" s="77"/>
    </row>
    <row r="59" ht="15.75" customHeight="1">
      <c r="A59" s="77"/>
      <c r="B59" s="77"/>
      <c r="C59" s="77"/>
      <c r="D59" s="77"/>
      <c r="E59" s="77"/>
      <c r="F59" s="77"/>
      <c r="G59" s="77"/>
      <c r="H59" s="77"/>
      <c r="I59" s="77"/>
      <c r="J59" s="77"/>
      <c r="K59" s="77"/>
      <c r="L59" s="77"/>
      <c r="M59" s="77"/>
    </row>
    <row r="60" ht="15.75" customHeight="1">
      <c r="A60" s="77"/>
      <c r="B60" s="77"/>
      <c r="C60" s="77"/>
      <c r="D60" s="77"/>
      <c r="E60" s="77"/>
      <c r="F60" s="77"/>
      <c r="G60" s="77"/>
      <c r="H60" s="77"/>
      <c r="I60" s="77"/>
      <c r="J60" s="77"/>
      <c r="K60" s="77"/>
      <c r="L60" s="77"/>
      <c r="M60" s="77"/>
    </row>
    <row r="61" ht="15.75" customHeight="1">
      <c r="A61" s="77"/>
      <c r="B61" s="77"/>
      <c r="C61" s="77"/>
      <c r="D61" s="77"/>
      <c r="E61" s="77"/>
      <c r="F61" s="77"/>
      <c r="G61" s="77"/>
      <c r="H61" s="77"/>
      <c r="I61" s="77"/>
      <c r="J61" s="77"/>
      <c r="K61" s="77"/>
      <c r="L61" s="77"/>
      <c r="M61" s="77"/>
    </row>
    <row r="62" ht="15.75" customHeight="1">
      <c r="A62" s="77"/>
      <c r="B62" s="77"/>
      <c r="C62" s="77"/>
      <c r="D62" s="77"/>
      <c r="E62" s="77"/>
      <c r="F62" s="77"/>
      <c r="G62" s="77"/>
      <c r="H62" s="77"/>
      <c r="I62" s="77"/>
      <c r="J62" s="77"/>
      <c r="K62" s="77"/>
      <c r="L62" s="77"/>
      <c r="M62" s="77"/>
    </row>
    <row r="63" ht="15.75" customHeight="1">
      <c r="A63" s="77"/>
      <c r="B63" s="77"/>
      <c r="C63" s="77"/>
      <c r="D63" s="77"/>
      <c r="E63" s="77"/>
      <c r="F63" s="77"/>
      <c r="G63" s="77"/>
      <c r="H63" s="77"/>
      <c r="I63" s="77"/>
      <c r="J63" s="77"/>
      <c r="K63" s="77"/>
      <c r="L63" s="77"/>
      <c r="M63" s="77"/>
    </row>
    <row r="64" ht="15.75" customHeight="1">
      <c r="A64" s="77"/>
      <c r="B64" s="77"/>
      <c r="C64" s="77"/>
      <c r="D64" s="77"/>
      <c r="E64" s="77"/>
      <c r="F64" s="77"/>
      <c r="G64" s="77"/>
      <c r="H64" s="77"/>
      <c r="I64" s="77"/>
      <c r="J64" s="77"/>
      <c r="K64" s="77"/>
      <c r="L64" s="77"/>
      <c r="M64" s="77"/>
    </row>
    <row r="65" ht="15.75" customHeight="1">
      <c r="A65" s="77"/>
      <c r="B65" s="77"/>
      <c r="C65" s="77"/>
      <c r="D65" s="77"/>
      <c r="E65" s="77"/>
      <c r="F65" s="77"/>
      <c r="G65" s="77"/>
      <c r="H65" s="77"/>
      <c r="I65" s="77"/>
      <c r="J65" s="77"/>
      <c r="K65" s="77"/>
      <c r="L65" s="77"/>
      <c r="M65" s="77"/>
    </row>
    <row r="66" ht="15.75" customHeight="1">
      <c r="A66" s="77"/>
      <c r="B66" s="77"/>
      <c r="C66" s="77"/>
      <c r="D66" s="77"/>
      <c r="E66" s="77"/>
      <c r="F66" s="77"/>
      <c r="G66" s="77"/>
      <c r="H66" s="77"/>
      <c r="I66" s="77"/>
      <c r="J66" s="77"/>
      <c r="K66" s="77"/>
      <c r="L66" s="77"/>
      <c r="M66" s="77"/>
    </row>
    <row r="67" ht="15.75" customHeight="1">
      <c r="A67" s="77"/>
      <c r="B67" s="77"/>
      <c r="C67" s="77"/>
      <c r="D67" s="77"/>
      <c r="E67" s="77"/>
      <c r="F67" s="77"/>
      <c r="G67" s="77"/>
      <c r="H67" s="77"/>
      <c r="I67" s="77"/>
      <c r="J67" s="77"/>
      <c r="K67" s="77"/>
      <c r="L67" s="77"/>
      <c r="M67" s="77"/>
    </row>
    <row r="68" ht="15.75" customHeight="1">
      <c r="A68" s="77"/>
      <c r="B68" s="77"/>
      <c r="C68" s="77"/>
      <c r="D68" s="77"/>
      <c r="E68" s="77"/>
      <c r="F68" s="77"/>
      <c r="G68" s="77"/>
      <c r="H68" s="77"/>
      <c r="I68" s="77"/>
      <c r="J68" s="77"/>
      <c r="K68" s="77"/>
      <c r="L68" s="77"/>
      <c r="M68" s="77"/>
    </row>
    <row r="69" ht="15.75" customHeight="1">
      <c r="A69" s="77"/>
      <c r="B69" s="77"/>
      <c r="C69" s="77"/>
      <c r="D69" s="77"/>
      <c r="E69" s="77"/>
      <c r="F69" s="77"/>
      <c r="G69" s="77"/>
      <c r="H69" s="77"/>
      <c r="I69" s="77"/>
      <c r="J69" s="77"/>
      <c r="K69" s="77"/>
      <c r="L69" s="77"/>
      <c r="M69" s="77"/>
    </row>
    <row r="70" ht="15.75" customHeight="1">
      <c r="A70" s="77"/>
      <c r="B70" s="77"/>
      <c r="C70" s="77"/>
      <c r="D70" s="77"/>
      <c r="E70" s="77"/>
      <c r="F70" s="77"/>
      <c r="G70" s="77"/>
      <c r="H70" s="77"/>
      <c r="I70" s="77"/>
      <c r="J70" s="77"/>
      <c r="K70" s="77"/>
      <c r="L70" s="77"/>
      <c r="M70" s="77"/>
    </row>
    <row r="71" ht="15.75" customHeight="1">
      <c r="A71" s="77"/>
      <c r="B71" s="77"/>
      <c r="C71" s="77"/>
      <c r="D71" s="77"/>
      <c r="E71" s="77"/>
      <c r="F71" s="77"/>
      <c r="G71" s="77"/>
      <c r="H71" s="77"/>
      <c r="I71" s="77"/>
      <c r="J71" s="77"/>
      <c r="K71" s="77"/>
      <c r="L71" s="77"/>
      <c r="M71" s="77"/>
    </row>
    <row r="72" ht="15.75" customHeight="1">
      <c r="A72" s="77"/>
      <c r="B72" s="77"/>
      <c r="C72" s="77"/>
      <c r="D72" s="77"/>
      <c r="E72" s="77"/>
      <c r="F72" s="77"/>
      <c r="G72" s="77"/>
      <c r="H72" s="77"/>
      <c r="I72" s="77"/>
      <c r="J72" s="77"/>
      <c r="K72" s="77"/>
      <c r="L72" s="77"/>
      <c r="M72" s="77"/>
    </row>
    <row r="73" ht="15.75" customHeight="1">
      <c r="A73" s="77"/>
      <c r="B73" s="77"/>
      <c r="C73" s="77"/>
      <c r="D73" s="77"/>
      <c r="E73" s="77"/>
      <c r="F73" s="77"/>
      <c r="G73" s="77"/>
      <c r="H73" s="77"/>
      <c r="I73" s="77"/>
      <c r="J73" s="77"/>
      <c r="K73" s="77"/>
      <c r="L73" s="77"/>
      <c r="M73" s="77"/>
    </row>
    <row r="74" ht="15.75" customHeight="1">
      <c r="A74" s="77"/>
      <c r="B74" s="77"/>
      <c r="C74" s="77"/>
      <c r="D74" s="77"/>
      <c r="E74" s="77"/>
      <c r="F74" s="77"/>
      <c r="G74" s="77"/>
      <c r="H74" s="77"/>
      <c r="I74" s="77"/>
      <c r="J74" s="77"/>
      <c r="K74" s="77"/>
      <c r="L74" s="77"/>
      <c r="M74" s="77"/>
    </row>
    <row r="75" ht="15.75" customHeight="1">
      <c r="A75" s="77"/>
      <c r="B75" s="77"/>
      <c r="C75" s="77"/>
      <c r="D75" s="77"/>
      <c r="E75" s="77"/>
      <c r="F75" s="77"/>
      <c r="G75" s="77"/>
      <c r="H75" s="77"/>
      <c r="I75" s="77"/>
      <c r="J75" s="77"/>
      <c r="K75" s="77"/>
      <c r="L75" s="77"/>
      <c r="M75" s="77"/>
    </row>
    <row r="76" ht="15.75" customHeight="1">
      <c r="A76" s="77"/>
      <c r="B76" s="77"/>
      <c r="C76" s="77"/>
      <c r="D76" s="77"/>
      <c r="E76" s="77"/>
      <c r="F76" s="77"/>
      <c r="G76" s="77"/>
      <c r="H76" s="77"/>
      <c r="I76" s="77"/>
      <c r="J76" s="77"/>
      <c r="K76" s="77"/>
      <c r="L76" s="77"/>
      <c r="M76" s="77"/>
    </row>
    <row r="77" ht="15.75" customHeight="1">
      <c r="A77" s="77"/>
      <c r="B77" s="77"/>
      <c r="C77" s="77"/>
      <c r="D77" s="77"/>
      <c r="E77" s="77"/>
      <c r="F77" s="77"/>
      <c r="G77" s="77"/>
      <c r="H77" s="77"/>
      <c r="I77" s="77"/>
      <c r="J77" s="77"/>
      <c r="K77" s="77"/>
      <c r="L77" s="77"/>
      <c r="M77" s="77"/>
    </row>
    <row r="78" ht="15.75" customHeight="1">
      <c r="A78" s="77"/>
      <c r="B78" s="77"/>
      <c r="C78" s="77"/>
      <c r="D78" s="77"/>
      <c r="E78" s="77"/>
      <c r="F78" s="77"/>
      <c r="G78" s="77"/>
      <c r="H78" s="77"/>
      <c r="I78" s="77"/>
      <c r="J78" s="77"/>
      <c r="K78" s="77"/>
      <c r="L78" s="77"/>
      <c r="M78" s="77"/>
    </row>
    <row r="79" ht="15.75" customHeight="1">
      <c r="A79" s="77"/>
      <c r="B79" s="77"/>
      <c r="C79" s="77"/>
      <c r="D79" s="77"/>
      <c r="E79" s="77"/>
      <c r="F79" s="77"/>
      <c r="G79" s="77"/>
      <c r="H79" s="77"/>
      <c r="I79" s="77"/>
      <c r="J79" s="77"/>
      <c r="K79" s="77"/>
      <c r="L79" s="77"/>
      <c r="M79" s="77"/>
    </row>
    <row r="80" ht="15.75" customHeight="1">
      <c r="A80" s="77"/>
      <c r="B80" s="77"/>
      <c r="C80" s="77"/>
      <c r="D80" s="77"/>
      <c r="E80" s="77"/>
      <c r="F80" s="77"/>
      <c r="G80" s="77"/>
      <c r="H80" s="77"/>
      <c r="I80" s="77"/>
      <c r="J80" s="77"/>
      <c r="K80" s="77"/>
      <c r="L80" s="77"/>
      <c r="M80" s="77"/>
    </row>
    <row r="81" ht="15.75" customHeight="1">
      <c r="A81" s="77"/>
      <c r="B81" s="77"/>
      <c r="C81" s="77"/>
      <c r="D81" s="77"/>
      <c r="E81" s="77"/>
      <c r="F81" s="77"/>
      <c r="G81" s="77"/>
      <c r="H81" s="77"/>
      <c r="I81" s="77"/>
      <c r="J81" s="77"/>
      <c r="K81" s="77"/>
      <c r="L81" s="77"/>
      <c r="M81" s="77"/>
    </row>
    <row r="82" ht="15.75" customHeight="1">
      <c r="A82" s="77"/>
      <c r="B82" s="77"/>
      <c r="C82" s="77"/>
      <c r="D82" s="77"/>
      <c r="E82" s="77"/>
      <c r="F82" s="77"/>
      <c r="G82" s="77"/>
      <c r="H82" s="77"/>
      <c r="I82" s="77"/>
      <c r="J82" s="77"/>
      <c r="K82" s="77"/>
      <c r="L82" s="77"/>
      <c r="M82" s="77"/>
    </row>
    <row r="83" ht="15.75" customHeight="1">
      <c r="A83" s="77"/>
      <c r="B83" s="77"/>
      <c r="C83" s="77"/>
      <c r="D83" s="77"/>
      <c r="E83" s="77"/>
      <c r="F83" s="77"/>
      <c r="G83" s="77"/>
      <c r="H83" s="77"/>
      <c r="I83" s="77"/>
      <c r="J83" s="77"/>
      <c r="K83" s="77"/>
      <c r="L83" s="77"/>
      <c r="M83" s="77"/>
    </row>
    <row r="84" ht="15.75" customHeight="1">
      <c r="A84" s="77"/>
      <c r="B84" s="77"/>
      <c r="C84" s="77"/>
      <c r="D84" s="77"/>
      <c r="E84" s="77"/>
      <c r="F84" s="77"/>
      <c r="G84" s="77"/>
      <c r="H84" s="77"/>
      <c r="I84" s="77"/>
      <c r="J84" s="77"/>
      <c r="K84" s="77"/>
      <c r="L84" s="77"/>
      <c r="M84" s="77"/>
    </row>
    <row r="85" ht="15.75" customHeight="1">
      <c r="A85" s="77"/>
      <c r="B85" s="77"/>
      <c r="C85" s="77"/>
      <c r="D85" s="77"/>
      <c r="E85" s="77"/>
      <c r="F85" s="77"/>
      <c r="G85" s="77"/>
      <c r="H85" s="77"/>
      <c r="I85" s="77"/>
      <c r="J85" s="77"/>
      <c r="K85" s="77"/>
      <c r="L85" s="77"/>
      <c r="M85" s="77"/>
    </row>
    <row r="86" ht="15.75" customHeight="1">
      <c r="A86" s="77"/>
      <c r="B86" s="77"/>
      <c r="C86" s="77"/>
      <c r="D86" s="77"/>
      <c r="E86" s="77"/>
      <c r="F86" s="77"/>
      <c r="G86" s="77"/>
      <c r="H86" s="77"/>
      <c r="I86" s="77"/>
      <c r="J86" s="77"/>
      <c r="K86" s="77"/>
      <c r="L86" s="77"/>
      <c r="M86" s="77"/>
    </row>
    <row r="87" ht="15.75" customHeight="1">
      <c r="A87" s="77"/>
      <c r="B87" s="77"/>
      <c r="C87" s="77"/>
      <c r="D87" s="77"/>
      <c r="E87" s="77"/>
      <c r="F87" s="77"/>
      <c r="G87" s="77"/>
      <c r="H87" s="77"/>
      <c r="I87" s="77"/>
      <c r="J87" s="77"/>
      <c r="K87" s="77"/>
      <c r="L87" s="77"/>
      <c r="M87" s="77"/>
    </row>
    <row r="88" ht="15.75" customHeight="1">
      <c r="A88" s="77"/>
      <c r="B88" s="77"/>
      <c r="C88" s="77"/>
      <c r="D88" s="77"/>
      <c r="E88" s="77"/>
      <c r="F88" s="77"/>
      <c r="G88" s="77"/>
      <c r="H88" s="77"/>
      <c r="I88" s="77"/>
      <c r="J88" s="77"/>
      <c r="K88" s="77"/>
      <c r="L88" s="77"/>
      <c r="M88" s="77"/>
    </row>
    <row r="89" ht="15.75" customHeight="1">
      <c r="A89" s="77"/>
      <c r="B89" s="77"/>
      <c r="C89" s="77"/>
      <c r="D89" s="77"/>
      <c r="E89" s="77"/>
      <c r="F89" s="77"/>
      <c r="G89" s="77"/>
      <c r="H89" s="77"/>
      <c r="I89" s="77"/>
      <c r="J89" s="77"/>
      <c r="K89" s="77"/>
      <c r="L89" s="77"/>
      <c r="M89" s="77"/>
    </row>
    <row r="90" ht="15.75" customHeight="1">
      <c r="A90" s="77"/>
      <c r="B90" s="77"/>
      <c r="C90" s="77"/>
      <c r="D90" s="77"/>
      <c r="E90" s="77"/>
      <c r="F90" s="77"/>
      <c r="G90" s="77"/>
      <c r="H90" s="77"/>
      <c r="I90" s="77"/>
      <c r="J90" s="77"/>
      <c r="K90" s="77"/>
      <c r="L90" s="77"/>
      <c r="M90" s="77"/>
    </row>
    <row r="91" ht="15.75" customHeight="1">
      <c r="A91" s="77"/>
      <c r="B91" s="77"/>
      <c r="C91" s="77"/>
      <c r="D91" s="77"/>
      <c r="E91" s="77"/>
      <c r="F91" s="77"/>
      <c r="G91" s="77"/>
      <c r="H91" s="77"/>
      <c r="I91" s="77"/>
      <c r="J91" s="77"/>
      <c r="K91" s="77"/>
      <c r="L91" s="77"/>
      <c r="M91" s="77"/>
    </row>
    <row r="92" ht="15.75" customHeight="1">
      <c r="A92" s="77"/>
      <c r="B92" s="77"/>
      <c r="C92" s="77"/>
      <c r="D92" s="77"/>
      <c r="E92" s="77"/>
      <c r="F92" s="77"/>
      <c r="G92" s="77"/>
      <c r="H92" s="77"/>
      <c r="I92" s="77"/>
      <c r="J92" s="77"/>
      <c r="K92" s="77"/>
      <c r="L92" s="77"/>
      <c r="M92" s="77"/>
    </row>
    <row r="93" ht="15.75" customHeight="1">
      <c r="A93" s="77"/>
      <c r="B93" s="77"/>
      <c r="C93" s="77"/>
      <c r="D93" s="77"/>
      <c r="E93" s="77"/>
      <c r="F93" s="77"/>
      <c r="G93" s="77"/>
      <c r="H93" s="77"/>
      <c r="I93" s="77"/>
      <c r="J93" s="77"/>
      <c r="K93" s="77"/>
      <c r="L93" s="77"/>
      <c r="M93" s="77"/>
    </row>
    <row r="94" ht="15.75" customHeight="1">
      <c r="A94" s="77"/>
      <c r="B94" s="77"/>
      <c r="C94" s="77"/>
      <c r="D94" s="77"/>
      <c r="E94" s="77"/>
      <c r="F94" s="77"/>
      <c r="G94" s="77"/>
      <c r="H94" s="77"/>
      <c r="I94" s="77"/>
      <c r="J94" s="77"/>
      <c r="K94" s="77"/>
      <c r="L94" s="77"/>
      <c r="M94" s="77"/>
    </row>
    <row r="95" ht="15.75" customHeight="1">
      <c r="A95" s="77"/>
      <c r="B95" s="77"/>
      <c r="C95" s="77"/>
      <c r="D95" s="77"/>
      <c r="E95" s="77"/>
      <c r="F95" s="77"/>
      <c r="G95" s="77"/>
      <c r="H95" s="77"/>
      <c r="I95" s="77"/>
      <c r="J95" s="77"/>
      <c r="K95" s="77"/>
      <c r="L95" s="77"/>
      <c r="M95" s="77"/>
    </row>
    <row r="96" ht="15.75" customHeight="1">
      <c r="A96" s="77"/>
      <c r="B96" s="77"/>
      <c r="C96" s="77"/>
      <c r="D96" s="77"/>
      <c r="E96" s="77"/>
      <c r="F96" s="77"/>
      <c r="G96" s="77"/>
      <c r="H96" s="77"/>
      <c r="I96" s="77"/>
      <c r="J96" s="77"/>
      <c r="K96" s="77"/>
      <c r="L96" s="77"/>
      <c r="M96" s="77"/>
    </row>
    <row r="97" ht="15.75" customHeight="1">
      <c r="A97" s="77"/>
      <c r="B97" s="77"/>
      <c r="C97" s="77"/>
      <c r="D97" s="77"/>
      <c r="E97" s="77"/>
      <c r="F97" s="77"/>
      <c r="G97" s="77"/>
      <c r="H97" s="77"/>
      <c r="I97" s="77"/>
      <c r="J97" s="77"/>
      <c r="K97" s="77"/>
      <c r="L97" s="77"/>
      <c r="M97" s="77"/>
    </row>
    <row r="98" ht="15.75" customHeight="1">
      <c r="A98" s="77"/>
      <c r="B98" s="77"/>
      <c r="C98" s="77"/>
      <c r="D98" s="77"/>
      <c r="E98" s="77"/>
      <c r="F98" s="77"/>
      <c r="G98" s="77"/>
      <c r="H98" s="77"/>
      <c r="I98" s="77"/>
      <c r="J98" s="77"/>
      <c r="K98" s="77"/>
      <c r="L98" s="77"/>
      <c r="M98" s="77"/>
    </row>
    <row r="99" ht="15.75" customHeight="1">
      <c r="A99" s="77"/>
      <c r="B99" s="77"/>
      <c r="C99" s="77"/>
      <c r="D99" s="77"/>
      <c r="E99" s="77"/>
      <c r="F99" s="77"/>
      <c r="G99" s="77"/>
      <c r="H99" s="77"/>
      <c r="I99" s="77"/>
      <c r="J99" s="77"/>
      <c r="K99" s="77"/>
      <c r="L99" s="77"/>
      <c r="M99" s="77"/>
    </row>
    <row r="100" ht="15.75" customHeight="1">
      <c r="A100" s="77"/>
      <c r="B100" s="77"/>
      <c r="C100" s="77"/>
      <c r="D100" s="77"/>
      <c r="E100" s="77"/>
      <c r="F100" s="77"/>
      <c r="G100" s="77"/>
      <c r="H100" s="77"/>
      <c r="I100" s="77"/>
      <c r="J100" s="77"/>
      <c r="K100" s="77"/>
      <c r="L100" s="77"/>
      <c r="M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pageSetUpPr/>
  </sheetPr>
  <sheetViews>
    <sheetView workbookViewId="0"/>
  </sheetViews>
  <sheetFormatPr customHeight="1" defaultColWidth="12.63" defaultRowHeight="15.0"/>
  <cols>
    <col customWidth="1" min="1" max="1" width="20.0"/>
    <col customWidth="1" min="2" max="3" width="9.38"/>
    <col customWidth="1" min="4" max="4" width="11.5"/>
    <col customWidth="1" min="5" max="8" width="12.25"/>
    <col customWidth="1" min="9" max="9" width="11.25"/>
    <col customWidth="1" min="10" max="10" width="16.0"/>
    <col customWidth="1" min="11" max="26" width="11.25"/>
  </cols>
  <sheetData>
    <row r="1" ht="37.5" customHeight="1">
      <c r="A1" s="2" t="str">
        <f>'Input sheet'!A1</f>
        <v>Novo Nordisk (NYSE:NVO)</v>
      </c>
      <c r="B1" s="2"/>
      <c r="C1" s="2" t="s">
        <v>57</v>
      </c>
      <c r="D1" s="2">
        <f>'Input sheet'!D1</f>
        <v>39.4</v>
      </c>
      <c r="E1" s="7"/>
      <c r="F1" s="7"/>
      <c r="G1" s="7"/>
      <c r="H1" s="7"/>
      <c r="I1" s="7"/>
      <c r="J1" s="7"/>
      <c r="K1" s="7"/>
      <c r="L1" s="7"/>
      <c r="M1" s="7"/>
    </row>
    <row r="2" ht="14.25" customHeight="1">
      <c r="A2" s="162" t="s">
        <v>16</v>
      </c>
      <c r="B2" s="162"/>
      <c r="C2" s="162"/>
      <c r="D2" s="162"/>
      <c r="E2" s="162"/>
      <c r="F2" s="162"/>
      <c r="G2" s="162"/>
      <c r="H2" s="162"/>
      <c r="I2" s="9"/>
      <c r="J2" s="9"/>
      <c r="K2" s="9"/>
      <c r="L2" s="9"/>
      <c r="M2" s="9"/>
    </row>
    <row r="3" ht="14.25" customHeight="1">
      <c r="A3" s="162" t="s">
        <v>153</v>
      </c>
      <c r="B3" s="162" t="str">
        <f>'Income Statement'!I$2</f>
        <v>Dec '23</v>
      </c>
      <c r="C3" s="162" t="str">
        <f>'Income Statement'!J$2</f>
        <v>Dec '24</v>
      </c>
      <c r="D3" s="162" t="str">
        <f>'Income Statement'!K$2</f>
        <v>Dec '25</v>
      </c>
      <c r="E3" s="162" t="s">
        <v>67</v>
      </c>
      <c r="F3" s="162" t="s">
        <v>68</v>
      </c>
      <c r="G3" s="162" t="s">
        <v>69</v>
      </c>
      <c r="H3" s="162" t="s">
        <v>156</v>
      </c>
      <c r="I3" s="9"/>
      <c r="J3" s="9"/>
      <c r="K3" s="9"/>
      <c r="L3" s="9"/>
      <c r="M3" s="9"/>
    </row>
    <row r="4" ht="14.25" customHeight="1">
      <c r="A4" s="163" t="s">
        <v>158</v>
      </c>
      <c r="B4" s="164">
        <f>'Income Statement'!$I$3</f>
        <v>33697.5</v>
      </c>
      <c r="C4" s="164">
        <f>'Income Statement'!$J$3</f>
        <v>42130.2</v>
      </c>
      <c r="D4" s="164">
        <f>'Income Statement'!$K$3</f>
        <v>46702.4</v>
      </c>
      <c r="E4" s="167">
        <f t="shared" ref="E4:H4" si="1">D4+(D4*E5)</f>
        <v>46926.57152</v>
      </c>
      <c r="F4" s="167">
        <f t="shared" si="1"/>
        <v>47151.819063296</v>
      </c>
      <c r="G4" s="167">
        <f t="shared" si="1"/>
        <v>47378.1477947998</v>
      </c>
      <c r="H4" s="167">
        <f t="shared" si="1"/>
        <v>47605.5629042149</v>
      </c>
      <c r="I4" s="9"/>
      <c r="J4" s="169" t="s">
        <v>160</v>
      </c>
      <c r="K4" s="9"/>
      <c r="L4" s="9"/>
      <c r="M4" s="9"/>
    </row>
    <row r="5" ht="14.25" customHeight="1">
      <c r="A5" s="163" t="s">
        <v>161</v>
      </c>
      <c r="B5" s="171">
        <f>('Income Statement'!$I$3-'Income Statement'!$H$3)/'Income Statement'!$H$3</f>
        <v>0.348396209805208</v>
      </c>
      <c r="C5" s="171">
        <f t="shared" ref="C5:D5" si="2">(C4-B4)/B4</f>
        <v>0.250247050968173</v>
      </c>
      <c r="D5" s="171">
        <f t="shared" si="2"/>
        <v>0.108525475786965</v>
      </c>
      <c r="E5" s="174">
        <f>'Valuation output'!C55</f>
        <v>0.0048</v>
      </c>
      <c r="F5" s="174">
        <f>'Valuation output'!D55</f>
        <v>0.0048</v>
      </c>
      <c r="G5" s="174">
        <f>'Valuation output'!E55</f>
        <v>0.0048</v>
      </c>
      <c r="H5" s="174">
        <f>'Valuation output'!F55</f>
        <v>0.0048</v>
      </c>
      <c r="I5" s="9"/>
      <c r="J5" s="176"/>
      <c r="K5" s="9"/>
      <c r="L5" s="9"/>
      <c r="M5" s="9"/>
    </row>
    <row r="6" ht="14.25" customHeight="1">
      <c r="A6" s="177" t="s">
        <v>162</v>
      </c>
      <c r="B6" s="180">
        <f>'Income Statement'!$I$12</f>
        <v>14881.9</v>
      </c>
      <c r="C6" s="180">
        <f>'Income Statement'!$J$12</f>
        <v>18618.8</v>
      </c>
      <c r="D6" s="180">
        <f>'Income Statement'!$K$12</f>
        <v>19290.3</v>
      </c>
      <c r="E6" s="180">
        <f t="shared" ref="E6:H6" si="3">E4*E8</f>
        <v>22289.5559193288</v>
      </c>
      <c r="F6" s="180">
        <f t="shared" si="3"/>
        <v>22773.7603402479</v>
      </c>
      <c r="G6" s="180">
        <f t="shared" si="3"/>
        <v>23072.5869810603</v>
      </c>
      <c r="H6" s="180">
        <f t="shared" si="3"/>
        <v>23373.7576501863</v>
      </c>
      <c r="I6" s="9"/>
      <c r="J6" s="9"/>
      <c r="K6" s="9"/>
      <c r="L6" s="9"/>
      <c r="M6" s="9"/>
    </row>
    <row r="7" ht="14.25" customHeight="1">
      <c r="A7" s="163" t="s">
        <v>161</v>
      </c>
      <c r="B7" s="171">
        <f>(B6-'Income Statement'!$H$12)/'Income Statement'!$H$12</f>
        <v>0.408590548125432</v>
      </c>
      <c r="C7" s="171">
        <f t="shared" ref="C7:H7" si="4">(C6-B6)/B6</f>
        <v>0.251103689717039</v>
      </c>
      <c r="D7" s="171">
        <f t="shared" si="4"/>
        <v>0.0360656970374031</v>
      </c>
      <c r="E7" s="171">
        <f t="shared" si="4"/>
        <v>0.155480003905009</v>
      </c>
      <c r="F7" s="171">
        <f t="shared" si="4"/>
        <v>0.0217233767541891</v>
      </c>
      <c r="G7" s="171">
        <f t="shared" si="4"/>
        <v>0.0131215326914754</v>
      </c>
      <c r="H7" s="171">
        <f t="shared" si="4"/>
        <v>0.0130531816554933</v>
      </c>
      <c r="I7" s="9"/>
      <c r="J7" s="9" t="s">
        <v>164</v>
      </c>
      <c r="K7" s="9"/>
      <c r="L7" s="9"/>
      <c r="M7" s="9"/>
    </row>
    <row r="8" ht="14.25" customHeight="1">
      <c r="A8" s="163" t="s">
        <v>165</v>
      </c>
      <c r="B8" s="171">
        <f t="shared" ref="B8:D8" si="5">B6/B4</f>
        <v>0.441632168558498</v>
      </c>
      <c r="C8" s="171">
        <f t="shared" si="5"/>
        <v>0.441934764135941</v>
      </c>
      <c r="D8" s="171">
        <f t="shared" si="5"/>
        <v>0.41304729521395</v>
      </c>
      <c r="E8" s="174">
        <f>IFERROR(IF(J8&lt;&gt;"",J8,'Valuation output'!C57),"")</f>
        <v>0.474987948135717</v>
      </c>
      <c r="F8" s="174">
        <f>IFERROR(IF(K8&lt;&gt;"",K8,'Valuation output'!D57),"")</f>
        <v>0.482987948135717</v>
      </c>
      <c r="G8" s="174">
        <f>IFERROR(IF(L8&lt;&gt;"",L8,'Valuation output'!E57),"")</f>
        <v>0.486987948135717</v>
      </c>
      <c r="H8" s="174">
        <f>IFERROR(IF(M8&lt;&gt;"",M8,'Valuation output'!F57),"")</f>
        <v>0.490987948135717</v>
      </c>
      <c r="I8" s="9"/>
      <c r="J8" s="188"/>
      <c r="K8" s="9"/>
      <c r="L8" s="9"/>
      <c r="M8" s="9"/>
    </row>
    <row r="9" ht="14.25" customHeight="1">
      <c r="A9" s="163" t="s">
        <v>166</v>
      </c>
      <c r="B9" s="171">
        <f>((B6- 'Income Statement'!$H$12) / (B4 -  'Income Statement'!$H$3))</f>
        <v>0.495802083452973</v>
      </c>
      <c r="C9" s="171">
        <f t="shared" ref="C9:H9" si="6">((C6-B6) / (C4 - B4))</f>
        <v>0.443143951522051</v>
      </c>
      <c r="D9" s="171">
        <f t="shared" si="6"/>
        <v>0.146865841389265</v>
      </c>
      <c r="E9" s="171">
        <f t="shared" si="6"/>
        <v>13.3792906401703</v>
      </c>
      <c r="F9" s="171">
        <f t="shared" si="6"/>
        <v>2.14965461480239</v>
      </c>
      <c r="G9" s="171">
        <f t="shared" si="6"/>
        <v>1.32032128146907</v>
      </c>
      <c r="H9" s="171">
        <f t="shared" si="6"/>
        <v>1.32432128146907</v>
      </c>
      <c r="I9" s="9"/>
      <c r="J9" s="9"/>
      <c r="K9" s="9"/>
      <c r="L9" s="9"/>
      <c r="M9" s="9"/>
    </row>
    <row r="10" ht="14.25" customHeight="1">
      <c r="A10" s="163" t="s">
        <v>167</v>
      </c>
      <c r="B10" s="190">
        <f>'Income Statement'!I$18</f>
        <v>304.7</v>
      </c>
      <c r="C10" s="190">
        <f>'Income Statement'!J$18</f>
        <v>-166.5</v>
      </c>
      <c r="D10" s="190">
        <f>'Income Statement'!K$18</f>
        <v>435.5</v>
      </c>
      <c r="E10" s="167">
        <f t="shared" ref="E10:H10" si="7">E6*E11</f>
        <v>253.417951254712</v>
      </c>
      <c r="F10" s="167">
        <f t="shared" si="7"/>
        <v>258.923044886093</v>
      </c>
      <c r="G10" s="167">
        <f t="shared" si="7"/>
        <v>262.320512084142</v>
      </c>
      <c r="H10" s="167">
        <f t="shared" si="7"/>
        <v>265.744629380339</v>
      </c>
      <c r="I10" s="9"/>
      <c r="J10" s="9"/>
      <c r="K10" s="9"/>
      <c r="L10" s="9"/>
      <c r="M10" s="9"/>
    </row>
    <row r="11" ht="14.25" customHeight="1">
      <c r="A11" s="163" t="s">
        <v>168</v>
      </c>
      <c r="B11" s="171">
        <f t="shared" ref="B11:D11" si="8">B10/B6</f>
        <v>0.020474536181536</v>
      </c>
      <c r="C11" s="171">
        <f t="shared" si="8"/>
        <v>-0.00894257417234193</v>
      </c>
      <c r="D11" s="171">
        <f t="shared" si="8"/>
        <v>0.0225761133834103</v>
      </c>
      <c r="E11" s="174">
        <f>AVERAGE(B11:D11)</f>
        <v>0.0113693584642014</v>
      </c>
      <c r="F11" s="174">
        <f>E11</f>
        <v>0.0113693584642014</v>
      </c>
      <c r="G11" s="174">
        <f>E11</f>
        <v>0.0113693584642014</v>
      </c>
      <c r="H11" s="174">
        <f>E11</f>
        <v>0.0113693584642014</v>
      </c>
      <c r="I11" s="9"/>
      <c r="J11" s="9"/>
      <c r="K11" s="9"/>
      <c r="L11" s="9"/>
      <c r="M11" s="9"/>
    </row>
    <row r="12" ht="14.25" customHeight="1">
      <c r="A12" s="177" t="s">
        <v>169</v>
      </c>
      <c r="B12" s="180">
        <f t="shared" ref="B12:H12" si="9">B6+B10</f>
        <v>15186.6</v>
      </c>
      <c r="C12" s="180">
        <f t="shared" si="9"/>
        <v>18452.3</v>
      </c>
      <c r="D12" s="180">
        <f t="shared" si="9"/>
        <v>19725.8</v>
      </c>
      <c r="E12" s="180">
        <f t="shared" si="9"/>
        <v>22542.9738705835</v>
      </c>
      <c r="F12" s="180">
        <f t="shared" si="9"/>
        <v>23032.683385134</v>
      </c>
      <c r="G12" s="180">
        <f t="shared" si="9"/>
        <v>23334.9074931445</v>
      </c>
      <c r="H12" s="180">
        <f t="shared" si="9"/>
        <v>23639.5022795666</v>
      </c>
      <c r="I12" s="9"/>
      <c r="J12" s="9"/>
      <c r="K12" s="9"/>
      <c r="L12" s="9"/>
      <c r="M12" s="9"/>
    </row>
    <row r="13" ht="14.25" customHeight="1">
      <c r="A13" s="163" t="s">
        <v>170</v>
      </c>
      <c r="B13" s="190">
        <f>'Income Statement'!I$20</f>
        <v>3045.5</v>
      </c>
      <c r="C13" s="190">
        <f>'Income Statement'!J$20</f>
        <v>3801.4</v>
      </c>
      <c r="D13" s="190">
        <f>'Income Statement'!K$20</f>
        <v>4247.1</v>
      </c>
      <c r="E13" s="167">
        <f t="shared" ref="E13:H13" si="10">E12*E14</f>
        <v>4519.86626105199</v>
      </c>
      <c r="F13" s="167">
        <f t="shared" si="10"/>
        <v>4618.05301871937</v>
      </c>
      <c r="G13" s="167">
        <f t="shared" si="10"/>
        <v>4678.64895237547</v>
      </c>
      <c r="H13" s="167">
        <f t="shared" si="10"/>
        <v>4739.72020705311</v>
      </c>
      <c r="I13" s="9"/>
      <c r="J13" s="9" t="s">
        <v>171</v>
      </c>
      <c r="K13" s="9"/>
      <c r="L13" s="9"/>
      <c r="M13" s="9"/>
    </row>
    <row r="14" ht="14.25" customHeight="1">
      <c r="A14" s="163" t="s">
        <v>172</v>
      </c>
      <c r="B14" s="171">
        <f t="shared" ref="B14:D14" si="11">B13/B12</f>
        <v>0.200538632742023</v>
      </c>
      <c r="C14" s="171">
        <f t="shared" si="11"/>
        <v>0.206012258634425</v>
      </c>
      <c r="D14" s="171">
        <f t="shared" si="11"/>
        <v>0.215306857009602</v>
      </c>
      <c r="E14" s="171">
        <f>IFERROR(IF(J14&lt;&gt;"",J14,'Valuation output'!C59),"")</f>
        <v>0.2005</v>
      </c>
      <c r="F14" s="171">
        <f>IFERROR(IF(K14&lt;&gt;"",K14,'Valuation output'!D59),"")</f>
        <v>0.2005</v>
      </c>
      <c r="G14" s="171">
        <f>IFERROR(IF(L14&lt;&gt;"",L14,'Valuation output'!E59),"")</f>
        <v>0.2005</v>
      </c>
      <c r="H14" s="171">
        <f>IFERROR(IF(M14&lt;&gt;"",M14,'Valuation output'!F59),"")</f>
        <v>0.2005</v>
      </c>
      <c r="I14" s="9"/>
      <c r="J14" s="188"/>
      <c r="K14" s="9"/>
      <c r="L14" s="9"/>
      <c r="M14" s="9"/>
    </row>
    <row r="15" ht="14.25" customHeight="1">
      <c r="A15" s="177" t="s">
        <v>173</v>
      </c>
      <c r="B15" s="180">
        <f t="shared" ref="B15:H15" si="12">B12-B13</f>
        <v>12141.1</v>
      </c>
      <c r="C15" s="180">
        <f t="shared" si="12"/>
        <v>14650.9</v>
      </c>
      <c r="D15" s="180">
        <f t="shared" si="12"/>
        <v>15478.7</v>
      </c>
      <c r="E15" s="180">
        <f t="shared" si="12"/>
        <v>18023.1076095315</v>
      </c>
      <c r="F15" s="180">
        <f t="shared" si="12"/>
        <v>18414.6303664147</v>
      </c>
      <c r="G15" s="180">
        <f t="shared" si="12"/>
        <v>18656.258540769</v>
      </c>
      <c r="H15" s="180">
        <f t="shared" si="12"/>
        <v>18899.7820725135</v>
      </c>
      <c r="I15" s="9"/>
      <c r="J15" s="9"/>
      <c r="K15" s="9"/>
      <c r="L15" s="9"/>
      <c r="M15" s="9"/>
    </row>
    <row r="16" ht="14.25" customHeight="1">
      <c r="A16" s="163" t="s">
        <v>161</v>
      </c>
      <c r="B16" s="171">
        <f>(B15/'Income Statement'!$H$21)-1</f>
        <v>0.548273971205223</v>
      </c>
      <c r="C16" s="171">
        <f t="shared" ref="C16:H16" si="13">(C15/B15)-1</f>
        <v>0.206719325267068</v>
      </c>
      <c r="D16" s="171">
        <f t="shared" si="13"/>
        <v>0.0565016483628991</v>
      </c>
      <c r="E16" s="171">
        <f t="shared" si="13"/>
        <v>0.164381221260927</v>
      </c>
      <c r="F16" s="171">
        <f t="shared" si="13"/>
        <v>0.0217233767541891</v>
      </c>
      <c r="G16" s="171">
        <f t="shared" si="13"/>
        <v>0.0131215326914751</v>
      </c>
      <c r="H16" s="171">
        <f t="shared" si="13"/>
        <v>0.0130531816554933</v>
      </c>
      <c r="I16" s="9"/>
      <c r="J16" s="9"/>
      <c r="K16" s="9"/>
      <c r="L16" s="9"/>
      <c r="M16" s="9"/>
    </row>
    <row r="17" ht="14.25" customHeight="1">
      <c r="A17" s="163" t="s">
        <v>165</v>
      </c>
      <c r="B17" s="171">
        <f t="shared" ref="B17:H17" si="14">B15/B4</f>
        <v>0.360296757919727</v>
      </c>
      <c r="C17" s="171">
        <f t="shared" si="14"/>
        <v>0.347752918334117</v>
      </c>
      <c r="D17" s="171">
        <f t="shared" si="14"/>
        <v>0.331432645859742</v>
      </c>
      <c r="E17" s="171">
        <f t="shared" si="14"/>
        <v>0.384070410979206</v>
      </c>
      <c r="F17" s="171">
        <f t="shared" si="14"/>
        <v>0.390539129395943</v>
      </c>
      <c r="G17" s="171">
        <f t="shared" si="14"/>
        <v>0.393773488604312</v>
      </c>
      <c r="H17" s="171">
        <f t="shared" si="14"/>
        <v>0.39700784781268</v>
      </c>
      <c r="I17" s="9"/>
      <c r="J17" s="9"/>
      <c r="K17" s="9"/>
      <c r="L17" s="9"/>
      <c r="M17" s="9"/>
    </row>
    <row r="18" ht="14.25" customHeight="1">
      <c r="A18" s="177" t="s">
        <v>147</v>
      </c>
      <c r="B18" s="194">
        <f>B6+'Cash Flow Statement'!$I$4</f>
        <v>16247.6</v>
      </c>
      <c r="C18" s="194">
        <f>C6+'Cash Flow Statement'!$J$4</f>
        <v>21390.7</v>
      </c>
      <c r="D18" s="194">
        <f>D6+'Cash Flow Statement'!$K$4</f>
        <v>22612.0</v>
      </c>
      <c r="E18" s="194">
        <f t="shared" ref="E18:H18" si="15">E6+E20</f>
        <v>25065.2111967011</v>
      </c>
      <c r="F18" s="194">
        <f t="shared" si="15"/>
        <v>25855.4049954052</v>
      </c>
      <c r="G18" s="194">
        <f t="shared" si="15"/>
        <v>26162.1084850244</v>
      </c>
      <c r="H18" s="194">
        <f t="shared" si="15"/>
        <v>26384.2468254354</v>
      </c>
      <c r="I18" s="9"/>
      <c r="J18" s="9" t="s">
        <v>174</v>
      </c>
      <c r="K18" s="9"/>
      <c r="L18" s="9"/>
      <c r="M18" s="9"/>
    </row>
    <row r="19" ht="14.25" customHeight="1">
      <c r="A19" s="163" t="s">
        <v>165</v>
      </c>
      <c r="B19" s="171">
        <f t="shared" ref="B19:H19" si="16">B18/B4</f>
        <v>0.482160397655612</v>
      </c>
      <c r="C19" s="171">
        <f t="shared" si="16"/>
        <v>0.507728422841572</v>
      </c>
      <c r="D19" s="171">
        <f t="shared" si="16"/>
        <v>0.484172119634109</v>
      </c>
      <c r="E19" s="195">
        <f t="shared" si="16"/>
        <v>0.534136852210019</v>
      </c>
      <c r="F19" s="195">
        <f t="shared" si="16"/>
        <v>0.548343743869081</v>
      </c>
      <c r="G19" s="195">
        <f t="shared" si="16"/>
        <v>0.552197789544992</v>
      </c>
      <c r="H19" s="195">
        <f t="shared" si="16"/>
        <v>0.554226128541364</v>
      </c>
      <c r="I19" s="9"/>
      <c r="J19" s="188"/>
      <c r="K19" s="9"/>
      <c r="L19" s="9"/>
      <c r="M19" s="9"/>
    </row>
    <row r="20" ht="14.25" customHeight="1">
      <c r="A20" s="163" t="s">
        <v>175</v>
      </c>
      <c r="B20" s="196">
        <f t="shared" ref="B20:D20" si="17">B18-B6</f>
        <v>1365.7</v>
      </c>
      <c r="C20" s="196">
        <f t="shared" si="17"/>
        <v>2771.9</v>
      </c>
      <c r="D20" s="196">
        <f t="shared" si="17"/>
        <v>3321.7</v>
      </c>
      <c r="E20" s="197">
        <f t="shared" ref="E20:H20" si="18">AVERAGE((B20/B4),(C20/C4),(D20/D4))*E4</f>
        <v>2775.65527737232</v>
      </c>
      <c r="F20" s="197">
        <f t="shared" si="18"/>
        <v>3081.6446551573</v>
      </c>
      <c r="G20" s="197">
        <f t="shared" si="18"/>
        <v>3089.52150396406</v>
      </c>
      <c r="H20" s="197">
        <f t="shared" si="18"/>
        <v>3010.48917524909</v>
      </c>
      <c r="I20" s="9"/>
      <c r="J20" s="9"/>
      <c r="K20" s="9"/>
      <c r="L20" s="9"/>
      <c r="M20" s="9"/>
    </row>
    <row r="21" ht="14.25" customHeight="1">
      <c r="A21" s="163" t="s">
        <v>176</v>
      </c>
      <c r="B21" s="198">
        <f>'Cash Flow Statement'!I$15</f>
        <v>-3744.1</v>
      </c>
      <c r="C21" s="198">
        <f>'Cash Flow Statement'!J$15</f>
        <v>-6842.3</v>
      </c>
      <c r="D21" s="198">
        <f>'Cash Flow Statement'!K$15</f>
        <v>-9087.7</v>
      </c>
      <c r="E21" s="198">
        <f>AVERAGE((B21/B4),(C21/C4),(D21/D4))*E4</f>
        <v>-7322.18761095446</v>
      </c>
      <c r="F21" s="198">
        <f>AVERAGE((B21/B4),(C21/C4),(D21/D4))*F4</f>
        <v>-7357.33411148704</v>
      </c>
      <c r="G21" s="198">
        <f>AVERAGE((B21/B4),(C21/C4),(D21/D4))*G4</f>
        <v>-7392.64931522218</v>
      </c>
      <c r="H21" s="198">
        <f>AVERAGE((B21/B4),(C21/C4),(D21/D4))*H4</f>
        <v>-7428.13403193524</v>
      </c>
      <c r="I21" s="9"/>
      <c r="J21" s="9"/>
      <c r="K21" s="9"/>
      <c r="L21" s="9"/>
      <c r="M21" s="9"/>
    </row>
    <row r="22" ht="14.25" customHeight="1">
      <c r="A22" s="163" t="s">
        <v>177</v>
      </c>
      <c r="B22" s="198">
        <f>(('Balance Sheet'!$I$10-'Balance Sheet'!$I$5) - ('Balance Sheet'!$I$24-'Balance Sheet'!$I$20-'Balance Sheet'!$I$21))-(('Balance Sheet'!$H$10-'Balance Sheet'!$H$5) - ('Balance Sheet'!$H$24-'Balance Sheet'!$H$20-'Balance Sheet'!$H$21))</f>
        <v>-2971.7</v>
      </c>
      <c r="C22" s="198">
        <f>(('Balance Sheet'!$J$10-'Balance Sheet'!$J$5) - ('Balance Sheet'!$J$24-'Balance Sheet'!$J$20-'Balance Sheet'!$J$21))-(('Balance Sheet'!$I$10-'Balance Sheet'!$I$5) - ('Balance Sheet'!$I$24-'Balance Sheet'!$I$20-'Balance Sheet'!$I$21))</f>
        <v>-1644.1</v>
      </c>
      <c r="D22" s="198">
        <f>(('Balance Sheet'!$K$10-'Balance Sheet'!$K$5) - ('Balance Sheet'!$K$24-'Balance Sheet'!$K$20-'Balance Sheet'!$K$21))-(('Balance Sheet'!$J$10-'Balance Sheet'!$J$5) - ('Balance Sheet'!$J$24-'Balance Sheet'!$J$20-'Balance Sheet'!$J$21))</f>
        <v>466.299999999999</v>
      </c>
      <c r="E22" s="198">
        <f>AVERAGE(B22/(B4-'Income Statement'!H3),C22/(C4-$B4), D22/(D4-C4))*(E4-D4)</f>
        <v>-32.4520525543939</v>
      </c>
      <c r="F22" s="198">
        <f>AVERAGE(B22/($B4-'Income Statement'!H3),$C22/($C4-$B4), $D22/($D4-$C4))*(F4-E4)</f>
        <v>-32.6078224066542</v>
      </c>
      <c r="G22" s="198">
        <f>AVERAGE(B22/($B4-'Income Statement'!H3),$C22/($C4-$B4), $D22/($D4-$C4))*(G4-F4)</f>
        <v>-32.764339954206</v>
      </c>
      <c r="H22" s="198">
        <f>AVERAGE($C22/($C4-$B4), $D22/($D4-$C4))*(H4-G4)</f>
        <v>-10.5726758130046</v>
      </c>
      <c r="I22" s="9"/>
      <c r="J22" s="9"/>
      <c r="K22" s="9"/>
      <c r="L22" s="9"/>
      <c r="M22" s="9"/>
    </row>
    <row r="23" ht="14.25" customHeight="1">
      <c r="A23" s="163" t="s">
        <v>178</v>
      </c>
      <c r="B23" s="199">
        <f t="shared" ref="B23:H23" si="19">-B10*(1-B14)</f>
        <v>-243.595878603506</v>
      </c>
      <c r="C23" s="199">
        <f t="shared" si="19"/>
        <v>132.198958937368</v>
      </c>
      <c r="D23" s="199">
        <f t="shared" si="19"/>
        <v>-341.733863772318</v>
      </c>
      <c r="E23" s="198">
        <f t="shared" si="19"/>
        <v>-202.607652028142</v>
      </c>
      <c r="F23" s="198">
        <f t="shared" si="19"/>
        <v>-207.008974386431</v>
      </c>
      <c r="G23" s="198">
        <f t="shared" si="19"/>
        <v>-209.725249411272</v>
      </c>
      <c r="H23" s="198">
        <f t="shared" si="19"/>
        <v>-212.462831189581</v>
      </c>
      <c r="I23" s="9"/>
      <c r="J23" s="9"/>
      <c r="K23" s="9"/>
      <c r="L23" s="9"/>
      <c r="M23" s="9"/>
    </row>
    <row r="24" ht="14.25" customHeight="1">
      <c r="A24" s="200" t="s">
        <v>81</v>
      </c>
      <c r="B24" s="201">
        <f t="shared" ref="B24:H24" si="20">(B6*(1-B14))+B20+B21-B22</f>
        <v>12490.8041213965</v>
      </c>
      <c r="C24" s="201">
        <f t="shared" si="20"/>
        <v>12356.7989589374</v>
      </c>
      <c r="D24" s="201">
        <f t="shared" si="20"/>
        <v>8904.66613622768</v>
      </c>
      <c r="E24" s="201">
        <f t="shared" si="20"/>
        <v>13306.4196764756</v>
      </c>
      <c r="F24" s="201">
        <f t="shared" si="20"/>
        <v>13964.5397581051</v>
      </c>
      <c r="G24" s="201">
        <f t="shared" si="20"/>
        <v>14176.1698200538</v>
      </c>
      <c r="H24" s="201">
        <f t="shared" si="20"/>
        <v>14280.2470604508</v>
      </c>
      <c r="I24" s="9"/>
      <c r="J24" s="9"/>
      <c r="K24" s="9"/>
      <c r="L24" s="9"/>
      <c r="M24" s="9"/>
    </row>
    <row r="25" ht="14.25" customHeight="1">
      <c r="A25" s="163" t="s">
        <v>179</v>
      </c>
      <c r="B25" s="202">
        <f t="shared" ref="B25:H25" si="21">B24/B31</f>
        <v>2.77894547508154</v>
      </c>
      <c r="C25" s="202">
        <f t="shared" si="21"/>
        <v>2.76872035826515</v>
      </c>
      <c r="D25" s="202">
        <f t="shared" si="21"/>
        <v>2.00208335459399</v>
      </c>
      <c r="E25" s="203">
        <f t="shared" si="21"/>
        <v>2.99545713305921</v>
      </c>
      <c r="F25" s="203">
        <f t="shared" si="21"/>
        <v>3.16020483015619</v>
      </c>
      <c r="G25" s="203">
        <f t="shared" si="21"/>
        <v>3.22503347059362</v>
      </c>
      <c r="H25" s="203">
        <f t="shared" si="21"/>
        <v>3.26586143044811</v>
      </c>
      <c r="I25" s="9"/>
      <c r="J25" s="9"/>
      <c r="K25" s="9"/>
      <c r="L25" s="9"/>
      <c r="M25" s="9"/>
    </row>
    <row r="26" ht="14.25" customHeight="1">
      <c r="A26" s="200" t="s">
        <v>80</v>
      </c>
      <c r="B26" s="201">
        <f t="shared" ref="B26:H26" si="22">B15+B20-B22</f>
        <v>16478.5</v>
      </c>
      <c r="C26" s="201">
        <f t="shared" si="22"/>
        <v>19066.9</v>
      </c>
      <c r="D26" s="201">
        <f t="shared" si="22"/>
        <v>18334.1</v>
      </c>
      <c r="E26" s="204">
        <f t="shared" si="22"/>
        <v>20831.2149394582</v>
      </c>
      <c r="F26" s="204">
        <f t="shared" si="22"/>
        <v>21528.8828439786</v>
      </c>
      <c r="G26" s="204">
        <f t="shared" si="22"/>
        <v>21778.5443846873</v>
      </c>
      <c r="H26" s="204">
        <f t="shared" si="22"/>
        <v>21920.8439235756</v>
      </c>
      <c r="I26" s="9"/>
      <c r="J26" s="9"/>
      <c r="K26" s="9"/>
      <c r="L26" s="9"/>
      <c r="M26" s="9"/>
    </row>
    <row r="27" ht="14.25" customHeight="1">
      <c r="A27" s="163" t="s">
        <v>180</v>
      </c>
      <c r="B27" s="202">
        <f t="shared" ref="B27:H27" si="23">B26/B31</f>
        <v>3.66612530034707</v>
      </c>
      <c r="C27" s="202">
        <f t="shared" si="23"/>
        <v>4.27221599820748</v>
      </c>
      <c r="D27" s="202">
        <f t="shared" si="23"/>
        <v>4.12215302291072</v>
      </c>
      <c r="E27" s="203">
        <f t="shared" si="23"/>
        <v>4.68939150408767</v>
      </c>
      <c r="F27" s="203">
        <f t="shared" si="23"/>
        <v>4.87203164085085</v>
      </c>
      <c r="G27" s="203">
        <f t="shared" si="23"/>
        <v>4.95454946385219</v>
      </c>
      <c r="H27" s="203">
        <f t="shared" si="23"/>
        <v>5.01324930793028</v>
      </c>
      <c r="I27" s="9"/>
      <c r="J27" s="9"/>
      <c r="K27" s="9"/>
      <c r="L27" s="9"/>
      <c r="M27" s="9"/>
    </row>
    <row r="28" ht="14.25" customHeight="1">
      <c r="A28" s="163" t="s">
        <v>182</v>
      </c>
      <c r="B28" s="199">
        <f>'Cash Flow Statement'!I$25 + 'Cash Flow Statement'!I$28</f>
        <v>-212.8</v>
      </c>
      <c r="C28" s="199">
        <f>'Cash Flow Statement'!J$25 + 'Cash Flow Statement'!J$28</f>
        <v>10598.6</v>
      </c>
      <c r="D28" s="199">
        <f>'Cash Flow Statement'!K$25 + 'Cash Flow Statement'!K$28</f>
        <v>3738.9</v>
      </c>
      <c r="E28" s="198">
        <f>AVERAGE((B28/B4),(C28/C4),(D28/D4))*E4</f>
        <v>5088.57248502537</v>
      </c>
      <c r="F28" s="198">
        <f>AVERAGE((B28/B4),(C28/C4),(D28/D4))*F4</f>
        <v>5112.99763295349</v>
      </c>
      <c r="G28" s="198">
        <f>AVERAGE((B28/B4),(C28/C4),(D28/D4))*G4</f>
        <v>5137.54002159167</v>
      </c>
      <c r="H28" s="198">
        <f>AVERAGE((B28/B4),(C28/C4),(D28/D4))*H4</f>
        <v>5162.20021369531</v>
      </c>
      <c r="I28" s="9"/>
      <c r="J28" s="9"/>
      <c r="K28" s="9"/>
      <c r="L28" s="9"/>
      <c r="M28" s="9"/>
    </row>
    <row r="29" ht="14.25" customHeight="1">
      <c r="A29" s="200" t="s">
        <v>145</v>
      </c>
      <c r="B29" s="201">
        <f t="shared" ref="B29:H29" si="24">B15+B20+B21-B22+B28</f>
        <v>12521.6</v>
      </c>
      <c r="C29" s="201">
        <f t="shared" si="24"/>
        <v>22823.2</v>
      </c>
      <c r="D29" s="201">
        <f t="shared" si="24"/>
        <v>12985.3</v>
      </c>
      <c r="E29" s="204">
        <f t="shared" si="24"/>
        <v>18597.5998135291</v>
      </c>
      <c r="F29" s="204">
        <f t="shared" si="24"/>
        <v>19284.5463654451</v>
      </c>
      <c r="G29" s="204">
        <f t="shared" si="24"/>
        <v>19523.4350910568</v>
      </c>
      <c r="H29" s="204">
        <f t="shared" si="24"/>
        <v>19654.9101053357</v>
      </c>
      <c r="I29" s="9"/>
      <c r="J29" s="9"/>
      <c r="K29" s="9"/>
      <c r="L29" s="9"/>
      <c r="M29" s="9"/>
    </row>
    <row r="30" ht="14.25" customHeight="1">
      <c r="A30" s="163" t="s">
        <v>197</v>
      </c>
      <c r="B30" s="202">
        <f t="shared" ref="B30:H30" si="25">B29/B31</f>
        <v>2.78579692088636</v>
      </c>
      <c r="C30" s="202">
        <f t="shared" si="25"/>
        <v>5.1138695944432</v>
      </c>
      <c r="D30" s="202">
        <f t="shared" si="25"/>
        <v>2.91955392674866</v>
      </c>
      <c r="E30" s="203">
        <f t="shared" si="25"/>
        <v>4.18657417800395</v>
      </c>
      <c r="F30" s="203">
        <f t="shared" si="25"/>
        <v>4.36413355736114</v>
      </c>
      <c r="G30" s="203">
        <f t="shared" si="25"/>
        <v>4.44151928404178</v>
      </c>
      <c r="H30" s="203">
        <f t="shared" si="25"/>
        <v>4.49503517412634</v>
      </c>
      <c r="I30" s="9"/>
      <c r="J30" s="9"/>
      <c r="K30" s="9"/>
      <c r="L30" s="9"/>
      <c r="M30" s="9"/>
    </row>
    <row r="31" ht="14.25" customHeight="1">
      <c r="A31" s="163" t="s">
        <v>202</v>
      </c>
      <c r="B31" s="167">
        <f>'Income Statement'!$I$26</f>
        <v>4494.8</v>
      </c>
      <c r="C31" s="167">
        <f>'Income Statement'!$J$26</f>
        <v>4463.0</v>
      </c>
      <c r="D31" s="167">
        <f>'Income Statement'!$K$26</f>
        <v>4447.7</v>
      </c>
      <c r="E31" s="167">
        <f>'Income Statement'!$L$26</f>
        <v>4442.2</v>
      </c>
      <c r="F31" s="167">
        <f t="shared" ref="F31:H31" si="26">E31+(E31*F32)</f>
        <v>4418.87172149375</v>
      </c>
      <c r="G31" s="167">
        <f t="shared" si="26"/>
        <v>4395.66595178451</v>
      </c>
      <c r="H31" s="167">
        <f t="shared" si="26"/>
        <v>4372.58204751553</v>
      </c>
      <c r="I31" s="9"/>
      <c r="J31" s="9"/>
      <c r="K31" s="9"/>
      <c r="L31" s="9"/>
      <c r="M31" s="9"/>
    </row>
    <row r="32" ht="14.25" customHeight="1">
      <c r="A32" s="163" t="s">
        <v>161</v>
      </c>
      <c r="B32" s="171">
        <f>(B31/'Income Statement'!$H$26)-1</f>
        <v>-0.0109580601153018</v>
      </c>
      <c r="C32" s="171">
        <f t="shared" ref="C32:E32" si="27">(C31/B31)-1</f>
        <v>-0.00707484203969033</v>
      </c>
      <c r="D32" s="171">
        <f t="shared" si="27"/>
        <v>-0.00342818731794758</v>
      </c>
      <c r="E32" s="171">
        <f t="shared" si="27"/>
        <v>-0.00123659419475231</v>
      </c>
      <c r="F32" s="174">
        <f>MEDIAN(B32:E32)</f>
        <v>-0.00525151467881896</v>
      </c>
      <c r="G32" s="174">
        <f>MEDIAN(B32:E32)</f>
        <v>-0.00525151467881896</v>
      </c>
      <c r="H32" s="174">
        <f>MEDIAN(B32:E32)</f>
        <v>-0.00525151467881896</v>
      </c>
      <c r="I32" s="9"/>
      <c r="J32" s="9"/>
      <c r="K32" s="9"/>
      <c r="L32" s="9"/>
      <c r="M32" s="9"/>
    </row>
    <row r="33" ht="14.25" customHeight="1">
      <c r="A33" s="177" t="s">
        <v>204</v>
      </c>
      <c r="B33" s="180">
        <f t="shared" ref="B33:H33" si="28">B15/B31</f>
        <v>2.70114354365044</v>
      </c>
      <c r="C33" s="180">
        <f t="shared" si="28"/>
        <v>3.28274703114497</v>
      </c>
      <c r="D33" s="180">
        <f t="shared" si="28"/>
        <v>3.48015828405693</v>
      </c>
      <c r="E33" s="180">
        <f t="shared" si="28"/>
        <v>4.05724812244643</v>
      </c>
      <c r="F33" s="180">
        <f t="shared" si="28"/>
        <v>4.16726973015406</v>
      </c>
      <c r="G33" s="180">
        <f t="shared" si="28"/>
        <v>4.24423938156518</v>
      </c>
      <c r="H33" s="180">
        <f t="shared" si="28"/>
        <v>4.32233903609705</v>
      </c>
      <c r="I33" s="9"/>
      <c r="J33" s="9"/>
      <c r="K33" s="9"/>
      <c r="L33" s="9"/>
      <c r="M33" s="9"/>
    </row>
    <row r="34" ht="14.25" customHeight="1">
      <c r="A34" s="163" t="s">
        <v>161</v>
      </c>
      <c r="B34" s="171">
        <f>(B33/'Income Statement'!$H$24)-1</f>
        <v>0.564973084386119</v>
      </c>
      <c r="C34" s="171">
        <f t="shared" ref="C34:H34" si="29">(C33/B33)-1</f>
        <v>0.21531750464047</v>
      </c>
      <c r="D34" s="171">
        <f t="shared" si="29"/>
        <v>0.0601359931298466</v>
      </c>
      <c r="E34" s="171">
        <f t="shared" si="29"/>
        <v>0.165822871055384</v>
      </c>
      <c r="F34" s="171">
        <f t="shared" si="29"/>
        <v>0.0271172983232022</v>
      </c>
      <c r="G34" s="171">
        <f t="shared" si="29"/>
        <v>0.0184700430726084</v>
      </c>
      <c r="H34" s="171">
        <f t="shared" si="29"/>
        <v>0.0184013311951938</v>
      </c>
      <c r="I34" s="9"/>
      <c r="J34" s="9"/>
      <c r="K34" s="9"/>
      <c r="L34" s="9"/>
      <c r="M34" s="9"/>
    </row>
    <row r="35" ht="14.25" customHeight="1">
      <c r="A35" s="177" t="s">
        <v>208</v>
      </c>
      <c r="B35" s="238">
        <f>Dividendos!H$4</f>
        <v>1.3638</v>
      </c>
      <c r="C35" s="238">
        <f>Dividendos!I$4</f>
        <v>1.6539</v>
      </c>
      <c r="D35" s="238">
        <f>Dividendos!J$4</f>
        <v>1.768</v>
      </c>
      <c r="E35" s="238">
        <f>Dividendos!K$4</f>
        <v>1.8266</v>
      </c>
      <c r="F35" s="180">
        <f t="shared" ref="F35:H35" si="30">E35+F36</f>
        <v>1.95525136250418</v>
      </c>
      <c r="G35" s="180">
        <f t="shared" si="30"/>
        <v>2.08390272500836</v>
      </c>
      <c r="H35" s="180">
        <f t="shared" si="30"/>
        <v>2.21255408751253</v>
      </c>
      <c r="I35" s="9"/>
      <c r="J35" s="9"/>
      <c r="K35" s="9"/>
      <c r="L35" s="9"/>
      <c r="M35" s="9"/>
    </row>
    <row r="36" ht="14.25" customHeight="1">
      <c r="A36" s="163" t="s">
        <v>161</v>
      </c>
      <c r="B36" s="171">
        <f>(B35/ Dividendos!G4)-1</f>
        <v>0.557560529922339</v>
      </c>
      <c r="C36" s="171">
        <f>(C35/ Dividendos!H4)-1</f>
        <v>0.212714474263088</v>
      </c>
      <c r="D36" s="171">
        <f>(D35/ Dividendos!I4)-1</f>
        <v>0.0689884515387871</v>
      </c>
      <c r="E36" s="171">
        <f>(E35/ Dividendos!J4)-1</f>
        <v>0.0331447963800904</v>
      </c>
      <c r="F36" s="174">
        <f>IFERROR((Dividendos!J4/Dividendos!B4)^(1/9)-1,"0")</f>
        <v>0.128651362504178</v>
      </c>
      <c r="G36" s="174">
        <f>IFERROR((Dividendos!J4/Dividendos!B4)^(1/9)-1,"0")</f>
        <v>0.128651362504178</v>
      </c>
      <c r="H36" s="174">
        <f>IFERROR((Dividendos!J4/Dividendos!B4)^(1/9)-1,"0")</f>
        <v>0.128651362504178</v>
      </c>
      <c r="I36" s="9"/>
      <c r="J36" s="9"/>
      <c r="K36" s="9"/>
      <c r="L36" s="9"/>
      <c r="M36" s="9"/>
    </row>
    <row r="37" ht="14.25" customHeight="1">
      <c r="A37" s="163" t="s">
        <v>218</v>
      </c>
      <c r="B37" s="171">
        <f t="shared" ref="B37:H37" si="31">B35/B33</f>
        <v>0.504897269604896</v>
      </c>
      <c r="C37" s="171">
        <f t="shared" si="31"/>
        <v>0.503815854316117</v>
      </c>
      <c r="D37" s="171">
        <f t="shared" si="31"/>
        <v>0.508022870137673</v>
      </c>
      <c r="E37" s="171">
        <f t="shared" si="31"/>
        <v>0.450206628944991</v>
      </c>
      <c r="F37" s="171">
        <f t="shared" si="31"/>
        <v>0.46919241832515</v>
      </c>
      <c r="G37" s="171">
        <f t="shared" si="31"/>
        <v>0.490995567794732</v>
      </c>
      <c r="H37" s="171">
        <f t="shared" si="31"/>
        <v>0.511888139508466</v>
      </c>
      <c r="I37" s="9"/>
      <c r="J37" s="9"/>
      <c r="K37" s="9"/>
      <c r="L37" s="9"/>
      <c r="M37" s="9"/>
    </row>
    <row r="38" ht="14.25" customHeight="1">
      <c r="A38" s="163"/>
      <c r="B38" s="163"/>
      <c r="C38" s="163"/>
      <c r="D38" s="163"/>
      <c r="E38" s="163"/>
      <c r="F38" s="163"/>
      <c r="G38" s="163"/>
      <c r="H38" s="163"/>
      <c r="I38" s="9"/>
      <c r="J38" s="9"/>
      <c r="K38" s="9"/>
      <c r="L38" s="9"/>
      <c r="M38" s="9"/>
    </row>
    <row r="39" ht="14.25" customHeight="1">
      <c r="A39" s="163"/>
      <c r="B39" s="163"/>
      <c r="C39" s="163"/>
      <c r="D39" s="163"/>
      <c r="E39" s="163"/>
      <c r="F39" s="163"/>
      <c r="G39" s="163"/>
      <c r="H39" s="163"/>
      <c r="I39" s="9"/>
      <c r="J39" s="9"/>
      <c r="K39" s="9"/>
      <c r="L39" s="9"/>
      <c r="M39" s="9"/>
    </row>
    <row r="40" ht="14.25" customHeight="1">
      <c r="A40" s="9"/>
      <c r="B40" s="9"/>
      <c r="C40" s="9"/>
      <c r="D40" s="9"/>
      <c r="E40" s="9"/>
      <c r="F40" s="9"/>
      <c r="G40" s="9"/>
      <c r="H40" s="9"/>
      <c r="I40" s="9"/>
      <c r="J40" s="9"/>
      <c r="K40" s="9"/>
      <c r="L40" s="9"/>
      <c r="M40" s="9"/>
    </row>
    <row r="41" ht="14.25" customHeight="1">
      <c r="A41" s="162" t="s">
        <v>17</v>
      </c>
      <c r="B41" s="162"/>
      <c r="C41" s="162"/>
      <c r="D41" s="162"/>
      <c r="E41" s="162"/>
      <c r="F41" s="162"/>
      <c r="G41" s="162"/>
      <c r="H41" s="162"/>
      <c r="I41" s="9"/>
      <c r="J41" s="9"/>
      <c r="K41" s="9"/>
      <c r="L41" s="9"/>
      <c r="M41" s="9"/>
    </row>
    <row r="42" ht="14.25" customHeight="1">
      <c r="A42" s="162" t="s">
        <v>153</v>
      </c>
      <c r="B42" s="162" t="str">
        <f>'Income Statement'!I$2</f>
        <v>Dec '23</v>
      </c>
      <c r="C42" s="162" t="str">
        <f>'Income Statement'!J$2</f>
        <v>Dec '24</v>
      </c>
      <c r="D42" s="162" t="str">
        <f>'Income Statement'!K$2</f>
        <v>Dec '25</v>
      </c>
      <c r="E42" s="162" t="s">
        <v>67</v>
      </c>
      <c r="F42" s="162" t="s">
        <v>68</v>
      </c>
      <c r="G42" s="162" t="s">
        <v>69</v>
      </c>
      <c r="H42" s="162" t="s">
        <v>156</v>
      </c>
      <c r="I42" s="9"/>
      <c r="J42" s="9"/>
      <c r="K42" s="9"/>
      <c r="L42" s="9"/>
      <c r="M42" s="9"/>
    </row>
    <row r="43" ht="14.25" customHeight="1">
      <c r="A43" s="163" t="s">
        <v>158</v>
      </c>
      <c r="B43" s="164">
        <f>'Income Statement'!$I$3</f>
        <v>33697.5</v>
      </c>
      <c r="C43" s="164">
        <f>'Income Statement'!$J$3</f>
        <v>42130.2</v>
      </c>
      <c r="D43" s="164">
        <f>'Income Statement'!$K$3</f>
        <v>46702.4</v>
      </c>
      <c r="E43" s="167">
        <f t="shared" ref="E43:H43" si="32">D43+(D43*E44)</f>
        <v>44834.304</v>
      </c>
      <c r="F43" s="167">
        <f t="shared" si="32"/>
        <v>46403.50464</v>
      </c>
      <c r="G43" s="167">
        <f t="shared" si="32"/>
        <v>48027.6273024</v>
      </c>
      <c r="H43" s="167">
        <f t="shared" si="32"/>
        <v>49708.594257984</v>
      </c>
      <c r="I43" s="9"/>
      <c r="J43" s="169" t="s">
        <v>160</v>
      </c>
      <c r="K43" s="9"/>
      <c r="L43" s="9"/>
      <c r="M43" s="9"/>
    </row>
    <row r="44" ht="14.25" customHeight="1">
      <c r="A44" s="163" t="s">
        <v>161</v>
      </c>
      <c r="B44" s="171">
        <f>('Income Statement'!$I$3-'Income Statement'!$H$3)/'Income Statement'!$H$3</f>
        <v>0.348396209805208</v>
      </c>
      <c r="C44" s="171">
        <f t="shared" ref="C44:D44" si="33">(C43-B43)/B43</f>
        <v>0.250247050968173</v>
      </c>
      <c r="D44" s="171">
        <f t="shared" si="33"/>
        <v>0.108525475786965</v>
      </c>
      <c r="E44" s="174">
        <f>'Valuation output'!C4</f>
        <v>-0.04</v>
      </c>
      <c r="F44" s="174">
        <f>'Valuation output'!D4</f>
        <v>0.035</v>
      </c>
      <c r="G44" s="174">
        <f>'Valuation output'!E4</f>
        <v>0.035</v>
      </c>
      <c r="H44" s="174">
        <f>'Valuation output'!F4</f>
        <v>0.035</v>
      </c>
      <c r="I44" s="9"/>
      <c r="J44" s="176"/>
      <c r="K44" s="9"/>
      <c r="L44" s="9"/>
      <c r="M44" s="9"/>
    </row>
    <row r="45" ht="14.25" customHeight="1">
      <c r="A45" s="177" t="s">
        <v>162</v>
      </c>
      <c r="B45" s="180">
        <f>'Income Statement'!$I$12</f>
        <v>14881.9</v>
      </c>
      <c r="C45" s="180">
        <f>'Income Statement'!$J$12</f>
        <v>18618.8</v>
      </c>
      <c r="D45" s="180">
        <f>'Income Statement'!$K$12</f>
        <v>19290.3</v>
      </c>
      <c r="E45" s="180">
        <f t="shared" ref="E45:H45" si="34">E43*E47</f>
        <v>21295.754063053</v>
      </c>
      <c r="F45" s="180">
        <f t="shared" si="34"/>
        <v>21577.2941083559</v>
      </c>
      <c r="G45" s="180">
        <f t="shared" si="34"/>
        <v>22092.4770301256</v>
      </c>
      <c r="H45" s="180">
        <f t="shared" si="34"/>
        <v>22617.2905711364</v>
      </c>
      <c r="I45" s="9"/>
      <c r="J45" s="9"/>
      <c r="K45" s="9"/>
      <c r="L45" s="9"/>
      <c r="M45" s="9"/>
    </row>
    <row r="46" ht="14.25" customHeight="1">
      <c r="A46" s="163" t="s">
        <v>161</v>
      </c>
      <c r="B46" s="171">
        <f>(B45-'Income Statement'!$H$12)/'Income Statement'!$H$12</f>
        <v>0.408590548125432</v>
      </c>
      <c r="C46" s="171">
        <f t="shared" ref="C46:H46" si="35">(C45-B45)/B45</f>
        <v>0.251103689717039</v>
      </c>
      <c r="D46" s="171">
        <f t="shared" si="35"/>
        <v>0.0360656970374031</v>
      </c>
      <c r="E46" s="171">
        <f t="shared" si="35"/>
        <v>0.103961787170391</v>
      </c>
      <c r="F46" s="171">
        <f t="shared" si="35"/>
        <v>0.0132204778694068</v>
      </c>
      <c r="G46" s="171">
        <f t="shared" si="35"/>
        <v>0.023876159780858</v>
      </c>
      <c r="H46" s="171">
        <f t="shared" si="35"/>
        <v>0.0237553054958557</v>
      </c>
      <c r="I46" s="9"/>
      <c r="J46" s="9" t="s">
        <v>164</v>
      </c>
      <c r="K46" s="9"/>
      <c r="L46" s="9"/>
      <c r="M46" s="9"/>
    </row>
    <row r="47" ht="14.25" customHeight="1">
      <c r="A47" s="163" t="s">
        <v>165</v>
      </c>
      <c r="B47" s="171">
        <f t="shared" ref="B47:D47" si="36">B45/B43</f>
        <v>0.441632168558498</v>
      </c>
      <c r="C47" s="171">
        <f t="shared" si="36"/>
        <v>0.441934764135941</v>
      </c>
      <c r="D47" s="171">
        <f t="shared" si="36"/>
        <v>0.41304729521395</v>
      </c>
      <c r="E47" s="174">
        <f>IFERROR(IF(J47&lt;&gt;"",J47,'Valuation output'!C6),"")</f>
        <v>0.474987948135717</v>
      </c>
      <c r="F47" s="174">
        <f>IFERROR(IF(K47&lt;&gt;"",K47,'Valuation output'!D6),"")</f>
        <v>0.46499276888143</v>
      </c>
      <c r="G47" s="174">
        <f>IFERROR(IF(L47&lt;&gt;"",L47,'Valuation output'!E6),"")</f>
        <v>0.459995179254287</v>
      </c>
      <c r="H47" s="174">
        <f>IFERROR(IF(M47&lt;&gt;"",M47,'Valuation output'!F6),"")</f>
        <v>0.454997589627144</v>
      </c>
      <c r="I47" s="9"/>
      <c r="J47" s="276"/>
      <c r="K47" s="9"/>
      <c r="L47" s="9"/>
      <c r="M47" s="9"/>
    </row>
    <row r="48" ht="14.25" customHeight="1">
      <c r="A48" s="163" t="s">
        <v>166</v>
      </c>
      <c r="B48" s="171">
        <f>((B45- 'Income Statement'!$H$12) / (B43 -  'Income Statement'!$H$3))</f>
        <v>0.495802083452973</v>
      </c>
      <c r="C48" s="171">
        <f t="shared" ref="C48:H48" si="37">((C45-B45) / (C43 - B43))</f>
        <v>0.443143951522051</v>
      </c>
      <c r="D48" s="171">
        <f t="shared" si="37"/>
        <v>0.146865841389265</v>
      </c>
      <c r="E48" s="171">
        <f t="shared" si="37"/>
        <v>-1.07352837490846</v>
      </c>
      <c r="F48" s="171">
        <f t="shared" si="37"/>
        <v>0.179416218758948</v>
      </c>
      <c r="G48" s="171">
        <f t="shared" si="37"/>
        <v>0.317206904193047</v>
      </c>
      <c r="H48" s="171">
        <f t="shared" si="37"/>
        <v>0.3122093145659</v>
      </c>
      <c r="I48" s="9"/>
      <c r="J48" s="9"/>
      <c r="K48" s="9"/>
      <c r="L48" s="9"/>
      <c r="M48" s="9"/>
    </row>
    <row r="49" ht="14.25" customHeight="1">
      <c r="A49" s="163" t="s">
        <v>167</v>
      </c>
      <c r="B49" s="190">
        <f>'Income Statement'!I$18</f>
        <v>304.7</v>
      </c>
      <c r="C49" s="190">
        <f>'Income Statement'!J$18</f>
        <v>-166.5</v>
      </c>
      <c r="D49" s="190">
        <f>'Income Statement'!K$18</f>
        <v>435.5</v>
      </c>
      <c r="E49" s="167">
        <f t="shared" ref="E49:H49" si="38">E45*E50</f>
        <v>242.119061708324</v>
      </c>
      <c r="F49" s="167">
        <f t="shared" si="38"/>
        <v>245.3199914054</v>
      </c>
      <c r="G49" s="167">
        <f t="shared" si="38"/>
        <v>251.177290717634</v>
      </c>
      <c r="H49" s="167">
        <f t="shared" si="38"/>
        <v>257.144083992253</v>
      </c>
      <c r="I49" s="9"/>
      <c r="J49" s="9"/>
      <c r="K49" s="9"/>
      <c r="L49" s="9"/>
      <c r="M49" s="9"/>
    </row>
    <row r="50" ht="14.25" customHeight="1">
      <c r="A50" s="163" t="s">
        <v>168</v>
      </c>
      <c r="B50" s="171">
        <f t="shared" ref="B50:D50" si="39">B49/B45</f>
        <v>0.020474536181536</v>
      </c>
      <c r="C50" s="171">
        <f t="shared" si="39"/>
        <v>-0.00894257417234193</v>
      </c>
      <c r="D50" s="171">
        <f t="shared" si="39"/>
        <v>0.0225761133834103</v>
      </c>
      <c r="E50" s="174">
        <f>AVERAGE(B50:D50)</f>
        <v>0.0113693584642014</v>
      </c>
      <c r="F50" s="174">
        <f t="shared" ref="F50:H50" si="40">E50</f>
        <v>0.0113693584642014</v>
      </c>
      <c r="G50" s="174">
        <f t="shared" si="40"/>
        <v>0.0113693584642014</v>
      </c>
      <c r="H50" s="174">
        <f t="shared" si="40"/>
        <v>0.0113693584642014</v>
      </c>
      <c r="I50" s="9"/>
      <c r="J50" s="9"/>
      <c r="K50" s="9"/>
      <c r="L50" s="9"/>
      <c r="M50" s="9"/>
    </row>
    <row r="51" ht="14.25" customHeight="1">
      <c r="A51" s="177" t="s">
        <v>169</v>
      </c>
      <c r="B51" s="180">
        <f t="shared" ref="B51:H51" si="41">B45+B49</f>
        <v>15186.6</v>
      </c>
      <c r="C51" s="180">
        <f t="shared" si="41"/>
        <v>18452.3</v>
      </c>
      <c r="D51" s="180">
        <f t="shared" si="41"/>
        <v>19725.8</v>
      </c>
      <c r="E51" s="180">
        <f t="shared" si="41"/>
        <v>21537.8731247613</v>
      </c>
      <c r="F51" s="180">
        <f t="shared" si="41"/>
        <v>21822.6140997613</v>
      </c>
      <c r="G51" s="180">
        <f t="shared" si="41"/>
        <v>22343.6543208432</v>
      </c>
      <c r="H51" s="180">
        <f t="shared" si="41"/>
        <v>22874.4346551286</v>
      </c>
      <c r="I51" s="9"/>
      <c r="J51" s="9"/>
      <c r="K51" s="9"/>
      <c r="L51" s="9"/>
      <c r="M51" s="9"/>
    </row>
    <row r="52" ht="14.25" customHeight="1">
      <c r="A52" s="163" t="s">
        <v>170</v>
      </c>
      <c r="B52" s="190">
        <f>'Income Statement'!I$20</f>
        <v>3045.5</v>
      </c>
      <c r="C52" s="190">
        <f>'Income Statement'!J$20</f>
        <v>3801.4</v>
      </c>
      <c r="D52" s="190">
        <f>'Income Statement'!K$20</f>
        <v>4247.1</v>
      </c>
      <c r="E52" s="167">
        <f t="shared" ref="E52:H52" si="42">E51*E53</f>
        <v>4318.34356151464</v>
      </c>
      <c r="F52" s="167">
        <f t="shared" si="42"/>
        <v>4375.43412700214</v>
      </c>
      <c r="G52" s="167">
        <f t="shared" si="42"/>
        <v>4479.90269132906</v>
      </c>
      <c r="H52" s="167">
        <f t="shared" si="42"/>
        <v>4586.32414835329</v>
      </c>
      <c r="I52" s="9"/>
      <c r="J52" s="9" t="s">
        <v>171</v>
      </c>
      <c r="K52" s="9"/>
      <c r="L52" s="9"/>
      <c r="M52" s="9"/>
    </row>
    <row r="53" ht="14.25" customHeight="1">
      <c r="A53" s="163" t="s">
        <v>172</v>
      </c>
      <c r="B53" s="171">
        <f t="shared" ref="B53:D53" si="43">B52/B51</f>
        <v>0.200538632742023</v>
      </c>
      <c r="C53" s="171">
        <f t="shared" si="43"/>
        <v>0.206012258634425</v>
      </c>
      <c r="D53" s="171">
        <f t="shared" si="43"/>
        <v>0.215306857009602</v>
      </c>
      <c r="E53" s="171">
        <f>IFERROR(IF(J53&lt;&gt;"",J53,'Valuation output'!C8),"")</f>
        <v>0.2005</v>
      </c>
      <c r="F53" s="171">
        <f>IFERROR(IF(K53&lt;&gt;"",K53,'Valuation output'!D8),"")</f>
        <v>0.2005</v>
      </c>
      <c r="G53" s="171">
        <f>IFERROR(IF(L53&lt;&gt;"",L53,'Valuation output'!E8),"")</f>
        <v>0.2005</v>
      </c>
      <c r="H53" s="171">
        <f>IFERROR(IF(M53&lt;&gt;"",M53,'Valuation output'!F8),"")</f>
        <v>0.2005</v>
      </c>
      <c r="I53" s="9"/>
      <c r="J53" s="188"/>
      <c r="K53" s="9"/>
      <c r="L53" s="9"/>
      <c r="M53" s="9"/>
    </row>
    <row r="54" ht="14.25" customHeight="1">
      <c r="A54" s="177" t="s">
        <v>173</v>
      </c>
      <c r="B54" s="180">
        <f t="shared" ref="B54:H54" si="44">B51-B52</f>
        <v>12141.1</v>
      </c>
      <c r="C54" s="180">
        <f t="shared" si="44"/>
        <v>14650.9</v>
      </c>
      <c r="D54" s="180">
        <f t="shared" si="44"/>
        <v>15478.7</v>
      </c>
      <c r="E54" s="180">
        <f t="shared" si="44"/>
        <v>17219.5295632467</v>
      </c>
      <c r="F54" s="180">
        <f t="shared" si="44"/>
        <v>17447.1799727592</v>
      </c>
      <c r="G54" s="180">
        <f t="shared" si="44"/>
        <v>17863.7516295141</v>
      </c>
      <c r="H54" s="180">
        <f t="shared" si="44"/>
        <v>18288.1105067753</v>
      </c>
      <c r="I54" s="9"/>
      <c r="J54" s="9"/>
      <c r="K54" s="9"/>
      <c r="L54" s="9"/>
      <c r="M54" s="9"/>
    </row>
    <row r="55" ht="14.25" customHeight="1">
      <c r="A55" s="163" t="s">
        <v>161</v>
      </c>
      <c r="B55" s="171">
        <f>(B54/'Income Statement'!$H$21)-1</f>
        <v>0.548273971205223</v>
      </c>
      <c r="C55" s="171">
        <f t="shared" ref="C55:H55" si="45">(C54/B54)-1</f>
        <v>0.206719325267068</v>
      </c>
      <c r="D55" s="171">
        <f t="shared" si="45"/>
        <v>0.0565016483628991</v>
      </c>
      <c r="E55" s="171">
        <f t="shared" si="45"/>
        <v>0.112466134962669</v>
      </c>
      <c r="F55" s="171">
        <f t="shared" si="45"/>
        <v>0.0132204778694067</v>
      </c>
      <c r="G55" s="171">
        <f t="shared" si="45"/>
        <v>0.0238761597808579</v>
      </c>
      <c r="H55" s="171">
        <f t="shared" si="45"/>
        <v>0.0237553054958557</v>
      </c>
      <c r="I55" s="9"/>
      <c r="J55" s="9"/>
      <c r="K55" s="9"/>
      <c r="L55" s="9"/>
      <c r="M55" s="9"/>
    </row>
    <row r="56" ht="14.25" customHeight="1">
      <c r="A56" s="163" t="s">
        <v>165</v>
      </c>
      <c r="B56" s="171">
        <f t="shared" ref="B56:H56" si="46">B54/B43</f>
        <v>0.360296757919727</v>
      </c>
      <c r="C56" s="171">
        <f t="shared" si="46"/>
        <v>0.347752918334117</v>
      </c>
      <c r="D56" s="171">
        <f t="shared" si="46"/>
        <v>0.331432645859742</v>
      </c>
      <c r="E56" s="171">
        <f t="shared" si="46"/>
        <v>0.384070410979206</v>
      </c>
      <c r="F56" s="171">
        <f t="shared" si="46"/>
        <v>0.375988410964107</v>
      </c>
      <c r="G56" s="171">
        <f t="shared" si="46"/>
        <v>0.371947410956557</v>
      </c>
      <c r="H56" s="171">
        <f t="shared" si="46"/>
        <v>0.367906410949008</v>
      </c>
      <c r="I56" s="9"/>
      <c r="J56" s="9"/>
      <c r="K56" s="9"/>
      <c r="L56" s="9"/>
      <c r="M56" s="9"/>
    </row>
    <row r="57" ht="14.25" customHeight="1">
      <c r="A57" s="177" t="s">
        <v>147</v>
      </c>
      <c r="B57" s="194">
        <f>B45+'Cash Flow Statement'!$I$4</f>
        <v>16247.6</v>
      </c>
      <c r="C57" s="194">
        <f>C45+'Cash Flow Statement'!$J$4</f>
        <v>21390.7</v>
      </c>
      <c r="D57" s="194">
        <f>D45+'Cash Flow Statement'!$K$4</f>
        <v>22612.0</v>
      </c>
      <c r="E57" s="194">
        <f>$E$45+$E$59</f>
        <v>23947.654009587</v>
      </c>
      <c r="F57" s="194">
        <f t="shared" ref="F57:H57" si="47">F45+F59</f>
        <v>24610.0320789199</v>
      </c>
      <c r="G57" s="194">
        <f t="shared" si="47"/>
        <v>25224.3509897788</v>
      </c>
      <c r="H57" s="194">
        <f t="shared" si="47"/>
        <v>25760.7716225339</v>
      </c>
      <c r="I57" s="9"/>
      <c r="J57" s="9" t="s">
        <v>174</v>
      </c>
      <c r="K57" s="9"/>
      <c r="L57" s="9"/>
      <c r="M57" s="9"/>
    </row>
    <row r="58" ht="14.25" customHeight="1">
      <c r="A58" s="163" t="s">
        <v>165</v>
      </c>
      <c r="B58" s="171">
        <f t="shared" ref="B58:H58" si="48">B57/B43</f>
        <v>0.482160397655612</v>
      </c>
      <c r="C58" s="171">
        <f t="shared" si="48"/>
        <v>0.507728422841572</v>
      </c>
      <c r="D58" s="171">
        <f t="shared" si="48"/>
        <v>0.484172119634109</v>
      </c>
      <c r="E58" s="195">
        <f t="shared" si="48"/>
        <v>0.534136852210019</v>
      </c>
      <c r="F58" s="195">
        <f t="shared" si="48"/>
        <v>0.530348564614794</v>
      </c>
      <c r="G58" s="195">
        <f t="shared" si="48"/>
        <v>0.525205020663562</v>
      </c>
      <c r="H58" s="195">
        <f t="shared" si="48"/>
        <v>0.51823577003279</v>
      </c>
      <c r="I58" s="9"/>
      <c r="J58" s="276"/>
      <c r="K58" s="9"/>
      <c r="L58" s="9"/>
      <c r="M58" s="9"/>
    </row>
    <row r="59" ht="14.25" customHeight="1">
      <c r="A59" s="163" t="s">
        <v>175</v>
      </c>
      <c r="B59" s="196">
        <f t="shared" ref="B59:D59" si="49">B57-B45</f>
        <v>1365.7</v>
      </c>
      <c r="C59" s="196">
        <f t="shared" si="49"/>
        <v>2771.9</v>
      </c>
      <c r="D59" s="196">
        <f t="shared" si="49"/>
        <v>3321.7</v>
      </c>
      <c r="E59" s="197">
        <f t="shared" ref="E59:H59" si="50">AVERAGE((B59/B43),(C59/C43),(D59/D43))*E43</f>
        <v>2651.89994653406</v>
      </c>
      <c r="F59" s="197">
        <f t="shared" si="50"/>
        <v>3032.73797056404</v>
      </c>
      <c r="G59" s="197">
        <f t="shared" si="50"/>
        <v>3131.87395965324</v>
      </c>
      <c r="H59" s="197">
        <f t="shared" si="50"/>
        <v>3143.48105139748</v>
      </c>
      <c r="I59" s="9"/>
      <c r="J59" s="9"/>
      <c r="K59" s="9"/>
      <c r="L59" s="9"/>
      <c r="M59" s="9"/>
    </row>
    <row r="60" ht="14.25" customHeight="1">
      <c r="A60" s="163" t="s">
        <v>176</v>
      </c>
      <c r="B60" s="198">
        <f>'Cash Flow Statement'!I$15</f>
        <v>-3744.1</v>
      </c>
      <c r="C60" s="198">
        <f>'Cash Flow Statement'!J$15</f>
        <v>-6842.3</v>
      </c>
      <c r="D60" s="198">
        <f>'Cash Flow Statement'!K$15</f>
        <v>-9087.7</v>
      </c>
      <c r="E60" s="198">
        <f>AVERAGE((B60/B43),(C60/C43),(D60/D43))*E43</f>
        <v>-6995.72064740872</v>
      </c>
      <c r="F60" s="198">
        <f>AVERAGE((B60/B43),(C60/C43),(D60/D43))*F43</f>
        <v>-7240.57087006802</v>
      </c>
      <c r="G60" s="198">
        <f>AVERAGE((B60/B43),(C60/C43),(D60/D43))*G43</f>
        <v>-7493.9908505204</v>
      </c>
      <c r="H60" s="198">
        <f>AVERAGE((B60/B43),(C60/C43),(D60/D43))*H43</f>
        <v>-7756.28053028862</v>
      </c>
      <c r="I60" s="9"/>
      <c r="J60" s="9"/>
      <c r="K60" s="9"/>
      <c r="L60" s="9"/>
      <c r="M60" s="9"/>
    </row>
    <row r="61" ht="14.25" customHeight="1">
      <c r="A61" s="163" t="s">
        <v>177</v>
      </c>
      <c r="B61" s="198">
        <f>(('Balance Sheet'!$I$10-'Balance Sheet'!$I$5) - ('Balance Sheet'!$I$24-'Balance Sheet'!$I$20-'Balance Sheet'!$I$21))-(('Balance Sheet'!$H$10-'Balance Sheet'!$H$5) - ('Balance Sheet'!$H$24-'Balance Sheet'!$H$20-'Balance Sheet'!$H$21))</f>
        <v>-2971.7</v>
      </c>
      <c r="C61" s="198">
        <f>(('Balance Sheet'!$J$10-'Balance Sheet'!$J$5) - ('Balance Sheet'!$J$24-'Balance Sheet'!$J$20-'Balance Sheet'!$J$21))-(('Balance Sheet'!$I$10-'Balance Sheet'!$I$5) - ('Balance Sheet'!$I$24-'Balance Sheet'!$I$20-'Balance Sheet'!$I$21))</f>
        <v>-1644.1</v>
      </c>
      <c r="D61" s="198">
        <f>(('Balance Sheet'!$K$10-'Balance Sheet'!$K$5) - ('Balance Sheet'!$K$24-'Balance Sheet'!$K$20-'Balance Sheet'!$K$21))-(('Balance Sheet'!$J$10-'Balance Sheet'!$J$5) - ('Balance Sheet'!$J$24-'Balance Sheet'!$J$20-'Balance Sheet'!$J$21))</f>
        <v>466.299999999999</v>
      </c>
      <c r="E61" s="198">
        <f>AVERAGE(B61/(B43-'Income Statement'!H42),C61/(C43-$B43), D61/(D43-C43))*(E43-D43)</f>
        <v>112.813599533647</v>
      </c>
      <c r="F61" s="198">
        <f>AVERAGE(B61/(B43-'Income Statement'!H42),C61/(C43-$B43), D61/(D43-C43))*(F43-E43)</f>
        <v>-94.7634236082639</v>
      </c>
      <c r="G61" s="198">
        <f>AVERAGE(B61/(B43-'Income Statement'!H42),C61/(C43-$B43), D61/(D43-C43))*(G43-F43)</f>
        <v>-98.0801434345528</v>
      </c>
      <c r="H61" s="198">
        <f>AVERAGE(B61/(B43-'Income Statement'!H42),C61/(C43-$B43), D61/(D43-C43))*(H43-G43)</f>
        <v>-101.512948454762</v>
      </c>
      <c r="I61" s="9"/>
      <c r="J61" s="9"/>
      <c r="K61" s="9"/>
      <c r="L61" s="9"/>
      <c r="M61" s="9"/>
    </row>
    <row r="62" ht="14.25" customHeight="1">
      <c r="A62" s="163" t="s">
        <v>178</v>
      </c>
      <c r="B62" s="199">
        <f t="shared" ref="B62:H62" si="51">-B49*(1-B53)</f>
        <v>-243.595878603506</v>
      </c>
      <c r="C62" s="199">
        <f t="shared" si="51"/>
        <v>132.198958937368</v>
      </c>
      <c r="D62" s="199">
        <f t="shared" si="51"/>
        <v>-341.733863772318</v>
      </c>
      <c r="E62" s="198">
        <f t="shared" si="51"/>
        <v>-193.574189835805</v>
      </c>
      <c r="F62" s="198">
        <f t="shared" si="51"/>
        <v>-196.133333128617</v>
      </c>
      <c r="G62" s="198">
        <f t="shared" si="51"/>
        <v>-200.816243928749</v>
      </c>
      <c r="H62" s="198">
        <f t="shared" si="51"/>
        <v>-205.586695151806</v>
      </c>
      <c r="I62" s="9"/>
      <c r="J62" s="9"/>
      <c r="K62" s="9"/>
      <c r="L62" s="9"/>
      <c r="M62" s="9"/>
    </row>
    <row r="63" ht="14.25" customHeight="1">
      <c r="A63" s="200" t="s">
        <v>81</v>
      </c>
      <c r="B63" s="201">
        <f t="shared" ref="B63:H63" si="52">(B45*(1-B53))+B59+B60-B61</f>
        <v>12490.8041213965</v>
      </c>
      <c r="C63" s="201">
        <f t="shared" si="52"/>
        <v>12356.7989589374</v>
      </c>
      <c r="D63" s="201">
        <f t="shared" si="52"/>
        <v>8904.66613622768</v>
      </c>
      <c r="E63" s="201">
        <f t="shared" si="52"/>
        <v>12569.3210730026</v>
      </c>
      <c r="F63" s="201">
        <f t="shared" si="52"/>
        <v>13137.9771637348</v>
      </c>
      <c r="G63" s="201">
        <f t="shared" si="52"/>
        <v>13398.8986381528</v>
      </c>
      <c r="H63" s="201">
        <f t="shared" si="52"/>
        <v>13571.2372811872</v>
      </c>
      <c r="I63" s="9"/>
      <c r="J63" s="9"/>
      <c r="K63" s="9"/>
      <c r="L63" s="9"/>
      <c r="M63" s="9"/>
    </row>
    <row r="64" ht="14.25" customHeight="1">
      <c r="A64" s="163" t="s">
        <v>179</v>
      </c>
      <c r="B64" s="202">
        <f t="shared" ref="B64:H64" si="53">B63/B70</f>
        <v>2.77894547508154</v>
      </c>
      <c r="C64" s="202">
        <f t="shared" si="53"/>
        <v>2.76872035826515</v>
      </c>
      <c r="D64" s="202">
        <f t="shared" si="53"/>
        <v>2.00208335459399</v>
      </c>
      <c r="E64" s="203">
        <f t="shared" si="53"/>
        <v>2.8295261521324</v>
      </c>
      <c r="F64" s="203">
        <f t="shared" si="53"/>
        <v>2.97315196995437</v>
      </c>
      <c r="G64" s="203">
        <f t="shared" si="53"/>
        <v>3.04820675299797</v>
      </c>
      <c r="H64" s="203">
        <f t="shared" si="53"/>
        <v>3.10371243665931</v>
      </c>
      <c r="I64" s="9"/>
      <c r="J64" s="9"/>
      <c r="K64" s="9"/>
      <c r="L64" s="9"/>
      <c r="M64" s="9"/>
    </row>
    <row r="65" ht="14.25" customHeight="1">
      <c r="A65" s="200" t="s">
        <v>80</v>
      </c>
      <c r="B65" s="201">
        <f t="shared" ref="B65:H65" si="54">B54+B59-B61</f>
        <v>16478.5</v>
      </c>
      <c r="C65" s="201">
        <f t="shared" si="54"/>
        <v>19066.9</v>
      </c>
      <c r="D65" s="201">
        <f t="shared" si="54"/>
        <v>18334.1</v>
      </c>
      <c r="E65" s="204">
        <f t="shared" si="54"/>
        <v>19758.6159102471</v>
      </c>
      <c r="F65" s="204">
        <f t="shared" si="54"/>
        <v>20574.6813669315</v>
      </c>
      <c r="G65" s="204">
        <f t="shared" si="54"/>
        <v>21093.7057326019</v>
      </c>
      <c r="H65" s="204">
        <f t="shared" si="54"/>
        <v>21533.1045066276</v>
      </c>
      <c r="I65" s="9"/>
      <c r="J65" s="9"/>
      <c r="K65" s="9"/>
      <c r="L65" s="9"/>
      <c r="M65" s="9"/>
    </row>
    <row r="66" ht="14.25" customHeight="1">
      <c r="A66" s="163" t="s">
        <v>180</v>
      </c>
      <c r="B66" s="202">
        <f t="shared" ref="B66:H66" si="55">B65/B70</f>
        <v>3.66612530034707</v>
      </c>
      <c r="C66" s="202">
        <f t="shared" si="55"/>
        <v>4.27221599820748</v>
      </c>
      <c r="D66" s="202">
        <f t="shared" si="55"/>
        <v>4.12215302291072</v>
      </c>
      <c r="E66" s="203">
        <f t="shared" si="55"/>
        <v>4.44793478687296</v>
      </c>
      <c r="F66" s="203">
        <f t="shared" si="55"/>
        <v>4.65609383201928</v>
      </c>
      <c r="G66" s="203">
        <f t="shared" si="55"/>
        <v>4.79875085231136</v>
      </c>
      <c r="H66" s="203">
        <f t="shared" si="55"/>
        <v>4.92457414695341</v>
      </c>
      <c r="I66" s="9"/>
      <c r="J66" s="9"/>
      <c r="K66" s="9"/>
      <c r="L66" s="9"/>
      <c r="M66" s="9"/>
    </row>
    <row r="67" ht="14.25" customHeight="1">
      <c r="A67" s="163" t="s">
        <v>182</v>
      </c>
      <c r="B67" s="199">
        <f>'Cash Flow Statement'!I$25 + 'Cash Flow Statement'!I$28</f>
        <v>-212.8</v>
      </c>
      <c r="C67" s="199">
        <f>'Cash Flow Statement'!J$25 + 'Cash Flow Statement'!J$28</f>
        <v>10598.6</v>
      </c>
      <c r="D67" s="199">
        <f>'Cash Flow Statement'!K$25 + 'Cash Flow Statement'!K$28</f>
        <v>3738.9</v>
      </c>
      <c r="E67" s="198">
        <f>AVERAGE((B67/B43),(C67/C43),(D67/D43))*E43</f>
        <v>4861.69345703061</v>
      </c>
      <c r="F67" s="198">
        <f>AVERAGE((B67/B43),(C67/C43),(D67/D43))*F43</f>
        <v>5031.85272802668</v>
      </c>
      <c r="G67" s="198">
        <f>AVERAGE((B67/B43),(C67/C43),(D67/D43))*G43</f>
        <v>5207.96757350761</v>
      </c>
      <c r="H67" s="198">
        <f>AVERAGE((B67/B43),(C67/C43),(D67/D43))*H43</f>
        <v>5390.24643858038</v>
      </c>
      <c r="I67" s="9"/>
      <c r="J67" s="9"/>
      <c r="K67" s="9"/>
      <c r="L67" s="9"/>
      <c r="M67" s="9"/>
    </row>
    <row r="68" ht="14.25" customHeight="1">
      <c r="A68" s="200" t="s">
        <v>145</v>
      </c>
      <c r="B68" s="201">
        <f t="shared" ref="B68:H68" si="56">B54+B59+B60-B61+B67</f>
        <v>12521.6</v>
      </c>
      <c r="C68" s="201">
        <f t="shared" si="56"/>
        <v>22823.2</v>
      </c>
      <c r="D68" s="201">
        <f t="shared" si="56"/>
        <v>12985.3</v>
      </c>
      <c r="E68" s="204">
        <f t="shared" si="56"/>
        <v>17624.588719869</v>
      </c>
      <c r="F68" s="204">
        <f t="shared" si="56"/>
        <v>18365.9632248901</v>
      </c>
      <c r="G68" s="204">
        <f t="shared" si="56"/>
        <v>18807.6824555892</v>
      </c>
      <c r="H68" s="204">
        <f t="shared" si="56"/>
        <v>19167.0704149193</v>
      </c>
      <c r="I68" s="9"/>
      <c r="J68" s="9"/>
      <c r="K68" s="9"/>
      <c r="L68" s="9"/>
      <c r="M68" s="9"/>
    </row>
    <row r="69" ht="14.25" customHeight="1">
      <c r="A69" s="163" t="s">
        <v>197</v>
      </c>
      <c r="B69" s="202">
        <f t="shared" ref="B69:H69" si="57">B68/B70</f>
        <v>2.78579692088636</v>
      </c>
      <c r="C69" s="202">
        <f t="shared" si="57"/>
        <v>5.1138695944432</v>
      </c>
      <c r="D69" s="202">
        <f t="shared" si="57"/>
        <v>2.91955392674866</v>
      </c>
      <c r="E69" s="203">
        <f t="shared" si="57"/>
        <v>3.9675360676847</v>
      </c>
      <c r="F69" s="203">
        <f t="shared" si="57"/>
        <v>4.15625625327764</v>
      </c>
      <c r="G69" s="203">
        <f t="shared" si="57"/>
        <v>4.27868783976949</v>
      </c>
      <c r="H69" s="203">
        <f t="shared" si="57"/>
        <v>4.38346729841466</v>
      </c>
      <c r="I69" s="9"/>
      <c r="J69" s="9"/>
      <c r="K69" s="9"/>
      <c r="L69" s="9"/>
      <c r="M69" s="9"/>
    </row>
    <row r="70" ht="14.25" customHeight="1">
      <c r="A70" s="163" t="s">
        <v>202</v>
      </c>
      <c r="B70" s="167">
        <f>'Income Statement'!$I$26</f>
        <v>4494.8</v>
      </c>
      <c r="C70" s="167">
        <f>'Income Statement'!$J$26</f>
        <v>4463.0</v>
      </c>
      <c r="D70" s="167">
        <f>'Income Statement'!$K$26</f>
        <v>4447.7</v>
      </c>
      <c r="E70" s="167">
        <f>'Income Statement'!L26</f>
        <v>4442.2</v>
      </c>
      <c r="F70" s="167">
        <f t="shared" ref="F70:H70" si="58">E70+(E70*F71)</f>
        <v>4418.87172149375</v>
      </c>
      <c r="G70" s="167">
        <f t="shared" si="58"/>
        <v>4395.66595178451</v>
      </c>
      <c r="H70" s="167">
        <f t="shared" si="58"/>
        <v>4372.58204751553</v>
      </c>
      <c r="I70" s="9"/>
      <c r="J70" s="9"/>
      <c r="K70" s="9"/>
      <c r="L70" s="9"/>
      <c r="M70" s="9"/>
    </row>
    <row r="71" ht="14.25" customHeight="1">
      <c r="A71" s="163" t="s">
        <v>161</v>
      </c>
      <c r="B71" s="171">
        <f>(B70/'Income Statement'!$H$26)-1</f>
        <v>-0.0109580601153018</v>
      </c>
      <c r="C71" s="171">
        <f t="shared" ref="C71:D71" si="59">(C70/B70)-1</f>
        <v>-0.00707484203969033</v>
      </c>
      <c r="D71" s="171">
        <f t="shared" si="59"/>
        <v>-0.00342818731794758</v>
      </c>
      <c r="E71" s="174">
        <f>(E70/ 'Income Statement'!K26)-1</f>
        <v>-0.00123659419475231</v>
      </c>
      <c r="F71" s="174">
        <f>MEDIAN(B71:E71)</f>
        <v>-0.00525151467881896</v>
      </c>
      <c r="G71" s="174">
        <f>MEDIAN(B71:E71)</f>
        <v>-0.00525151467881896</v>
      </c>
      <c r="H71" s="174">
        <f>MEDIAN(B71:E71)</f>
        <v>-0.00525151467881896</v>
      </c>
      <c r="I71" s="9"/>
      <c r="J71" s="9"/>
      <c r="K71" s="9"/>
      <c r="L71" s="9"/>
      <c r="M71" s="9"/>
    </row>
    <row r="72" ht="14.25" customHeight="1">
      <c r="A72" s="177" t="s">
        <v>204</v>
      </c>
      <c r="B72" s="180">
        <f t="shared" ref="B72:H72" si="60">B54/B70</f>
        <v>2.70114354365044</v>
      </c>
      <c r="C72" s="180">
        <f t="shared" si="60"/>
        <v>3.28274703114497</v>
      </c>
      <c r="D72" s="180">
        <f t="shared" si="60"/>
        <v>3.48015828405693</v>
      </c>
      <c r="E72" s="180">
        <f t="shared" si="60"/>
        <v>3.87635170934372</v>
      </c>
      <c r="F72" s="180">
        <f t="shared" si="60"/>
        <v>3.948333663522</v>
      </c>
      <c r="G72" s="180">
        <f t="shared" si="60"/>
        <v>4.06394658408062</v>
      </c>
      <c r="H72" s="180">
        <f t="shared" si="60"/>
        <v>4.18245107994407</v>
      </c>
      <c r="I72" s="9"/>
      <c r="J72" s="9"/>
      <c r="K72" s="9"/>
      <c r="L72" s="9"/>
      <c r="M72" s="9"/>
    </row>
    <row r="73" ht="14.25" customHeight="1">
      <c r="A73" s="163" t="s">
        <v>161</v>
      </c>
      <c r="B73" s="171">
        <f>(B72/'Income Statement'!$H$24)-1</f>
        <v>0.564973084386119</v>
      </c>
      <c r="C73" s="171">
        <f t="shared" ref="C73:H73" si="61">(C72/B72)-1</f>
        <v>0.21531750464047</v>
      </c>
      <c r="D73" s="171">
        <f t="shared" si="61"/>
        <v>0.0601359931298466</v>
      </c>
      <c r="E73" s="171">
        <f t="shared" si="61"/>
        <v>0.113843507377755</v>
      </c>
      <c r="F73" s="171">
        <f t="shared" si="61"/>
        <v>0.0185695106057502</v>
      </c>
      <c r="G73" s="171">
        <f t="shared" si="61"/>
        <v>0.0292814464052913</v>
      </c>
      <c r="H73" s="171">
        <f t="shared" si="61"/>
        <v>0.0291599541016734</v>
      </c>
      <c r="I73" s="9"/>
      <c r="J73" s="9"/>
      <c r="K73" s="9"/>
      <c r="L73" s="9"/>
      <c r="M73" s="9"/>
    </row>
    <row r="74" ht="14.25" customHeight="1">
      <c r="A74" s="177" t="s">
        <v>208</v>
      </c>
      <c r="B74" s="238">
        <f>Dividendos!H$4</f>
        <v>1.3638</v>
      </c>
      <c r="C74" s="238">
        <f>Dividendos!I$4</f>
        <v>1.6539</v>
      </c>
      <c r="D74" s="238">
        <f>Dividendos!J$4</f>
        <v>1.768</v>
      </c>
      <c r="E74" s="238">
        <f>Dividendos!K$4</f>
        <v>1.8266</v>
      </c>
      <c r="F74" s="180">
        <f t="shared" ref="F74:H74" si="62">E74+F75</f>
        <v>1.95525136250418</v>
      </c>
      <c r="G74" s="180">
        <f t="shared" si="62"/>
        <v>2.08390272500836</v>
      </c>
      <c r="H74" s="180">
        <f t="shared" si="62"/>
        <v>2.21255408751253</v>
      </c>
      <c r="I74" s="9"/>
      <c r="J74" s="9"/>
      <c r="K74" s="9"/>
      <c r="L74" s="9"/>
      <c r="M74" s="9"/>
    </row>
    <row r="75" ht="14.25" customHeight="1">
      <c r="A75" s="163" t="s">
        <v>161</v>
      </c>
      <c r="B75" s="171">
        <f>(B74/ Dividendos!G4)-1</f>
        <v>0.557560529922339</v>
      </c>
      <c r="C75" s="171">
        <f>(C74/ Dividendos!H4)-1</f>
        <v>0.212714474263088</v>
      </c>
      <c r="D75" s="171">
        <f>(D74/ Dividendos!I4)-1</f>
        <v>0.0689884515387871</v>
      </c>
      <c r="E75" s="171">
        <f>(E74/ Dividendos!J4)-1</f>
        <v>0.0331447963800904</v>
      </c>
      <c r="F75" s="174">
        <f>IFERROR((Dividendos!J4/Dividendos!B4)^(1/9)-1,"0")</f>
        <v>0.128651362504178</v>
      </c>
      <c r="G75" s="174">
        <f>IFERROR((Dividendos!J4/Dividendos!B4)^(1/9)-1,"0")</f>
        <v>0.128651362504178</v>
      </c>
      <c r="H75" s="174">
        <f>IFERROR((Dividendos!J4/Dividendos!B4)^(1/9)-1,"0")</f>
        <v>0.128651362504178</v>
      </c>
      <c r="I75" s="9"/>
      <c r="J75" s="9"/>
      <c r="K75" s="9"/>
      <c r="L75" s="9"/>
      <c r="M75" s="9"/>
    </row>
    <row r="76" ht="14.25" customHeight="1">
      <c r="A76" s="163" t="s">
        <v>218</v>
      </c>
      <c r="B76" s="171">
        <f t="shared" ref="B76:H76" si="63">B74/B72</f>
        <v>0.504897269604896</v>
      </c>
      <c r="C76" s="171">
        <f t="shared" si="63"/>
        <v>0.503815854316117</v>
      </c>
      <c r="D76" s="171">
        <f t="shared" si="63"/>
        <v>0.508022870137673</v>
      </c>
      <c r="E76" s="171">
        <f t="shared" si="63"/>
        <v>0.471216271629091</v>
      </c>
      <c r="F76" s="171">
        <f t="shared" si="63"/>
        <v>0.495209252593929</v>
      </c>
      <c r="G76" s="171">
        <f t="shared" si="63"/>
        <v>0.512778079606524</v>
      </c>
      <c r="H76" s="171">
        <f t="shared" si="63"/>
        <v>0.529008957958242</v>
      </c>
      <c r="I76" s="9"/>
      <c r="J76" s="9"/>
      <c r="K76" s="9"/>
      <c r="L76" s="9"/>
      <c r="M76" s="9"/>
    </row>
    <row r="77" ht="14.25" customHeight="1">
      <c r="A77" s="163"/>
      <c r="B77" s="163"/>
      <c r="C77" s="163"/>
      <c r="D77" s="163"/>
      <c r="E77" s="163"/>
      <c r="F77" s="163"/>
      <c r="G77" s="163"/>
      <c r="H77" s="163"/>
      <c r="I77" s="9"/>
      <c r="J77" s="9"/>
      <c r="K77" s="9"/>
      <c r="L77" s="9"/>
      <c r="M77" s="9"/>
    </row>
    <row r="78" ht="14.25" customHeight="1">
      <c r="A78" s="163"/>
      <c r="B78" s="163"/>
      <c r="C78" s="163"/>
      <c r="D78" s="163"/>
      <c r="E78" s="163"/>
      <c r="F78" s="163"/>
      <c r="G78" s="163"/>
      <c r="H78" s="163"/>
      <c r="I78" s="9"/>
      <c r="J78" s="9"/>
      <c r="K78" s="9"/>
      <c r="L78" s="9"/>
      <c r="M78" s="9"/>
    </row>
    <row r="79" ht="14.25" customHeight="1">
      <c r="A79" s="9"/>
      <c r="B79" s="9"/>
      <c r="C79" s="9"/>
      <c r="D79" s="9"/>
      <c r="E79" s="9"/>
      <c r="F79" s="9"/>
      <c r="G79" s="9"/>
      <c r="H79" s="9"/>
      <c r="I79" s="9"/>
      <c r="J79" s="9"/>
      <c r="K79" s="9"/>
      <c r="L79" s="9"/>
      <c r="M79" s="9"/>
    </row>
    <row r="80" ht="14.25" customHeight="1">
      <c r="A80" s="9"/>
      <c r="B80" s="9"/>
      <c r="C80" s="9"/>
      <c r="D80" s="9"/>
      <c r="E80" s="9"/>
      <c r="F80" s="9"/>
      <c r="G80" s="9"/>
      <c r="H80" s="9"/>
      <c r="I80" s="9"/>
      <c r="J80" s="9"/>
      <c r="K80" s="9"/>
      <c r="L80" s="9"/>
      <c r="M80" s="9"/>
    </row>
    <row r="81" ht="14.25" customHeight="1">
      <c r="A81" s="162" t="s">
        <v>18</v>
      </c>
      <c r="B81" s="162"/>
      <c r="C81" s="162"/>
      <c r="D81" s="162"/>
      <c r="E81" s="162"/>
      <c r="F81" s="162"/>
      <c r="G81" s="162"/>
      <c r="H81" s="162"/>
      <c r="I81" s="9"/>
      <c r="J81" s="9"/>
      <c r="K81" s="9"/>
      <c r="L81" s="9"/>
      <c r="M81" s="9"/>
    </row>
    <row r="82" ht="14.25" customHeight="1">
      <c r="A82" s="162" t="s">
        <v>153</v>
      </c>
      <c r="B82" s="162" t="str">
        <f>'Income Statement'!I$2</f>
        <v>Dec '23</v>
      </c>
      <c r="C82" s="162" t="str">
        <f>'Income Statement'!J$2</f>
        <v>Dec '24</v>
      </c>
      <c r="D82" s="162" t="str">
        <f>'Income Statement'!K$2</f>
        <v>Dec '25</v>
      </c>
      <c r="E82" s="162" t="s">
        <v>67</v>
      </c>
      <c r="F82" s="162" t="s">
        <v>68</v>
      </c>
      <c r="G82" s="162" t="s">
        <v>69</v>
      </c>
      <c r="H82" s="162" t="s">
        <v>156</v>
      </c>
      <c r="I82" s="9"/>
      <c r="J82" s="9"/>
      <c r="K82" s="9"/>
      <c r="L82" s="9"/>
      <c r="M82" s="9"/>
    </row>
    <row r="83" ht="14.25" customHeight="1">
      <c r="A83" s="163" t="s">
        <v>158</v>
      </c>
      <c r="B83" s="164">
        <f>'Income Statement'!$I$3</f>
        <v>33697.5</v>
      </c>
      <c r="C83" s="164">
        <f>'Income Statement'!$J$3</f>
        <v>42130.2</v>
      </c>
      <c r="D83" s="164">
        <f>'Income Statement'!$K$3</f>
        <v>46702.4</v>
      </c>
      <c r="E83" s="167">
        <f t="shared" ref="E83:H83" si="64">D83+(D83*E84)</f>
        <v>44273.8752</v>
      </c>
      <c r="F83" s="167">
        <f t="shared" si="64"/>
        <v>41971.6336896</v>
      </c>
      <c r="G83" s="167">
        <f t="shared" si="64"/>
        <v>39789.1087377408</v>
      </c>
      <c r="H83" s="167">
        <f t="shared" si="64"/>
        <v>37720.0750833783</v>
      </c>
      <c r="I83" s="9"/>
      <c r="J83" s="169" t="s">
        <v>160</v>
      </c>
      <c r="K83" s="9"/>
      <c r="L83" s="9"/>
      <c r="M83" s="9"/>
    </row>
    <row r="84" ht="14.25" customHeight="1">
      <c r="A84" s="163" t="s">
        <v>161</v>
      </c>
      <c r="B84" s="171">
        <f>('Income Statement'!$I$3-'Income Statement'!$H$3)/'Income Statement'!$H$3</f>
        <v>0.348396209805208</v>
      </c>
      <c r="C84" s="171">
        <f t="shared" ref="C84:D84" si="65">(C83-B83)/B83</f>
        <v>0.250247050968173</v>
      </c>
      <c r="D84" s="171">
        <f t="shared" si="65"/>
        <v>0.108525475786965</v>
      </c>
      <c r="E84" s="174">
        <f>'Valuation output'!C106</f>
        <v>-0.052</v>
      </c>
      <c r="F84" s="174">
        <f>'Valuation output'!D106</f>
        <v>-0.052</v>
      </c>
      <c r="G84" s="174">
        <f>'Valuation output'!E106</f>
        <v>-0.052</v>
      </c>
      <c r="H84" s="174">
        <f>'Valuation output'!F106</f>
        <v>-0.052</v>
      </c>
      <c r="I84" s="9"/>
      <c r="J84" s="176"/>
      <c r="K84" s="9"/>
      <c r="L84" s="9"/>
      <c r="M84" s="9"/>
    </row>
    <row r="85" ht="14.25" customHeight="1">
      <c r="A85" s="177" t="s">
        <v>162</v>
      </c>
      <c r="B85" s="180">
        <f>'Income Statement'!$I$12</f>
        <v>14881.9</v>
      </c>
      <c r="C85" s="180">
        <f>'Income Statement'!$J$12</f>
        <v>18618.8</v>
      </c>
      <c r="D85" s="180">
        <f>'Income Statement'!$K$12</f>
        <v>19290.3</v>
      </c>
      <c r="E85" s="180">
        <f t="shared" ref="E85:H85" si="66">E83*E87</f>
        <v>21029.5571372648</v>
      </c>
      <c r="F85" s="180">
        <f t="shared" si="66"/>
        <v>20355.9388375962</v>
      </c>
      <c r="G85" s="180">
        <f t="shared" si="66"/>
        <v>19496.4714683176</v>
      </c>
      <c r="H85" s="180">
        <f t="shared" si="66"/>
        <v>18671.3462468271</v>
      </c>
      <c r="I85" s="9"/>
      <c r="J85" s="9"/>
      <c r="K85" s="9"/>
      <c r="L85" s="9"/>
      <c r="M85" s="9"/>
    </row>
    <row r="86" ht="14.25" customHeight="1">
      <c r="A86" s="163" t="s">
        <v>161</v>
      </c>
      <c r="B86" s="171">
        <f>(B85-'Income Statement'!$H$12)/'Income Statement'!$H$12</f>
        <v>0.408590548125432</v>
      </c>
      <c r="C86" s="171">
        <f t="shared" ref="C86:H86" si="67">(C85-B85)/B85</f>
        <v>0.251103689717039</v>
      </c>
      <c r="D86" s="171">
        <f t="shared" si="67"/>
        <v>0.0360656970374031</v>
      </c>
      <c r="E86" s="171">
        <f t="shared" si="67"/>
        <v>0.0901622648307607</v>
      </c>
      <c r="F86" s="171">
        <f t="shared" si="67"/>
        <v>-0.0320319774340339</v>
      </c>
      <c r="G86" s="171">
        <f t="shared" si="67"/>
        <v>-0.0422219469283935</v>
      </c>
      <c r="H86" s="171">
        <f t="shared" si="67"/>
        <v>-0.0423217720617474</v>
      </c>
      <c r="I86" s="9"/>
      <c r="J86" s="9" t="s">
        <v>164</v>
      </c>
      <c r="K86" s="9"/>
      <c r="L86" s="9"/>
      <c r="M86" s="9"/>
    </row>
    <row r="87" ht="14.25" customHeight="1">
      <c r="A87" s="163" t="s">
        <v>165</v>
      </c>
      <c r="B87" s="171">
        <f t="shared" ref="B87:D87" si="68">B85/B83</f>
        <v>0.441632168558498</v>
      </c>
      <c r="C87" s="171">
        <f t="shared" si="68"/>
        <v>0.441934764135941</v>
      </c>
      <c r="D87" s="171">
        <f t="shared" si="68"/>
        <v>0.41304729521395</v>
      </c>
      <c r="E87" s="174">
        <f>IFERROR(IF(J87&lt;&gt;"",J87,'Valuation output'!C108),"")</f>
        <v>0.474987948135717</v>
      </c>
      <c r="F87" s="174">
        <f>IFERROR(IF(K87&lt;&gt;"",K87,'Valuation output'!D108),"")</f>
        <v>0.48499276888143</v>
      </c>
      <c r="G87" s="174">
        <f>IFERROR(IF(L87&lt;&gt;"",L87,'Valuation output'!E108),"")</f>
        <v>0.489995179254287</v>
      </c>
      <c r="H87" s="174">
        <f>IFERROR(IF(M87&lt;&gt;"",M87,'Valuation output'!F108),"")</f>
        <v>0.494997589627143</v>
      </c>
      <c r="I87" s="9"/>
      <c r="J87" s="188"/>
      <c r="K87" s="9"/>
      <c r="L87" s="9"/>
      <c r="M87" s="9"/>
    </row>
    <row r="88" ht="14.25" customHeight="1">
      <c r="A88" s="163" t="s">
        <v>166</v>
      </c>
      <c r="B88" s="171">
        <f>((B85- 'Income Statement'!$H$12) / (B83 -  'Income Statement'!$H$3))</f>
        <v>0.495802083452973</v>
      </c>
      <c r="C88" s="171">
        <f t="shared" ref="C88:H88" si="69">((C85-B85) / (C83 - B83))</f>
        <v>0.443143951522051</v>
      </c>
      <c r="D88" s="171">
        <f t="shared" si="69"/>
        <v>0.146865841389265</v>
      </c>
      <c r="E88" s="171">
        <f t="shared" si="69"/>
        <v>-0.716178454205954</v>
      </c>
      <c r="F88" s="171">
        <f t="shared" si="69"/>
        <v>0.29259236992541</v>
      </c>
      <c r="G88" s="171">
        <f t="shared" si="69"/>
        <v>0.393794979776276</v>
      </c>
      <c r="H88" s="171">
        <f t="shared" si="69"/>
        <v>0.398797390149134</v>
      </c>
      <c r="I88" s="9"/>
      <c r="J88" s="9"/>
      <c r="K88" s="9"/>
      <c r="L88" s="9"/>
      <c r="M88" s="9"/>
    </row>
    <row r="89" ht="14.25" customHeight="1">
      <c r="A89" s="163" t="s">
        <v>167</v>
      </c>
      <c r="B89" s="190">
        <f>'Income Statement'!I$18</f>
        <v>304.7</v>
      </c>
      <c r="C89" s="190">
        <f>'Income Statement'!J$18</f>
        <v>-166.5</v>
      </c>
      <c r="D89" s="190">
        <f>'Income Statement'!K$18</f>
        <v>435.5</v>
      </c>
      <c r="E89" s="167">
        <f t="shared" ref="E89:H89" si="70">E85*E90</f>
        <v>239.09257343697</v>
      </c>
      <c r="F89" s="167">
        <f t="shared" si="70"/>
        <v>231.433965519992</v>
      </c>
      <c r="G89" s="167">
        <f t="shared" si="70"/>
        <v>221.662372910379</v>
      </c>
      <c r="H89" s="167">
        <f t="shared" si="70"/>
        <v>212.2812284894</v>
      </c>
      <c r="I89" s="9"/>
      <c r="J89" s="9"/>
      <c r="K89" s="9"/>
      <c r="L89" s="9"/>
      <c r="M89" s="9"/>
    </row>
    <row r="90" ht="14.25" customHeight="1">
      <c r="A90" s="163" t="s">
        <v>168</v>
      </c>
      <c r="B90" s="171">
        <f t="shared" ref="B90:D90" si="71">B89/B85</f>
        <v>0.020474536181536</v>
      </c>
      <c r="C90" s="171">
        <f t="shared" si="71"/>
        <v>-0.00894257417234193</v>
      </c>
      <c r="D90" s="171">
        <f t="shared" si="71"/>
        <v>0.0225761133834103</v>
      </c>
      <c r="E90" s="174">
        <f>AVERAGE(B90:D90)</f>
        <v>0.0113693584642014</v>
      </c>
      <c r="F90" s="174">
        <f t="shared" ref="F90:H90" si="72">E90</f>
        <v>0.0113693584642014</v>
      </c>
      <c r="G90" s="174">
        <f t="shared" si="72"/>
        <v>0.0113693584642014</v>
      </c>
      <c r="H90" s="174">
        <f t="shared" si="72"/>
        <v>0.0113693584642014</v>
      </c>
      <c r="I90" s="9"/>
      <c r="J90" s="9"/>
      <c r="K90" s="9"/>
      <c r="L90" s="9"/>
      <c r="M90" s="9"/>
    </row>
    <row r="91" ht="14.25" customHeight="1">
      <c r="A91" s="177" t="s">
        <v>169</v>
      </c>
      <c r="B91" s="180">
        <f t="shared" ref="B91:H91" si="73">B85+B89</f>
        <v>15186.6</v>
      </c>
      <c r="C91" s="180">
        <f t="shared" si="73"/>
        <v>18452.3</v>
      </c>
      <c r="D91" s="180">
        <f t="shared" si="73"/>
        <v>19725.8</v>
      </c>
      <c r="E91" s="180">
        <f t="shared" si="73"/>
        <v>21268.6497107018</v>
      </c>
      <c r="F91" s="180">
        <f t="shared" si="73"/>
        <v>20587.3728031162</v>
      </c>
      <c r="G91" s="180">
        <f t="shared" si="73"/>
        <v>19718.133841228</v>
      </c>
      <c r="H91" s="180">
        <f t="shared" si="73"/>
        <v>18883.6274753165</v>
      </c>
      <c r="I91" s="9"/>
      <c r="J91" s="9"/>
      <c r="K91" s="9"/>
      <c r="L91" s="9"/>
      <c r="M91" s="9"/>
    </row>
    <row r="92" ht="14.25" customHeight="1">
      <c r="A92" s="163" t="s">
        <v>170</v>
      </c>
      <c r="B92" s="190">
        <f>'Income Statement'!I$20</f>
        <v>3045.5</v>
      </c>
      <c r="C92" s="190">
        <f>'Income Statement'!J$20</f>
        <v>3801.4</v>
      </c>
      <c r="D92" s="190">
        <f>'Income Statement'!K$20</f>
        <v>4247.1</v>
      </c>
      <c r="E92" s="167">
        <f t="shared" ref="E92:H92" si="74">E91*E93</f>
        <v>4264.36426699571</v>
      </c>
      <c r="F92" s="167">
        <f t="shared" si="74"/>
        <v>4127.7682470248</v>
      </c>
      <c r="G92" s="167">
        <f t="shared" si="74"/>
        <v>3953.48583516621</v>
      </c>
      <c r="H92" s="167">
        <f t="shared" si="74"/>
        <v>3786.16730880096</v>
      </c>
      <c r="I92" s="9"/>
      <c r="J92" s="9" t="s">
        <v>171</v>
      </c>
      <c r="K92" s="9"/>
      <c r="L92" s="9"/>
      <c r="M92" s="9"/>
    </row>
    <row r="93" ht="14.25" customHeight="1">
      <c r="A93" s="163" t="s">
        <v>172</v>
      </c>
      <c r="B93" s="171">
        <f t="shared" ref="B93:D93" si="75">B92/B91</f>
        <v>0.200538632742023</v>
      </c>
      <c r="C93" s="171">
        <f t="shared" si="75"/>
        <v>0.206012258634425</v>
      </c>
      <c r="D93" s="171">
        <f t="shared" si="75"/>
        <v>0.215306857009602</v>
      </c>
      <c r="E93" s="171">
        <f>IFERROR(IF(J93&lt;&gt;"",J93,'Valuation output'!C110),"")</f>
        <v>0.2005</v>
      </c>
      <c r="F93" s="171">
        <f>IFERROR(IF(K93&lt;&gt;"",K93,'Valuation output'!D110),"")</f>
        <v>0.2005</v>
      </c>
      <c r="G93" s="171">
        <f>IFERROR(IF(L93&lt;&gt;"",L93,'Valuation output'!E110),"")</f>
        <v>0.2005</v>
      </c>
      <c r="H93" s="171">
        <f>IFERROR(IF(M93&lt;&gt;"",M93,'Valuation output'!F110),"")</f>
        <v>0.2005</v>
      </c>
      <c r="I93" s="9"/>
      <c r="J93" s="188"/>
      <c r="K93" s="9"/>
      <c r="L93" s="9"/>
      <c r="M93" s="9"/>
    </row>
    <row r="94" ht="14.25" customHeight="1">
      <c r="A94" s="177" t="s">
        <v>173</v>
      </c>
      <c r="B94" s="180">
        <f t="shared" ref="B94:H94" si="76">B91-B92</f>
        <v>12141.1</v>
      </c>
      <c r="C94" s="180">
        <f t="shared" si="76"/>
        <v>14650.9</v>
      </c>
      <c r="D94" s="180">
        <f t="shared" si="76"/>
        <v>15478.7</v>
      </c>
      <c r="E94" s="180">
        <f t="shared" si="76"/>
        <v>17004.2854437061</v>
      </c>
      <c r="F94" s="180">
        <f t="shared" si="76"/>
        <v>16459.6045560914</v>
      </c>
      <c r="G94" s="180">
        <f t="shared" si="76"/>
        <v>15764.6480060618</v>
      </c>
      <c r="H94" s="180">
        <f t="shared" si="76"/>
        <v>15097.4601665156</v>
      </c>
      <c r="I94" s="9"/>
      <c r="J94" s="9"/>
      <c r="K94" s="9"/>
      <c r="L94" s="9"/>
      <c r="M94" s="9"/>
    </row>
    <row r="95" ht="14.25" customHeight="1">
      <c r="A95" s="163" t="s">
        <v>161</v>
      </c>
      <c r="B95" s="171">
        <f>(B94/'Income Statement'!$H$21)-1</f>
        <v>0.548273971205223</v>
      </c>
      <c r="C95" s="171">
        <f t="shared" ref="C95:H95" si="77">(C94/B94)-1</f>
        <v>0.206719325267068</v>
      </c>
      <c r="D95" s="171">
        <f t="shared" si="77"/>
        <v>0.0565016483628991</v>
      </c>
      <c r="E95" s="171">
        <f t="shared" si="77"/>
        <v>0.0985603082756357</v>
      </c>
      <c r="F95" s="171">
        <f t="shared" si="77"/>
        <v>-0.0320319774340339</v>
      </c>
      <c r="G95" s="171">
        <f t="shared" si="77"/>
        <v>-0.0422219469283935</v>
      </c>
      <c r="H95" s="171">
        <f t="shared" si="77"/>
        <v>-0.0423217720617474</v>
      </c>
      <c r="I95" s="9"/>
      <c r="J95" s="9"/>
      <c r="K95" s="9"/>
      <c r="L95" s="9"/>
      <c r="M95" s="9"/>
    </row>
    <row r="96" ht="14.25" customHeight="1">
      <c r="A96" s="163" t="s">
        <v>165</v>
      </c>
      <c r="B96" s="171">
        <f t="shared" ref="B96:H96" si="78">B94/B83</f>
        <v>0.360296757919727</v>
      </c>
      <c r="C96" s="171">
        <f t="shared" si="78"/>
        <v>0.347752918334117</v>
      </c>
      <c r="D96" s="171">
        <f t="shared" si="78"/>
        <v>0.331432645859742</v>
      </c>
      <c r="E96" s="171">
        <f t="shared" si="78"/>
        <v>0.384070410979206</v>
      </c>
      <c r="F96" s="171">
        <f t="shared" si="78"/>
        <v>0.392160207005949</v>
      </c>
      <c r="G96" s="171">
        <f t="shared" si="78"/>
        <v>0.396205105019321</v>
      </c>
      <c r="H96" s="171">
        <f t="shared" si="78"/>
        <v>0.400250003032693</v>
      </c>
      <c r="I96" s="9"/>
      <c r="J96" s="9"/>
      <c r="K96" s="9"/>
      <c r="L96" s="9"/>
      <c r="M96" s="9"/>
    </row>
    <row r="97" ht="14.25" customHeight="1">
      <c r="A97" s="177" t="s">
        <v>147</v>
      </c>
      <c r="B97" s="194">
        <f>B85+'Cash Flow Statement'!$I$4</f>
        <v>16247.6</v>
      </c>
      <c r="C97" s="194">
        <f>C85+'Cash Flow Statement'!$J$4</f>
        <v>21390.7</v>
      </c>
      <c r="D97" s="194">
        <f>D85+'Cash Flow Statement'!$K$4</f>
        <v>22612.0</v>
      </c>
      <c r="E97" s="194">
        <f t="shared" ref="E97:H97" si="79">E85+E99</f>
        <v>23648.3083344672</v>
      </c>
      <c r="F97" s="194">
        <f t="shared" si="79"/>
        <v>23099.0283556093</v>
      </c>
      <c r="G97" s="194">
        <f t="shared" si="79"/>
        <v>22091.1129389221</v>
      </c>
      <c r="H97" s="194">
        <f t="shared" si="79"/>
        <v>21056.6951598643</v>
      </c>
      <c r="I97" s="9"/>
      <c r="J97" s="9" t="s">
        <v>174</v>
      </c>
      <c r="K97" s="9"/>
      <c r="L97" s="9"/>
      <c r="M97" s="9"/>
    </row>
    <row r="98" ht="14.25" customHeight="1">
      <c r="A98" s="163" t="s">
        <v>165</v>
      </c>
      <c r="B98" s="171">
        <f t="shared" ref="B98:H98" si="80">B97/B83</f>
        <v>0.482160397655612</v>
      </c>
      <c r="C98" s="171">
        <f t="shared" si="80"/>
        <v>0.507728422841572</v>
      </c>
      <c r="D98" s="171">
        <f t="shared" si="80"/>
        <v>0.484172119634109</v>
      </c>
      <c r="E98" s="195">
        <f t="shared" si="80"/>
        <v>0.534136852210019</v>
      </c>
      <c r="F98" s="195">
        <f t="shared" si="80"/>
        <v>0.550348564614794</v>
      </c>
      <c r="G98" s="195">
        <f t="shared" si="80"/>
        <v>0.555205020663561</v>
      </c>
      <c r="H98" s="195">
        <f t="shared" si="80"/>
        <v>0.55823577003279</v>
      </c>
      <c r="I98" s="9"/>
      <c r="J98" s="276"/>
      <c r="K98" s="9"/>
      <c r="L98" s="9"/>
      <c r="M98" s="9"/>
    </row>
    <row r="99" ht="14.25" customHeight="1">
      <c r="A99" s="163" t="s">
        <v>175</v>
      </c>
      <c r="B99" s="196">
        <f t="shared" ref="B99:D99" si="81">B97-B85</f>
        <v>1365.7</v>
      </c>
      <c r="C99" s="196">
        <f t="shared" si="81"/>
        <v>2771.9</v>
      </c>
      <c r="D99" s="196">
        <f t="shared" si="81"/>
        <v>3321.7</v>
      </c>
      <c r="E99" s="197">
        <f t="shared" ref="E99:H99" si="82">AVERAGE((B99/B83),(C99/C83),(D99/D83))*E83</f>
        <v>2618.75119720239</v>
      </c>
      <c r="F99" s="197">
        <f t="shared" si="82"/>
        <v>2743.08951801307</v>
      </c>
      <c r="G99" s="197">
        <f t="shared" si="82"/>
        <v>2594.64147060445</v>
      </c>
      <c r="H99" s="197">
        <f t="shared" si="82"/>
        <v>2385.34891303721</v>
      </c>
      <c r="I99" s="9"/>
      <c r="J99" s="9"/>
      <c r="K99" s="9"/>
      <c r="L99" s="9"/>
      <c r="M99" s="9"/>
    </row>
    <row r="100" ht="14.25" customHeight="1">
      <c r="A100" s="163" t="s">
        <v>176</v>
      </c>
      <c r="B100" s="198">
        <f>'Cash Flow Statement'!I$15</f>
        <v>-3744.1</v>
      </c>
      <c r="C100" s="198">
        <f>'Cash Flow Statement'!J$15</f>
        <v>-6842.3</v>
      </c>
      <c r="D100" s="198">
        <f>'Cash Flow Statement'!K$15</f>
        <v>-9087.7</v>
      </c>
      <c r="E100" s="198">
        <f>AVERAGE((B100/B83),(C100/C83),(D100/D83))*E83</f>
        <v>-6908.27413931611</v>
      </c>
      <c r="F100" s="198">
        <f>AVERAGE((B100/B83),(C100/C83),(D100/D83))*F83</f>
        <v>-6549.04388407167</v>
      </c>
      <c r="G100" s="198">
        <f>AVERAGE((B100/B83),(C100/C83),(D100/D83))*G83</f>
        <v>-6208.49360209994</v>
      </c>
      <c r="H100" s="198">
        <f>AVERAGE((B100/B83),(C100/C83),(D100/D83))*H83</f>
        <v>-5885.65193479075</v>
      </c>
      <c r="I100" s="9"/>
      <c r="J100" s="9"/>
      <c r="K100" s="9"/>
      <c r="L100" s="9"/>
      <c r="M100" s="9"/>
    </row>
    <row r="101" ht="14.25" customHeight="1">
      <c r="A101" s="163" t="s">
        <v>177</v>
      </c>
      <c r="B101" s="198">
        <f>(('Balance Sheet'!$I$10-'Balance Sheet'!$I$5) - ('Balance Sheet'!$I$24-'Balance Sheet'!$I$20-'Balance Sheet'!$I$21))-(('Balance Sheet'!$H$10-'Balance Sheet'!$H$5) - ('Balance Sheet'!$H$24-'Balance Sheet'!$H$20-'Balance Sheet'!$H$21))</f>
        <v>-2971.7</v>
      </c>
      <c r="C101" s="198">
        <f>(('Balance Sheet'!$J$10-'Balance Sheet'!$J$5) - ('Balance Sheet'!$J$24-'Balance Sheet'!$J$20-'Balance Sheet'!$J$21))-(('Balance Sheet'!$I$10-'Balance Sheet'!$I$5) - ('Balance Sheet'!$I$24-'Balance Sheet'!$I$20-'Balance Sheet'!$I$21))</f>
        <v>-1644.1</v>
      </c>
      <c r="D101" s="198">
        <f>(('Balance Sheet'!$K$10-'Balance Sheet'!$K$5) - ('Balance Sheet'!$K$24-'Balance Sheet'!$K$20-'Balance Sheet'!$K$21))-(('Balance Sheet'!$J$10-'Balance Sheet'!$J$5) - ('Balance Sheet'!$J$24-'Balance Sheet'!$J$20-'Balance Sheet'!$J$21))</f>
        <v>466.299999999999</v>
      </c>
      <c r="E101" s="198">
        <f>AVERAGE(B101/(B83-'Income Statement'!H82),C101/(C83-$B83), D101/(D83-C83))*(E83-D83)</f>
        <v>146.657679393741</v>
      </c>
      <c r="F101" s="198">
        <f>AVERAGE(B101/(B83-'Income Statement'!H82),C101/(C83-$B83), D101/(D83-C83))*(F83-E83)</f>
        <v>139.031480065267</v>
      </c>
      <c r="G101" s="198">
        <f>AVERAGE(B101/(B83-'Income Statement'!H82),C101/(C83-$B83), D101/(D83-C83))*(G83-F83)</f>
        <v>131.801843101873</v>
      </c>
      <c r="H101" s="198">
        <f>AVERAGE(B101/(B83-'Income Statement'!H82),C101/(C83-$B83), D101/(D83-C83))*(H83-G83)</f>
        <v>124.948147260576</v>
      </c>
      <c r="I101" s="9"/>
      <c r="J101" s="9"/>
      <c r="K101" s="9"/>
      <c r="L101" s="9"/>
      <c r="M101" s="9"/>
    </row>
    <row r="102" ht="14.25" customHeight="1">
      <c r="A102" s="163" t="s">
        <v>178</v>
      </c>
      <c r="B102" s="199">
        <f t="shared" ref="B102:H102" si="83">-B89*(1-B93)</f>
        <v>-243.595878603506</v>
      </c>
      <c r="C102" s="199">
        <f t="shared" si="83"/>
        <v>132.198958937368</v>
      </c>
      <c r="D102" s="199">
        <f t="shared" si="83"/>
        <v>-341.733863772318</v>
      </c>
      <c r="E102" s="198">
        <f t="shared" si="83"/>
        <v>-191.154512462857</v>
      </c>
      <c r="F102" s="198">
        <f t="shared" si="83"/>
        <v>-185.031455433233</v>
      </c>
      <c r="G102" s="198">
        <f t="shared" si="83"/>
        <v>-177.219067141848</v>
      </c>
      <c r="H102" s="198">
        <f t="shared" si="83"/>
        <v>-169.718842177275</v>
      </c>
      <c r="I102" s="9"/>
      <c r="J102" s="9"/>
      <c r="K102" s="9"/>
      <c r="L102" s="9"/>
      <c r="M102" s="9"/>
    </row>
    <row r="103" ht="14.25" customHeight="1">
      <c r="A103" s="200" t="s">
        <v>81</v>
      </c>
      <c r="B103" s="201">
        <f t="shared" ref="B103:H103" si="84">(B85*(1-B93))+B99+B100-B101</f>
        <v>12490.8041213965</v>
      </c>
      <c r="C103" s="201">
        <f t="shared" si="84"/>
        <v>12356.7989589374</v>
      </c>
      <c r="D103" s="201">
        <f t="shared" si="84"/>
        <v>8904.66613622768</v>
      </c>
      <c r="E103" s="201">
        <f t="shared" si="84"/>
        <v>12376.9503097358</v>
      </c>
      <c r="F103" s="201">
        <f t="shared" si="84"/>
        <v>12329.5872545343</v>
      </c>
      <c r="G103" s="201">
        <f t="shared" si="84"/>
        <v>11841.7749643226</v>
      </c>
      <c r="H103" s="201">
        <f t="shared" si="84"/>
        <v>11302.4901553242</v>
      </c>
      <c r="I103" s="9"/>
      <c r="J103" s="9"/>
      <c r="K103" s="9"/>
      <c r="L103" s="9"/>
      <c r="M103" s="9"/>
    </row>
    <row r="104" ht="14.25" customHeight="1">
      <c r="A104" s="163" t="s">
        <v>179</v>
      </c>
      <c r="B104" s="202">
        <f t="shared" ref="B104:H104" si="85">B103/B110</f>
        <v>2.77894547508154</v>
      </c>
      <c r="C104" s="202">
        <f t="shared" si="85"/>
        <v>2.76872035826515</v>
      </c>
      <c r="D104" s="202">
        <f t="shared" si="85"/>
        <v>2.00208335459399</v>
      </c>
      <c r="E104" s="203">
        <f t="shared" si="85"/>
        <v>2.78622086122547</v>
      </c>
      <c r="F104" s="203">
        <f t="shared" si="85"/>
        <v>2.79021162677391</v>
      </c>
      <c r="G104" s="203">
        <f t="shared" si="85"/>
        <v>2.69396607799898</v>
      </c>
      <c r="H104" s="203">
        <f t="shared" si="85"/>
        <v>2.58485490552342</v>
      </c>
      <c r="I104" s="9"/>
      <c r="J104" s="9"/>
      <c r="K104" s="9"/>
      <c r="L104" s="9"/>
      <c r="M104" s="9"/>
    </row>
    <row r="105" ht="14.25" customHeight="1">
      <c r="A105" s="200" t="s">
        <v>80</v>
      </c>
      <c r="B105" s="201">
        <f t="shared" ref="B105:H105" si="86">B94+B99-B101</f>
        <v>16478.5</v>
      </c>
      <c r="C105" s="201">
        <f t="shared" si="86"/>
        <v>19066.9</v>
      </c>
      <c r="D105" s="201">
        <f t="shared" si="86"/>
        <v>18334.1</v>
      </c>
      <c r="E105" s="204">
        <f t="shared" si="86"/>
        <v>19476.3789615147</v>
      </c>
      <c r="F105" s="204">
        <f t="shared" si="86"/>
        <v>19063.6625940392</v>
      </c>
      <c r="G105" s="204">
        <f t="shared" si="86"/>
        <v>18227.4876335644</v>
      </c>
      <c r="H105" s="204">
        <f t="shared" si="86"/>
        <v>17357.8609322922</v>
      </c>
      <c r="I105" s="9"/>
      <c r="J105" s="9"/>
      <c r="K105" s="9"/>
      <c r="L105" s="9"/>
      <c r="M105" s="9"/>
    </row>
    <row r="106" ht="14.25" customHeight="1">
      <c r="A106" s="163" t="s">
        <v>180</v>
      </c>
      <c r="B106" s="202">
        <f t="shared" ref="B106:H106" si="87">B105/B110</f>
        <v>3.66612530034707</v>
      </c>
      <c r="C106" s="202">
        <f t="shared" si="87"/>
        <v>4.27221599820748</v>
      </c>
      <c r="D106" s="202">
        <f t="shared" si="87"/>
        <v>4.12215302291072</v>
      </c>
      <c r="E106" s="203">
        <f t="shared" si="87"/>
        <v>4.38439938803177</v>
      </c>
      <c r="F106" s="203">
        <f t="shared" si="87"/>
        <v>4.31414709354698</v>
      </c>
      <c r="G106" s="203">
        <f t="shared" si="87"/>
        <v>4.14669536618554</v>
      </c>
      <c r="H106" s="203">
        <f t="shared" si="87"/>
        <v>3.96970502638248</v>
      </c>
      <c r="I106" s="9"/>
      <c r="J106" s="9"/>
      <c r="K106" s="9"/>
      <c r="L106" s="9"/>
      <c r="M106" s="9"/>
    </row>
    <row r="107" ht="14.25" customHeight="1">
      <c r="A107" s="163" t="s">
        <v>182</v>
      </c>
      <c r="B107" s="199">
        <f>'Cash Flow Statement'!I$25 + 'Cash Flow Statement'!I$28</f>
        <v>-212.8</v>
      </c>
      <c r="C107" s="199">
        <f>'Cash Flow Statement'!J$25 + 'Cash Flow Statement'!J$28</f>
        <v>10598.6</v>
      </c>
      <c r="D107" s="199">
        <f>'Cash Flow Statement'!K$25 + 'Cash Flow Statement'!K$28</f>
        <v>3738.9</v>
      </c>
      <c r="E107" s="198">
        <f>AVERAGE((B107/B83),(C107/C83),(D107/D83))*E83</f>
        <v>4800.92228881773</v>
      </c>
      <c r="F107" s="198">
        <f>AVERAGE((B107/B83),(C107/C83),(D107/D83))*F83</f>
        <v>4551.2743297992</v>
      </c>
      <c r="G107" s="198">
        <f>AVERAGE((B107/B83),(C107/C83),(D107/D83))*G83</f>
        <v>4314.60806464965</v>
      </c>
      <c r="H107" s="198">
        <f>AVERAGE((B107/B83),(C107/C83),(D107/D83))*H83</f>
        <v>4090.24844528786</v>
      </c>
      <c r="I107" s="9"/>
      <c r="J107" s="9"/>
      <c r="K107" s="9"/>
      <c r="L107" s="9"/>
      <c r="M107" s="9"/>
    </row>
    <row r="108" ht="14.25" customHeight="1">
      <c r="A108" s="200" t="s">
        <v>145</v>
      </c>
      <c r="B108" s="201">
        <f t="shared" ref="B108:H108" si="88">B94+B99+B100-B101+B107</f>
        <v>12521.6</v>
      </c>
      <c r="C108" s="201">
        <f t="shared" si="88"/>
        <v>22823.2</v>
      </c>
      <c r="D108" s="201">
        <f t="shared" si="88"/>
        <v>12985.3</v>
      </c>
      <c r="E108" s="204">
        <f t="shared" si="88"/>
        <v>17369.0271110163</v>
      </c>
      <c r="F108" s="204">
        <f t="shared" si="88"/>
        <v>17065.8930397668</v>
      </c>
      <c r="G108" s="204">
        <f t="shared" si="88"/>
        <v>16333.6020961141</v>
      </c>
      <c r="H108" s="204">
        <f t="shared" si="88"/>
        <v>15562.4574427893</v>
      </c>
      <c r="I108" s="9"/>
      <c r="J108" s="9"/>
      <c r="K108" s="9"/>
      <c r="L108" s="9"/>
      <c r="M108" s="9"/>
    </row>
    <row r="109" ht="14.25" customHeight="1">
      <c r="A109" s="163" t="s">
        <v>197</v>
      </c>
      <c r="B109" s="202">
        <f t="shared" ref="B109:H109" si="89">B108/B110</f>
        <v>2.78579692088636</v>
      </c>
      <c r="C109" s="202">
        <f t="shared" si="89"/>
        <v>5.1138695944432</v>
      </c>
      <c r="D109" s="202">
        <f t="shared" si="89"/>
        <v>2.91955392674866</v>
      </c>
      <c r="E109" s="203">
        <f t="shared" si="89"/>
        <v>3.91000565283336</v>
      </c>
      <c r="F109" s="203">
        <f t="shared" si="89"/>
        <v>3.86204762558661</v>
      </c>
      <c r="G109" s="203">
        <f t="shared" si="89"/>
        <v>3.71584244009332</v>
      </c>
      <c r="H109" s="203">
        <f t="shared" si="89"/>
        <v>3.55910015493747</v>
      </c>
      <c r="I109" s="9"/>
      <c r="J109" s="9"/>
      <c r="K109" s="9"/>
      <c r="L109" s="9"/>
      <c r="M109" s="9"/>
    </row>
    <row r="110" ht="14.25" customHeight="1">
      <c r="A110" s="163" t="s">
        <v>202</v>
      </c>
      <c r="B110" s="167">
        <f>'Income Statement'!$I$26</f>
        <v>4494.8</v>
      </c>
      <c r="C110" s="167">
        <f>'Income Statement'!$J$26</f>
        <v>4463.0</v>
      </c>
      <c r="D110" s="167">
        <f>'Income Statement'!$K$26</f>
        <v>4447.7</v>
      </c>
      <c r="E110" s="167">
        <f>'Income Statement'!L26</f>
        <v>4442.2</v>
      </c>
      <c r="F110" s="167">
        <f t="shared" ref="F110:H110" si="90">E110+(E110*F111)</f>
        <v>4418.87172149375</v>
      </c>
      <c r="G110" s="167">
        <f t="shared" si="90"/>
        <v>4395.66595178451</v>
      </c>
      <c r="H110" s="167">
        <f t="shared" si="90"/>
        <v>4372.58204751553</v>
      </c>
      <c r="I110" s="9"/>
      <c r="J110" s="9"/>
      <c r="K110" s="9"/>
      <c r="L110" s="9"/>
      <c r="M110" s="9"/>
    </row>
    <row r="111" ht="14.25" customHeight="1">
      <c r="A111" s="163" t="s">
        <v>161</v>
      </c>
      <c r="B111" s="171">
        <f>(B110/'Income Statement'!$H$26)-1</f>
        <v>-0.0109580601153018</v>
      </c>
      <c r="C111" s="171">
        <f t="shared" ref="C111:D111" si="91">(C110/B110)-1</f>
        <v>-0.00707484203969033</v>
      </c>
      <c r="D111" s="171">
        <f t="shared" si="91"/>
        <v>-0.00342818731794758</v>
      </c>
      <c r="E111" s="174">
        <f>(E110/ 'Income Statement'!K26)-1</f>
        <v>-0.00123659419475231</v>
      </c>
      <c r="F111" s="174">
        <f>MEDIAN(B111:E111)</f>
        <v>-0.00525151467881896</v>
      </c>
      <c r="G111" s="174">
        <f>MEDIAN(B111:E111)</f>
        <v>-0.00525151467881896</v>
      </c>
      <c r="H111" s="174">
        <f>MEDIAN(B111:E111)</f>
        <v>-0.00525151467881896</v>
      </c>
      <c r="I111" s="9"/>
      <c r="J111" s="9"/>
      <c r="K111" s="9"/>
      <c r="L111" s="9"/>
      <c r="M111" s="9"/>
    </row>
    <row r="112" ht="14.25" customHeight="1">
      <c r="A112" s="177" t="s">
        <v>204</v>
      </c>
      <c r="B112" s="180">
        <f t="shared" ref="B112:H112" si="92">B94/B110</f>
        <v>2.70114354365044</v>
      </c>
      <c r="C112" s="180">
        <f t="shared" si="92"/>
        <v>3.28274703114497</v>
      </c>
      <c r="D112" s="180">
        <f t="shared" si="92"/>
        <v>3.48015828405693</v>
      </c>
      <c r="E112" s="180">
        <f t="shared" si="92"/>
        <v>3.82789731297692</v>
      </c>
      <c r="F112" s="180">
        <f t="shared" si="92"/>
        <v>3.72484326169293</v>
      </c>
      <c r="G112" s="180">
        <f t="shared" si="92"/>
        <v>3.58640719722157</v>
      </c>
      <c r="H112" s="180">
        <f t="shared" si="92"/>
        <v>3.45275628963757</v>
      </c>
      <c r="I112" s="9"/>
      <c r="J112" s="9"/>
      <c r="K112" s="9"/>
      <c r="L112" s="9"/>
      <c r="M112" s="9"/>
    </row>
    <row r="113" ht="14.25" customHeight="1">
      <c r="A113" s="163" t="s">
        <v>161</v>
      </c>
      <c r="B113" s="171">
        <f>(B112/'Income Statement'!$H$24)-1</f>
        <v>0.564973084386119</v>
      </c>
      <c r="C113" s="171">
        <f t="shared" ref="C113:H113" si="93">(C112/B112)-1</f>
        <v>0.21531750464047</v>
      </c>
      <c r="D113" s="171">
        <f t="shared" si="93"/>
        <v>0.0601359931298466</v>
      </c>
      <c r="E113" s="171">
        <f t="shared" si="93"/>
        <v>0.0999204635355331</v>
      </c>
      <c r="F113" s="171">
        <f t="shared" si="93"/>
        <v>-0.0269218432100133</v>
      </c>
      <c r="G113" s="171">
        <f t="shared" si="93"/>
        <v>-0.0371656079854574</v>
      </c>
      <c r="H113" s="171">
        <f t="shared" si="93"/>
        <v>-0.0372659601195162</v>
      </c>
      <c r="I113" s="9"/>
      <c r="J113" s="9"/>
      <c r="K113" s="9"/>
      <c r="L113" s="9"/>
      <c r="M113" s="9"/>
    </row>
    <row r="114" ht="14.25" customHeight="1">
      <c r="A114" s="177" t="s">
        <v>208</v>
      </c>
      <c r="B114" s="238">
        <f>Dividendos!H$4</f>
        <v>1.3638</v>
      </c>
      <c r="C114" s="238">
        <f>Dividendos!I$4</f>
        <v>1.6539</v>
      </c>
      <c r="D114" s="238">
        <f>Dividendos!J$4</f>
        <v>1.768</v>
      </c>
      <c r="E114" s="238">
        <f>Dividendos!K$4</f>
        <v>1.8266</v>
      </c>
      <c r="F114" s="180">
        <f t="shared" ref="F114:H114" si="94">E114+F115</f>
        <v>1.95525136250418</v>
      </c>
      <c r="G114" s="180">
        <f t="shared" si="94"/>
        <v>2.08390272500836</v>
      </c>
      <c r="H114" s="180">
        <f t="shared" si="94"/>
        <v>2.21255408751253</v>
      </c>
      <c r="I114" s="9"/>
      <c r="J114" s="9"/>
      <c r="K114" s="9"/>
      <c r="L114" s="9"/>
      <c r="M114" s="9"/>
    </row>
    <row r="115" ht="14.25" customHeight="1">
      <c r="A115" s="163" t="s">
        <v>161</v>
      </c>
      <c r="B115" s="171">
        <f>(B114/ Dividendos!G4)-1</f>
        <v>0.557560529922339</v>
      </c>
      <c r="C115" s="171">
        <f>(C114/ Dividendos!H4)-1</f>
        <v>0.212714474263088</v>
      </c>
      <c r="D115" s="171">
        <f>(D114/ Dividendos!I4)-1</f>
        <v>0.0689884515387871</v>
      </c>
      <c r="E115" s="171">
        <f>(E114/ Dividendos!J4)-1</f>
        <v>0.0331447963800904</v>
      </c>
      <c r="F115" s="174">
        <f>IFERROR((Dividendos!J4/Dividendos!B4)^(1/9)-1,"0")</f>
        <v>0.128651362504178</v>
      </c>
      <c r="G115" s="174">
        <f>IFERROR((Dividendos!J4/Dividendos!B4)^(1/9)-1,"0")</f>
        <v>0.128651362504178</v>
      </c>
      <c r="H115" s="174">
        <f>IFERROR((Dividendos!J4/Dividendos!B4)^(1/9)-1,"0")</f>
        <v>0.128651362504178</v>
      </c>
      <c r="I115" s="9"/>
      <c r="J115" s="9"/>
      <c r="K115" s="9"/>
      <c r="L115" s="9"/>
      <c r="M115" s="9"/>
    </row>
    <row r="116" ht="14.25" customHeight="1">
      <c r="A116" s="163" t="s">
        <v>218</v>
      </c>
      <c r="B116" s="171">
        <f t="shared" ref="B116:H116" si="95">B114/B112</f>
        <v>0.504897269604896</v>
      </c>
      <c r="C116" s="171">
        <f t="shared" si="95"/>
        <v>0.503815854316117</v>
      </c>
      <c r="D116" s="171">
        <f t="shared" si="95"/>
        <v>0.508022870137673</v>
      </c>
      <c r="E116" s="171">
        <f t="shared" si="95"/>
        <v>0.477181034561105</v>
      </c>
      <c r="F116" s="171">
        <f t="shared" si="95"/>
        <v>0.524921781974666</v>
      </c>
      <c r="G116" s="171">
        <f t="shared" si="95"/>
        <v>0.581055806106673</v>
      </c>
      <c r="H116" s="171">
        <f t="shared" si="95"/>
        <v>0.640808068079657</v>
      </c>
      <c r="I116" s="9"/>
      <c r="J116" s="9"/>
      <c r="K116" s="9"/>
      <c r="L116" s="9"/>
      <c r="M116" s="9"/>
    </row>
    <row r="117" ht="14.25" customHeight="1">
      <c r="A117" s="163"/>
      <c r="B117" s="163"/>
      <c r="C117" s="163"/>
      <c r="D117" s="163"/>
      <c r="E117" s="163"/>
      <c r="F117" s="163"/>
      <c r="G117" s="163"/>
      <c r="H117" s="163"/>
      <c r="I117" s="9"/>
      <c r="J117" s="9"/>
      <c r="K117" s="9"/>
      <c r="L117" s="9"/>
      <c r="M117" s="9"/>
    </row>
    <row r="118" ht="14.25" customHeight="1">
      <c r="A118" s="163"/>
      <c r="B118" s="163" t="s">
        <v>94</v>
      </c>
      <c r="C118" s="163" t="s">
        <v>457</v>
      </c>
      <c r="D118" s="163" t="s">
        <v>458</v>
      </c>
      <c r="E118" s="163"/>
      <c r="F118" s="163"/>
      <c r="G118" s="163"/>
      <c r="H118" s="163"/>
      <c r="I118" s="9"/>
      <c r="J118" s="9"/>
      <c r="K118" s="9"/>
      <c r="L118" s="9"/>
      <c r="M118" s="9"/>
    </row>
    <row r="119" ht="14.25" customHeight="1">
      <c r="A119" s="9" t="s">
        <v>16</v>
      </c>
      <c r="B119" s="90">
        <f t="shared" ref="B119:D119" si="96">MIN(B123:B125)</f>
        <v>0.0487</v>
      </c>
      <c r="C119" s="90">
        <f t="shared" si="96"/>
        <v>0.402</v>
      </c>
      <c r="D119" s="90">
        <f t="shared" si="96"/>
        <v>0.470795126772069</v>
      </c>
      <c r="E119" s="9"/>
      <c r="F119" s="9"/>
      <c r="G119" s="9"/>
      <c r="H119" s="9"/>
      <c r="I119" s="9"/>
      <c r="J119" s="9"/>
      <c r="K119" s="9"/>
      <c r="L119" s="9"/>
      <c r="M119" s="9"/>
    </row>
    <row r="120" ht="14.25" customHeight="1">
      <c r="A120" s="9" t="s">
        <v>17</v>
      </c>
      <c r="B120" s="90">
        <f t="shared" ref="B120:D120" si="97">MEDIAN(B123:B125)</f>
        <v>0.19522</v>
      </c>
      <c r="C120" s="90">
        <f t="shared" si="97"/>
        <v>0.42716</v>
      </c>
      <c r="D120" s="90">
        <f t="shared" si="97"/>
        <v>0.479543687075195</v>
      </c>
      <c r="E120" s="9"/>
      <c r="F120" s="9"/>
      <c r="G120" s="9"/>
      <c r="H120" s="9"/>
      <c r="I120" s="9"/>
      <c r="J120" s="9"/>
      <c r="K120" s="9"/>
      <c r="L120" s="9"/>
      <c r="M120" s="9"/>
    </row>
    <row r="121" ht="14.25" customHeight="1">
      <c r="A121" s="9" t="s">
        <v>18</v>
      </c>
      <c r="B121" s="90">
        <f t="shared" ref="B121:D121" si="98">MAX(B123:B125)</f>
        <v>0.2357</v>
      </c>
      <c r="C121" s="90">
        <f t="shared" si="98"/>
        <v>0.432166666666667</v>
      </c>
      <c r="D121" s="90">
        <f t="shared" si="98"/>
        <v>0.491353646710431</v>
      </c>
      <c r="E121" s="9"/>
      <c r="F121" s="9"/>
      <c r="G121" s="9"/>
      <c r="H121" s="9"/>
      <c r="I121" s="9"/>
      <c r="J121" s="9"/>
      <c r="K121" s="9"/>
      <c r="L121" s="9"/>
      <c r="M121" s="9"/>
    </row>
    <row r="122" ht="14.25" customHeight="1">
      <c r="A122" s="9"/>
      <c r="B122" s="9"/>
      <c r="C122" s="9"/>
      <c r="D122" s="9"/>
      <c r="E122" s="9"/>
      <c r="F122" s="9"/>
      <c r="G122" s="9"/>
      <c r="H122" s="9"/>
      <c r="I122" s="9"/>
      <c r="J122" s="9"/>
      <c r="K122" s="9"/>
      <c r="L122" s="9"/>
      <c r="M122" s="9"/>
    </row>
    <row r="123" ht="14.25" customHeight="1">
      <c r="A123" s="9" t="s">
        <v>459</v>
      </c>
      <c r="B123" s="90">
        <f>AVERAGE('Income Statement'!I4:K4)</f>
        <v>0.2357</v>
      </c>
      <c r="C123" s="90">
        <f>AVERAGE('Income Statement'!I13:K13)</f>
        <v>0.432166666666667</v>
      </c>
      <c r="D123" s="90">
        <f>AVERAGE('Income Statement'!I30:K30)</f>
        <v>0.491353646710431</v>
      </c>
      <c r="E123" s="9"/>
      <c r="F123" s="9"/>
      <c r="G123" s="9"/>
      <c r="H123" s="9"/>
      <c r="I123" s="9"/>
      <c r="J123" s="9"/>
      <c r="K123" s="9"/>
      <c r="L123" s="9"/>
      <c r="M123" s="9"/>
    </row>
    <row r="124" ht="14.25" customHeight="1">
      <c r="A124" s="9" t="s">
        <v>460</v>
      </c>
      <c r="B124" s="90">
        <f>AVERAGE('Income Statement'!G4:K4)</f>
        <v>0.19522</v>
      </c>
      <c r="C124" s="90">
        <f>AVERAGE('Income Statement'!G13:K13)</f>
        <v>0.42716</v>
      </c>
      <c r="D124" s="90">
        <f>AVERAGE('Income Statement'!G30:K30)</f>
        <v>0.479543687075195</v>
      </c>
      <c r="E124" s="9"/>
      <c r="F124" s="9"/>
      <c r="G124" s="9"/>
      <c r="H124" s="9"/>
      <c r="I124" s="9"/>
      <c r="J124" s="9"/>
      <c r="K124" s="9"/>
      <c r="L124" s="9"/>
      <c r="M124" s="9"/>
    </row>
    <row r="125" ht="14.25" customHeight="1">
      <c r="A125" s="9" t="s">
        <v>391</v>
      </c>
      <c r="B125" s="90">
        <f>'Income Statement'!L4</f>
        <v>0.0487</v>
      </c>
      <c r="C125" s="90">
        <f>'Income Statement'!L13</f>
        <v>0.402</v>
      </c>
      <c r="D125" s="90">
        <f>'Income Statement'!L30</f>
        <v>0.470795126772069</v>
      </c>
      <c r="E125" s="9"/>
      <c r="F125" s="9"/>
      <c r="G125" s="9"/>
      <c r="H125" s="9"/>
      <c r="I125" s="9"/>
      <c r="J125" s="9"/>
      <c r="K125" s="9"/>
      <c r="L125" s="9"/>
      <c r="M125" s="9"/>
    </row>
    <row r="126" ht="14.25" customHeight="1">
      <c r="A126" s="9"/>
      <c r="B126" s="9"/>
      <c r="C126" s="9"/>
      <c r="D126" s="9"/>
      <c r="E126" s="9"/>
      <c r="F126" s="9"/>
      <c r="G126" s="9"/>
      <c r="H126" s="9"/>
      <c r="I126" s="9"/>
      <c r="J126" s="9"/>
      <c r="K126" s="9"/>
      <c r="L126" s="9"/>
      <c r="M126" s="9"/>
    </row>
    <row r="127" ht="14.25" customHeight="1">
      <c r="A127" s="9"/>
      <c r="B127" s="9"/>
      <c r="C127" s="9"/>
      <c r="D127" s="9"/>
      <c r="E127" s="9"/>
      <c r="F127" s="9"/>
      <c r="G127" s="9"/>
      <c r="H127" s="9"/>
      <c r="I127" s="9"/>
      <c r="J127" s="9"/>
      <c r="K127" s="9"/>
      <c r="L127" s="9"/>
      <c r="M127" s="9"/>
    </row>
    <row r="128" ht="14.25" customHeight="1">
      <c r="A128" s="9"/>
      <c r="B128" s="9"/>
      <c r="C128" s="9"/>
      <c r="D128" s="9"/>
      <c r="E128" s="9"/>
      <c r="F128" s="9"/>
      <c r="G128" s="9"/>
      <c r="H128" s="9"/>
      <c r="I128" s="9"/>
      <c r="J128" s="9"/>
      <c r="K128" s="9"/>
      <c r="L128" s="9"/>
      <c r="M128" s="9"/>
    </row>
    <row r="129" ht="14.25" customHeight="1">
      <c r="A129" s="9"/>
      <c r="B129" s="9"/>
      <c r="C129" s="9"/>
      <c r="D129" s="9"/>
      <c r="E129" s="9"/>
      <c r="F129" s="9"/>
      <c r="G129" s="9"/>
      <c r="H129" s="9"/>
      <c r="I129" s="9"/>
      <c r="J129" s="9"/>
      <c r="K129" s="9"/>
      <c r="L129" s="9"/>
      <c r="M129" s="9"/>
    </row>
    <row r="130" ht="14.25" customHeight="1">
      <c r="A130" s="9"/>
      <c r="B130" s="9"/>
      <c r="C130" s="9"/>
      <c r="D130" s="9"/>
      <c r="E130" s="9"/>
      <c r="F130" s="9"/>
      <c r="G130" s="9"/>
      <c r="H130" s="9"/>
      <c r="I130" s="9"/>
      <c r="J130" s="9"/>
      <c r="K130" s="9"/>
      <c r="L130" s="9"/>
      <c r="M130" s="9"/>
    </row>
    <row r="131" ht="14.25" customHeight="1">
      <c r="A131" s="9"/>
      <c r="B131" s="9"/>
      <c r="C131" s="9"/>
      <c r="D131" s="9"/>
      <c r="E131" s="9"/>
      <c r="F131" s="9"/>
      <c r="G131" s="9"/>
      <c r="H131" s="9"/>
      <c r="I131" s="9"/>
      <c r="J131" s="9"/>
      <c r="K131" s="9"/>
      <c r="L131" s="9"/>
      <c r="M131" s="9"/>
    </row>
    <row r="132" ht="14.25" customHeight="1">
      <c r="A132" s="9"/>
      <c r="B132" s="9"/>
      <c r="C132" s="9"/>
      <c r="D132" s="9"/>
      <c r="E132" s="9"/>
      <c r="F132" s="9"/>
      <c r="G132" s="9"/>
      <c r="H132" s="9"/>
      <c r="I132" s="9"/>
      <c r="J132" s="9"/>
      <c r="K132" s="9"/>
      <c r="L132" s="9"/>
      <c r="M132" s="9"/>
    </row>
    <row r="133" ht="14.25" customHeight="1">
      <c r="A133" s="9"/>
      <c r="B133" s="9"/>
      <c r="C133" s="9"/>
      <c r="D133" s="9"/>
      <c r="E133" s="9"/>
      <c r="F133" s="9"/>
      <c r="G133" s="9"/>
      <c r="H133" s="9"/>
      <c r="I133" s="9"/>
      <c r="J133" s="9"/>
      <c r="K133" s="9"/>
      <c r="L133" s="9"/>
      <c r="M133" s="9"/>
    </row>
    <row r="134" ht="14.25" customHeight="1">
      <c r="A134" s="9"/>
      <c r="B134" s="9"/>
      <c r="C134" s="9"/>
      <c r="D134" s="9"/>
      <c r="E134" s="9"/>
      <c r="F134" s="9"/>
      <c r="G134" s="9"/>
      <c r="H134" s="9"/>
      <c r="I134" s="9"/>
      <c r="J134" s="9"/>
      <c r="K134" s="9"/>
      <c r="L134" s="9"/>
      <c r="M134" s="9"/>
    </row>
    <row r="135" ht="14.25" customHeight="1">
      <c r="A135" s="9"/>
      <c r="B135" s="9"/>
      <c r="C135" s="9"/>
      <c r="D135" s="9"/>
      <c r="E135" s="9"/>
      <c r="F135" s="9"/>
      <c r="G135" s="9"/>
      <c r="H135" s="9"/>
      <c r="I135" s="9"/>
      <c r="J135" s="9"/>
      <c r="K135" s="9"/>
      <c r="L135" s="9"/>
      <c r="M135" s="9"/>
    </row>
    <row r="136" ht="14.25" customHeight="1">
      <c r="A136" s="9"/>
      <c r="B136" s="9"/>
      <c r="C136" s="9"/>
      <c r="D136" s="9"/>
      <c r="E136" s="9"/>
      <c r="F136" s="9"/>
      <c r="G136" s="9"/>
      <c r="H136" s="9"/>
      <c r="I136" s="9"/>
      <c r="J136" s="9"/>
      <c r="K136" s="9"/>
      <c r="L136" s="9"/>
      <c r="M136" s="9"/>
    </row>
    <row r="137" ht="14.25" customHeight="1">
      <c r="A137" s="9"/>
      <c r="B137" s="9"/>
      <c r="C137" s="9"/>
      <c r="D137" s="9"/>
      <c r="E137" s="9"/>
      <c r="F137" s="9"/>
      <c r="G137" s="9"/>
      <c r="H137" s="9"/>
      <c r="I137" s="9"/>
      <c r="J137" s="9"/>
      <c r="K137" s="9"/>
      <c r="L137" s="9"/>
      <c r="M137" s="9"/>
    </row>
    <row r="138" ht="14.25" customHeight="1">
      <c r="A138" s="9"/>
      <c r="B138" s="9"/>
      <c r="C138" s="9"/>
      <c r="D138" s="9"/>
      <c r="E138" s="9"/>
      <c r="F138" s="9"/>
      <c r="G138" s="9"/>
      <c r="H138" s="9"/>
      <c r="I138" s="9"/>
      <c r="J138" s="9"/>
      <c r="K138" s="9"/>
      <c r="L138" s="9"/>
      <c r="M138" s="9"/>
    </row>
    <row r="139" ht="14.25" customHeight="1">
      <c r="A139" s="9"/>
      <c r="B139" s="9"/>
      <c r="C139" s="9"/>
      <c r="D139" s="9"/>
      <c r="E139" s="9"/>
      <c r="F139" s="9"/>
      <c r="G139" s="9"/>
      <c r="H139" s="9"/>
      <c r="I139" s="9"/>
      <c r="J139" s="9"/>
      <c r="K139" s="9"/>
      <c r="L139" s="9"/>
      <c r="M139" s="9"/>
    </row>
    <row r="140" ht="14.25" customHeight="1">
      <c r="A140" s="9"/>
      <c r="B140" s="9"/>
      <c r="C140" s="9"/>
      <c r="D140" s="9"/>
      <c r="E140" s="9"/>
      <c r="F140" s="9"/>
      <c r="G140" s="9"/>
      <c r="H140" s="9"/>
      <c r="I140" s="9"/>
      <c r="J140" s="9"/>
      <c r="K140" s="9"/>
      <c r="L140" s="9"/>
      <c r="M140" s="9"/>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2.63" defaultRowHeight="15.0"/>
  <cols>
    <col customWidth="1" min="1" max="1" width="57.38"/>
    <col customWidth="1" min="2" max="2" width="20.5"/>
    <col customWidth="1" min="3" max="3" width="18.0"/>
    <col customWidth="1" min="4" max="4" width="15.38"/>
    <col customWidth="1" min="5" max="8" width="8.5"/>
    <col customWidth="1" min="9" max="9" width="17.0"/>
    <col customWidth="1" min="10" max="10" width="11.63"/>
    <col customWidth="1" min="11" max="11" width="13.5"/>
    <col customWidth="1" min="12" max="14" width="8.5"/>
    <col customWidth="1" min="15" max="17" width="8.38"/>
    <col customWidth="1" min="18" max="26" width="11.25"/>
  </cols>
  <sheetData>
    <row r="1" ht="37.5" customHeight="1">
      <c r="A1" s="35" t="inlineStr">
        <is>
          <t xml:space="preserve">Novo Nordisk (NYSE:NVO)</t>
        </is>
      </c>
      <c r="B1" s="35"/>
      <c r="C1" s="33" t="s">
        <v>57</v>
      </c>
      <c r="D1" s="37">
        <f>IFERROR(__xludf.DUMMYFUNCTION("IF(A1="""","""",GOOGLEFINANCE(REGEXEXTRACT(A1,""\(.*?:(.*?)\)""),""price""))"),"  ")</f>
        <v>39.4</v>
      </c>
      <c r="E1" s="7"/>
      <c r="F1" s="7"/>
      <c r="G1" s="7"/>
      <c r="H1" s="7"/>
      <c r="I1" s="7"/>
      <c r="J1" s="7"/>
      <c r="K1" s="7"/>
      <c r="L1" s="7"/>
      <c r="M1" s="7"/>
      <c r="N1" s="7"/>
      <c r="O1" s="7"/>
      <c r="P1" s="7"/>
      <c r="Q1" s="7"/>
    </row>
    <row r="2" ht="12.0" customHeight="1">
      <c r="A2" s="206"/>
      <c r="B2" s="207"/>
      <c r="C2" s="206" t="s">
        <v>181</v>
      </c>
      <c r="D2" s="208"/>
      <c r="E2" s="206" t="s">
        <v>183</v>
      </c>
      <c r="F2" s="206"/>
      <c r="G2" s="206"/>
      <c r="H2" s="206"/>
      <c r="I2" s="206"/>
      <c r="J2" s="206"/>
      <c r="K2" s="206"/>
      <c r="L2" s="206"/>
      <c r="M2" s="206"/>
      <c r="N2" s="206"/>
      <c r="O2" s="206"/>
      <c r="P2" s="206"/>
      <c r="Q2" s="206"/>
    </row>
    <row r="3" ht="12.0" customHeight="1">
      <c r="A3" s="206"/>
      <c r="B3" s="206"/>
      <c r="C3" s="206"/>
      <c r="D3" s="206"/>
      <c r="E3" s="206"/>
      <c r="F3" s="206"/>
      <c r="G3" s="206"/>
      <c r="H3" s="206"/>
      <c r="I3" s="206"/>
      <c r="J3" s="206"/>
      <c r="K3" s="206"/>
      <c r="L3" s="206"/>
      <c r="M3" s="206"/>
      <c r="N3" s="206"/>
      <c r="O3" s="206"/>
      <c r="P3" s="206"/>
      <c r="Q3" s="206"/>
    </row>
    <row r="4" ht="12.0" customHeight="1">
      <c r="A4" s="209" t="s">
        <v>185</v>
      </c>
      <c r="B4" s="210">
        <v>46288</v>
      </c>
      <c r="C4" s="211" t="s">
        <v>186</v>
      </c>
      <c r="D4" s="212"/>
      <c r="E4" s="212"/>
      <c r="F4" s="212"/>
      <c r="G4" s="212"/>
      <c r="H4" s="212"/>
      <c r="I4" s="212"/>
      <c r="J4" s="213"/>
      <c r="K4" s="206"/>
      <c r="L4" s="206"/>
      <c r="M4" s="206"/>
      <c r="N4" s="206"/>
      <c r="O4" s="206"/>
      <c r="P4" s="206"/>
      <c r="Q4" s="206"/>
    </row>
    <row r="5" ht="12.0" customHeight="1">
      <c r="A5" s="209" t="s">
        <v>187</v>
      </c>
      <c r="B5" s="214" t="inlineStr">
        <is>
          <t xml:space="preserve">Novo Nordisk A/S (ADR NYSE: NVO; 1 ADR = 1 acción B). Cifras en USD millones convertidas desde DKK</t>
        </is>
      </c>
      <c r="C5" s="215" t="s">
        <v>188</v>
      </c>
      <c r="D5" s="206"/>
      <c r="E5" s="206"/>
      <c r="F5" s="206"/>
      <c r="G5" s="206"/>
      <c r="H5" s="206"/>
      <c r="I5" s="206"/>
      <c r="J5" s="216"/>
      <c r="K5" s="206"/>
      <c r="L5" s="206"/>
      <c r="M5" s="206"/>
      <c r="N5" s="206"/>
      <c r="O5" s="206"/>
      <c r="P5" s="206"/>
      <c r="Q5" s="206"/>
    </row>
    <row r="6" ht="12.0" customHeight="1">
      <c r="A6" s="217" t="s">
        <v>190</v>
      </c>
      <c r="B6" s="218"/>
      <c r="C6" s="218"/>
      <c r="D6" s="218"/>
      <c r="E6" s="218"/>
      <c r="F6" s="218"/>
      <c r="G6" s="218"/>
      <c r="H6" s="218"/>
      <c r="I6" s="218"/>
      <c r="J6" s="219"/>
      <c r="K6" s="206"/>
      <c r="L6" s="206"/>
      <c r="M6" s="206"/>
      <c r="N6" s="206"/>
      <c r="O6" s="206"/>
      <c r="P6" s="206"/>
      <c r="Q6" s="206"/>
    </row>
    <row r="7" ht="12.0" customHeight="1">
      <c r="A7" s="209" t="s">
        <v>191</v>
      </c>
      <c r="B7" s="209"/>
      <c r="C7" s="209"/>
      <c r="D7" s="206"/>
      <c r="E7" s="9"/>
      <c r="F7" s="9"/>
      <c r="G7" s="9"/>
      <c r="H7" s="9"/>
      <c r="I7" s="9"/>
      <c r="J7" s="9"/>
      <c r="K7" s="206"/>
      <c r="L7" s="206"/>
      <c r="M7" s="206"/>
      <c r="N7" s="206"/>
      <c r="O7" s="206"/>
      <c r="P7" s="206"/>
      <c r="Q7" s="206"/>
    </row>
    <row r="8" ht="12.0" customHeight="1">
      <c r="A8" s="206" t="s">
        <v>192</v>
      </c>
      <c r="B8" s="207" t="inlineStr">
        <is>
          <t xml:space="preserve">Denmark</t>
        </is>
      </c>
      <c r="C8" s="209"/>
      <c r="D8" s="206"/>
      <c r="E8" s="206"/>
      <c r="F8" s="220" t="s">
        <v>194</v>
      </c>
      <c r="G8" s="221"/>
      <c r="H8" s="221"/>
      <c r="I8" s="222"/>
      <c r="J8" s="206"/>
      <c r="K8" s="206"/>
      <c r="L8" s="206"/>
      <c r="M8" s="206"/>
      <c r="N8" s="206"/>
      <c r="O8" s="206"/>
      <c r="P8" s="206"/>
      <c r="Q8" s="206"/>
    </row>
    <row r="9" ht="12.0" customHeight="1">
      <c r="A9" s="206" t="s">
        <v>195</v>
      </c>
      <c r="B9" s="207" t="inlineStr">
        <is>
          <t xml:space="preserve">Drugs (Pharmaceutical)</t>
        </is>
      </c>
      <c r="C9" s="206"/>
      <c r="D9" s="206"/>
      <c r="E9" s="206"/>
      <c r="F9" s="223"/>
      <c r="I9" s="224"/>
      <c r="J9" s="206"/>
      <c r="K9" s="206"/>
      <c r="L9" s="206"/>
      <c r="M9" s="206"/>
      <c r="N9" s="206"/>
      <c r="O9" s="206"/>
      <c r="P9" s="206"/>
      <c r="Q9" s="206"/>
    </row>
    <row r="10" ht="12.0" customHeight="1">
      <c r="A10" s="206" t="s">
        <v>196</v>
      </c>
      <c r="B10" s="207" t="inlineStr">
        <is>
          <t xml:space="preserve">Drugs (Pharmaceutical)</t>
        </is>
      </c>
      <c r="C10" s="9"/>
      <c r="D10" s="9"/>
      <c r="E10" s="206"/>
      <c r="F10" s="223"/>
      <c r="I10" s="224"/>
      <c r="J10" s="206"/>
      <c r="K10" s="206"/>
      <c r="L10" s="206"/>
      <c r="M10" s="206"/>
      <c r="N10" s="206"/>
      <c r="O10" s="206"/>
      <c r="P10" s="206"/>
      <c r="Q10" s="206"/>
    </row>
    <row r="11" ht="12.0" customHeight="1">
      <c r="A11" s="206"/>
      <c r="B11" s="225" t="s">
        <v>198</v>
      </c>
      <c r="C11" s="225" t="s">
        <v>199</v>
      </c>
      <c r="D11" s="226" t="s">
        <v>200</v>
      </c>
      <c r="E11" s="206"/>
      <c r="F11" s="223"/>
      <c r="I11" s="224"/>
      <c r="J11" s="206"/>
      <c r="K11" s="206"/>
      <c r="L11" s="206"/>
      <c r="M11" s="206"/>
      <c r="N11" s="206"/>
      <c r="O11" s="206"/>
      <c r="P11" s="206"/>
      <c r="Q11" s="206"/>
    </row>
    <row r="12" ht="12.0" customHeight="1">
      <c r="A12" s="227" t="s">
        <v>158</v>
      </c>
      <c r="B12" s="228">
        <f>'Income Statement'!L3</f>
        <v>47254.1</v>
      </c>
      <c r="C12" s="229">
        <f>IF('Income Statement'!L3='Income Statement'!K3,'Income Statement'!J3,'Income Statement'!K3)</f>
        <v>46702.4</v>
      </c>
      <c r="D12" s="230">
        <f>IF('Income Statement'!L3='Income Statement'!K3,1,0.5)</f>
        <v>0.5</v>
      </c>
      <c r="E12" s="206"/>
      <c r="F12" s="231"/>
      <c r="G12" s="232"/>
      <c r="H12" s="232"/>
      <c r="I12" s="233"/>
      <c r="J12" s="206"/>
      <c r="K12" s="206"/>
      <c r="L12" s="206"/>
      <c r="M12" s="206"/>
      <c r="N12" s="206"/>
      <c r="O12" s="206"/>
      <c r="P12" s="206"/>
      <c r="Q12" s="206"/>
    </row>
    <row r="13" ht="12.0" customHeight="1">
      <c r="A13" s="227" t="s">
        <v>203</v>
      </c>
      <c r="B13" s="228">
        <f>'Income Statement'!L12</f>
        <v>18994.8</v>
      </c>
      <c r="C13" s="229">
        <f>IF('Income Statement'!L12='Income Statement'!K12,'Income Statement'!J12,'Income Statement'!K12)</f>
        <v>19290.3</v>
      </c>
      <c r="D13" s="235"/>
      <c r="E13" s="206"/>
      <c r="F13" s="206"/>
      <c r="G13" s="206"/>
      <c r="H13" s="206"/>
      <c r="I13" s="206"/>
      <c r="J13" s="206"/>
      <c r="K13" s="206"/>
      <c r="L13" s="206"/>
      <c r="M13" s="206"/>
      <c r="N13" s="206"/>
      <c r="O13" s="206"/>
      <c r="P13" s="206"/>
      <c r="Q13" s="206"/>
    </row>
    <row r="14" ht="12.0" customHeight="1">
      <c r="A14" s="227" t="s">
        <v>206</v>
      </c>
      <c r="B14" s="228">
        <f>'Income Statement'!L16</f>
        <v>-659.9</v>
      </c>
      <c r="C14" s="229">
        <f>IF('Income Statement'!L16='Income Statement'!K16,'Income Statement'!J16,'Income Statement'!K16)</f>
        <v>-443.9</v>
      </c>
      <c r="D14" s="235"/>
      <c r="E14" s="206"/>
      <c r="F14" s="206"/>
      <c r="G14" s="206"/>
      <c r="H14" s="206"/>
      <c r="I14" s="206"/>
      <c r="J14" s="206"/>
      <c r="K14" s="206"/>
      <c r="L14" s="206"/>
      <c r="M14" s="206"/>
      <c r="N14" s="206"/>
      <c r="O14" s="206"/>
      <c r="P14" s="206"/>
      <c r="Q14" s="206"/>
    </row>
    <row r="15" ht="12.0" customHeight="1">
      <c r="A15" s="227" t="s">
        <v>207</v>
      </c>
      <c r="B15" s="228">
        <f>'Balance Sheet'!L35</f>
        <v>33731.5</v>
      </c>
      <c r="C15" s="229">
        <f>IF('Balance Sheet'!L35='Balance Sheet'!K35,'Balance Sheet'!J35,'Balance Sheet'!K35)</f>
        <v>30527.3</v>
      </c>
      <c r="D15" s="235"/>
      <c r="E15" s="206"/>
      <c r="F15" s="206"/>
      <c r="G15" s="206"/>
      <c r="H15" s="206"/>
      <c r="I15" s="206"/>
      <c r="J15" s="206"/>
      <c r="K15" s="206"/>
      <c r="L15" s="206"/>
      <c r="M15" s="206"/>
      <c r="N15" s="206"/>
      <c r="O15" s="206"/>
      <c r="P15" s="206"/>
      <c r="Q15" s="206"/>
    </row>
    <row r="16" ht="12.0" customHeight="1">
      <c r="A16" s="227" t="s">
        <v>209</v>
      </c>
      <c r="B16" s="228">
        <f>'Balance Sheet'!L20+'Balance Sheet'!L21+'Balance Sheet'!L25+'Balance Sheet'!L26</f>
        <v>21361.0</v>
      </c>
      <c r="C16" s="229">
        <f>IF('Balance Sheet'!L20+'Balance Sheet'!L21+'Balance Sheet'!L25+'Balance Sheet'!L26='Balance Sheet'!K20+'Balance Sheet'!K21+'Balance Sheet'!K25+'Balance Sheet'!K26,'Balance Sheet'!J20+'Balance Sheet'!J21+'Balance Sheet'!J25+'Balance Sheet'!J26,'Balance Sheet'!K20+'Balance Sheet'!K21+'Balance Sheet'!K25+'Balance Sheet'!K26)</f>
        <v>20602.2</v>
      </c>
      <c r="D16" s="240"/>
      <c r="E16" s="206"/>
      <c r="F16" s="206"/>
      <c r="G16" s="206"/>
      <c r="H16" s="206"/>
      <c r="I16" s="206"/>
      <c r="J16" s="206"/>
      <c r="K16" s="206"/>
      <c r="L16" s="206"/>
      <c r="M16" s="206"/>
      <c r="N16" s="206"/>
      <c r="O16" s="206"/>
      <c r="P16" s="206"/>
      <c r="Q16" s="206"/>
    </row>
    <row r="17" ht="12.0" customHeight="1">
      <c r="A17" s="227" t="s">
        <v>210</v>
      </c>
      <c r="B17" s="241" t="inlineStr">
        <is>
          <t xml:space="preserve">Yes</t>
        </is>
      </c>
      <c r="C17" s="242" t="s">
        <v>212</v>
      </c>
      <c r="D17" s="244"/>
      <c r="E17" s="206"/>
      <c r="F17" s="206"/>
      <c r="G17" s="206"/>
      <c r="H17" s="206"/>
      <c r="I17" s="206"/>
      <c r="J17" s="206"/>
      <c r="K17" s="206"/>
      <c r="L17" s="206"/>
      <c r="M17" s="206"/>
      <c r="N17" s="206"/>
      <c r="O17" s="206"/>
      <c r="P17" s="206"/>
      <c r="Q17" s="206"/>
    </row>
    <row r="18" ht="12.0" customHeight="1">
      <c r="A18" s="227" t="s">
        <v>213</v>
      </c>
      <c r="B18" s="241" t="inlineStr">
        <is>
          <t xml:space="preserve">No</t>
        </is>
      </c>
      <c r="C18" s="244" t="s">
        <v>215</v>
      </c>
      <c r="D18" s="244"/>
      <c r="E18" s="206"/>
      <c r="F18" s="206"/>
      <c r="G18" s="206"/>
      <c r="H18" s="206"/>
      <c r="I18" s="206"/>
      <c r="J18" s="206"/>
      <c r="K18" s="206"/>
      <c r="L18" s="206"/>
      <c r="M18" s="206"/>
      <c r="N18" s="206"/>
      <c r="O18" s="206"/>
      <c r="P18" s="206"/>
      <c r="Q18" s="206"/>
    </row>
    <row r="19" ht="12.0" customHeight="1">
      <c r="A19" s="227" t="s">
        <v>216</v>
      </c>
      <c r="B19" s="228">
        <f>'Balance Sheet'!L5</f>
        <v>6857.1</v>
      </c>
      <c r="C19" s="246">
        <f>IF('Balance Sheet'!L5='Balance Sheet'!K5,'Balance Sheet'!J5,'Balance Sheet'!K5)</f>
        <v>4241.6</v>
      </c>
      <c r="D19" s="244"/>
      <c r="E19" s="206"/>
      <c r="F19" s="206"/>
      <c r="G19" s="206"/>
      <c r="H19" s="206"/>
      <c r="I19" s="206"/>
      <c r="J19" s="206"/>
      <c r="K19" s="206"/>
      <c r="L19" s="206"/>
      <c r="M19" s="206"/>
      <c r="N19" s="206"/>
      <c r="O19" s="206"/>
      <c r="P19" s="206"/>
      <c r="Q19" s="206"/>
    </row>
    <row r="20" ht="12.0" customHeight="1">
      <c r="A20" s="227" t="s">
        <v>217</v>
      </c>
      <c r="B20" s="247">
        <f>'Balance Sheet'!L14+'Balance Sheet'!L15</f>
        <v>4943.7</v>
      </c>
      <c r="C20" s="246">
        <f>IF('Balance Sheet'!L14+'Balance Sheet'!L15='Balance Sheet'!K14+'Balance Sheet'!K15,'Balance Sheet'!J14+'Balance Sheet'!J15,'Balance Sheet'!K14+'Balance Sheet'!K15)</f>
        <v>5037.0</v>
      </c>
      <c r="D20" s="244"/>
      <c r="E20" s="206"/>
      <c r="F20" s="206"/>
      <c r="G20" s="206"/>
      <c r="H20" s="206"/>
      <c r="I20" s="206"/>
      <c r="J20" s="206"/>
      <c r="K20" s="206"/>
      <c r="L20" s="206"/>
      <c r="M20" s="206"/>
      <c r="N20" s="206"/>
      <c r="O20" s="206"/>
      <c r="P20" s="206"/>
      <c r="Q20" s="206"/>
    </row>
    <row r="21" ht="12.0" customHeight="1">
      <c r="A21" s="227" t="s">
        <v>220</v>
      </c>
      <c r="B21" s="247">
        <v>0</v>
      </c>
      <c r="C21" s="228">
        <v>0.0</v>
      </c>
      <c r="D21" s="244"/>
      <c r="E21" s="206"/>
      <c r="F21" s="206"/>
      <c r="G21" s="206"/>
      <c r="H21" s="206"/>
      <c r="I21" s="206"/>
      <c r="J21" s="206"/>
      <c r="K21" s="206"/>
      <c r="L21" s="206"/>
      <c r="M21" s="206"/>
      <c r="N21" s="206"/>
      <c r="O21" s="206"/>
      <c r="P21" s="206"/>
      <c r="Q21" s="206"/>
    </row>
    <row r="22" ht="12.0" customHeight="1">
      <c r="A22" s="227" t="s">
        <v>222</v>
      </c>
      <c r="B22" s="251">
        <f>'Income Statement'!L27</f>
        <v>4416.8</v>
      </c>
      <c r="C22" s="244"/>
      <c r="D22" s="206"/>
      <c r="E22" s="253" t="s">
        <v>224</v>
      </c>
      <c r="F22" s="221"/>
      <c r="G22" s="221"/>
      <c r="H22" s="221"/>
      <c r="I22" s="221"/>
      <c r="J22" s="221"/>
      <c r="K22" s="221"/>
      <c r="L22" s="221"/>
      <c r="M22" s="221"/>
      <c r="N22" s="222"/>
      <c r="O22" s="206"/>
      <c r="P22" s="206"/>
      <c r="Q22" s="206"/>
    </row>
    <row r="23" ht="12.0" customHeight="1">
      <c r="A23" s="227" t="s">
        <v>226</v>
      </c>
      <c r="B23" s="228">
        <f>'Input sheet'!D1</f>
        <v>39.4</v>
      </c>
      <c r="C23" s="244"/>
      <c r="D23" s="206"/>
      <c r="E23" s="256" t="s">
        <v>227</v>
      </c>
      <c r="F23" s="206"/>
      <c r="G23" s="206"/>
      <c r="H23" s="206"/>
      <c r="I23" s="206"/>
      <c r="J23" s="206"/>
      <c r="K23" s="206"/>
      <c r="L23" s="206"/>
      <c r="M23" s="206"/>
      <c r="N23" s="257"/>
      <c r="O23" s="206"/>
      <c r="P23" s="206"/>
      <c r="Q23" s="206"/>
    </row>
    <row r="24" ht="12.0" customHeight="1">
      <c r="A24" s="206" t="s">
        <v>228</v>
      </c>
      <c r="B24" s="258">
        <f>'Income Statement'!I29</f>
        <v>0.2005</v>
      </c>
      <c r="C24" s="244"/>
      <c r="D24" s="206"/>
      <c r="E24" s="259"/>
      <c r="F24" s="206"/>
      <c r="G24" s="206"/>
      <c r="H24" s="206"/>
      <c r="I24" s="206"/>
      <c r="J24" s="260" t="s">
        <v>195</v>
      </c>
      <c r="K24" s="260" t="s">
        <v>196</v>
      </c>
      <c r="L24" s="261" t="s">
        <v>229</v>
      </c>
      <c r="M24" s="262"/>
      <c r="N24" s="263"/>
      <c r="O24" s="206"/>
      <c r="P24" s="206"/>
      <c r="Q24" s="206"/>
    </row>
    <row r="25" ht="12.0" customHeight="1">
      <c r="A25" s="206" t="s">
        <v>230</v>
      </c>
      <c r="B25" s="258">
        <v>0.22</v>
      </c>
      <c r="C25" s="244"/>
      <c r="D25" s="206"/>
      <c r="E25" s="259"/>
      <c r="F25" s="206"/>
      <c r="G25" s="206"/>
      <c r="H25" s="206"/>
      <c r="I25" s="252" t="s">
        <v>231</v>
      </c>
      <c r="J25" s="264" t="s">
        <v>232</v>
      </c>
      <c r="K25" s="225" t="s">
        <v>232</v>
      </c>
      <c r="L25" s="225" t="s">
        <v>233</v>
      </c>
      <c r="M25" s="225" t="s">
        <v>234</v>
      </c>
      <c r="N25" s="265" t="s">
        <v>235</v>
      </c>
      <c r="O25" s="206"/>
      <c r="P25" s="206"/>
      <c r="Q25" s="206"/>
    </row>
    <row r="26" ht="12.0" customHeight="1">
      <c r="A26" s="209" t="s">
        <v>236</v>
      </c>
      <c r="B26" s="266"/>
      <c r="C26" s="244"/>
      <c r="D26" s="206"/>
      <c r="E26" s="267" t="s">
        <v>237</v>
      </c>
      <c r="F26" s="206"/>
      <c r="G26" s="206"/>
      <c r="H26" s="206"/>
      <c r="I26" s="269">
        <f>IF(C12&gt;0,(B12/C12)^(1/D12)-1, "NA")</f>
        <v>0.0237657440695855</v>
      </c>
      <c r="J26" s="271">
        <f>VLOOKUP(B9,'Industry Averages(US)'!A3:S96,3)</f>
        <v>0.18446775</v>
      </c>
      <c r="K26" s="272">
        <f>VLOOKUP(B10,'Industry Averages (Global)'!A3:N96,3)</f>
        <v>0.140502345238095</v>
      </c>
      <c r="L26" s="274">
        <f>VLOOKUP($B$10,'Input Stat Distributioons'!$A$4:$T$97,3,FALSE)</f>
        <v>0.039</v>
      </c>
      <c r="M26" s="274">
        <f>VLOOKUP($B$10,'Input Stat Distributioons'!$A$4:$T$97,4,FALSE)</f>
        <v>0.104</v>
      </c>
      <c r="N26" s="275">
        <f>VLOOKUP($B$10,'Input Stat Distributioons'!$A$4:$T$97,5,FALSE)</f>
        <v>0.189</v>
      </c>
      <c r="O26" s="206"/>
      <c r="P26" s="206"/>
      <c r="Q26" s="206"/>
    </row>
    <row r="27" ht="12.0" customHeight="1">
      <c r="A27" s="227" t="s">
        <v>239</v>
      </c>
      <c r="B27" s="258">
        <v>-0.04</v>
      </c>
      <c r="C27" s="244" t="s">
        <v>240</v>
      </c>
      <c r="D27" s="206"/>
      <c r="E27" s="267" t="s">
        <v>241</v>
      </c>
      <c r="F27" s="206"/>
      <c r="G27" s="206"/>
      <c r="H27" s="206"/>
      <c r="I27" s="269">
        <f>'Valuation output'!B6</f>
        <v>0.494987948135717</v>
      </c>
      <c r="J27" s="271">
        <f>VLOOKUP(B9,'Industry Averages(US)'!A3:AA96,4)</f>
        <v>0.295396999808168</v>
      </c>
      <c r="K27" s="272">
        <f>VLOOKUP(B10,'Industry Averages (Global)'!A3:N96,4)</f>
        <v>0.230700598161925</v>
      </c>
      <c r="L27" s="272">
        <f>VLOOKUP($B$10,'Input Stat Distributioons'!$A$4:$T$97,6,FALSE)</f>
        <v>-0.141447368421053</v>
      </c>
      <c r="M27" s="272">
        <f>VLOOKUP($B$10,'Input Stat Distributioons'!$A$4:$T$97,7,FALSE)</f>
        <v>0.0588798468166587</v>
      </c>
      <c r="N27" s="277">
        <f>VLOOKUP($B$10,'Input Stat Distributioons'!$A$4:$T$97,8,FALSE)</f>
        <v>0.154827605048904</v>
      </c>
      <c r="O27" s="206"/>
      <c r="P27" s="206"/>
      <c r="Q27" s="206"/>
    </row>
    <row r="28" ht="12.0" customHeight="1">
      <c r="A28" s="227" t="s">
        <v>242</v>
      </c>
      <c r="B28" s="258">
        <f>'Valuation output'!B6-0.02</f>
        <v>0.474987948135717</v>
      </c>
      <c r="C28" s="244" t="s">
        <v>243</v>
      </c>
      <c r="D28" s="206"/>
      <c r="E28" s="267" t="s">
        <v>244</v>
      </c>
      <c r="F28" s="206"/>
      <c r="G28" s="206"/>
      <c r="H28" s="206"/>
      <c r="I28" s="280">
        <f>B12/'Valuation output'!B41</f>
        <v>0.605921150404021</v>
      </c>
      <c r="J28" s="281">
        <f>VLOOKUP(B9,'Industry Averages(US)'!A3:S96,14)</f>
        <v>1.11165855476321</v>
      </c>
      <c r="K28" s="282">
        <f>VLOOKUP(B10,'Industry Averages (Global)'!A3:N96,14)</f>
        <v>1.06978985539705</v>
      </c>
      <c r="L28" s="282">
        <f>VLOOKUP($B$10,'Input Stat Distributioons'!$A$4:$T$97,9,FALSE)</f>
        <v>0.40617589182098</v>
      </c>
      <c r="M28" s="282">
        <f>VLOOKUP($B$10,'Input Stat Distributioons'!$A$4:$T$97,10,FALSE)</f>
        <v>0.820195838433293</v>
      </c>
      <c r="N28" s="284">
        <f>VLOOKUP($B$10,'Input Stat Distributioons'!$A$4:$T$97,11,FALSE)</f>
        <v>1.37650424972002</v>
      </c>
      <c r="O28" s="206"/>
      <c r="P28" s="206"/>
      <c r="Q28" s="206"/>
    </row>
    <row r="29" ht="12.0" customHeight="1">
      <c r="A29" s="227" t="s">
        <v>245</v>
      </c>
      <c r="B29" s="258">
        <v>0.035</v>
      </c>
      <c r="C29" s="244" t="s">
        <v>247</v>
      </c>
      <c r="D29" s="206"/>
      <c r="E29" s="267" t="s">
        <v>248</v>
      </c>
      <c r="F29" s="206"/>
      <c r="G29" s="206"/>
      <c r="H29" s="206"/>
      <c r="I29" s="280">
        <f>IF(('Input sheet'!B12-'Input sheet'!C12)/(('Input sheet'!B15+'Input sheet'!B16-'Input sheet'!B19)-('Input sheet'!C15+'Input sheet'!C16-'Input sheet'!C19))&gt;0,('Input sheet'!B12-'Input sheet'!C12)/(('Input sheet'!B15+'Input sheet'!B16-'Input sheet'!B19)-('Input sheet'!C15+'Input sheet'!C16-'Input sheet'!C19)),"NA")</f>
        <v>0.40942486085343</v>
      </c>
      <c r="J29" s="285"/>
      <c r="K29" s="280"/>
      <c r="L29" s="286"/>
      <c r="M29" s="286"/>
      <c r="N29" s="287"/>
      <c r="O29" s="206"/>
      <c r="P29" s="206"/>
      <c r="Q29" s="206"/>
    </row>
    <row r="30" ht="12.0" customHeight="1">
      <c r="A30" s="227" t="s">
        <v>249</v>
      </c>
      <c r="B30" s="258">
        <v>0.45</v>
      </c>
      <c r="C30" s="244" t="s">
        <v>251</v>
      </c>
      <c r="D30" s="206"/>
      <c r="E30" s="267" t="s">
        <v>252</v>
      </c>
      <c r="F30" s="206"/>
      <c r="G30" s="206"/>
      <c r="H30" s="206"/>
      <c r="I30" s="269">
        <f>'Valuation output'!B9/'Valuation output'!B41</f>
        <v>0.239788971742931</v>
      </c>
      <c r="J30" s="271">
        <f>VLOOKUP(B9,'Industry Averages(US)'!A3:S96,5)</f>
        <v>0.169495482870901</v>
      </c>
      <c r="K30" s="272">
        <f>VLOOKUP(B10,'Industry Averages (Global)'!A3:N96,5)</f>
        <v>0.147372832071721</v>
      </c>
      <c r="L30" s="9"/>
      <c r="M30" s="9"/>
      <c r="N30" s="289"/>
      <c r="O30" s="206"/>
      <c r="P30" s="206"/>
      <c r="Q30" s="206"/>
    </row>
    <row r="31" ht="12.0" customHeight="1">
      <c r="A31" s="227" t="s">
        <v>253</v>
      </c>
      <c r="B31" s="290">
        <v>5.0</v>
      </c>
      <c r="C31" s="244" t="s">
        <v>254</v>
      </c>
      <c r="D31" s="206"/>
      <c r="E31" s="267" t="s">
        <v>255</v>
      </c>
      <c r="F31" s="206"/>
      <c r="G31" s="206"/>
      <c r="H31" s="206"/>
      <c r="I31" s="291"/>
      <c r="J31" s="271">
        <f>VLOOKUP(B9,'Industry Averages(US)'!A3:S96,10)</f>
        <v>0.766449244064604</v>
      </c>
      <c r="K31" s="272">
        <f>VLOOKUP(B9,'Industry Averages (Global)'!A3:Z96,10)</f>
        <v>0.474857894190297</v>
      </c>
      <c r="L31" s="9"/>
      <c r="M31" s="9"/>
      <c r="N31" s="289"/>
      <c r="O31" s="206"/>
      <c r="P31" s="206"/>
      <c r="Q31" s="206"/>
    </row>
    <row r="32" ht="12.0" customHeight="1">
      <c r="A32" s="227" t="s">
        <v>257</v>
      </c>
      <c r="B32" s="290">
        <v>0.8</v>
      </c>
      <c r="C32" s="244" t="s">
        <v>258</v>
      </c>
      <c r="D32" s="206"/>
      <c r="E32" s="292" t="s">
        <v>259</v>
      </c>
      <c r="F32" s="293"/>
      <c r="G32" s="293"/>
      <c r="H32" s="293"/>
      <c r="I32" s="269">
        <f>B36</f>
        <v>0.100420989928469</v>
      </c>
      <c r="J32" s="294">
        <f>VLOOKUP(B9,'Industry Averages(US)'!A3:S96,13)</f>
        <v>0.0784875116646026</v>
      </c>
      <c r="K32" s="295">
        <f>VLOOKUP(B9,'Industry Averages (Global)'!A3:Z96,13)</f>
        <v>0.0922352891515879</v>
      </c>
      <c r="L32" s="295">
        <f>VLOOKUP($B$10,'Input Stat Distributioons'!$A$4:$T$97,12,FALSE)</f>
        <v>0.0838518354070943</v>
      </c>
      <c r="M32" s="295">
        <f>VLOOKUP($B$10,'Input Stat Distributioons'!$A$4:$T$97,13,FALSE)</f>
        <v>0.0890419725443774</v>
      </c>
      <c r="N32" s="296">
        <f>VLOOKUP($B$10,'Input Stat Distributioons'!$A$4:$T$97,14,FALSE)</f>
        <v>0.101576214560483</v>
      </c>
      <c r="O32" s="206"/>
      <c r="P32" s="206"/>
      <c r="Q32" s="206"/>
    </row>
    <row r="33" ht="12.0" customHeight="1">
      <c r="A33" s="227" t="s">
        <v>261</v>
      </c>
      <c r="B33" s="290">
        <f>K28</f>
        <v>1.06978985539705</v>
      </c>
      <c r="C33" s="244" t="s">
        <v>262</v>
      </c>
      <c r="D33" s="206"/>
      <c r="E33" s="206"/>
      <c r="F33" s="206"/>
      <c r="G33" s="206"/>
      <c r="H33" s="206"/>
      <c r="I33" s="206"/>
      <c r="J33" s="206"/>
      <c r="K33" s="206"/>
      <c r="L33" s="206"/>
      <c r="M33" s="206"/>
      <c r="N33" s="206"/>
      <c r="O33" s="206"/>
      <c r="P33" s="206"/>
      <c r="Q33" s="206"/>
    </row>
    <row r="34" ht="12.0" customHeight="1">
      <c r="A34" s="209" t="s">
        <v>263</v>
      </c>
      <c r="B34" s="297"/>
      <c r="C34" s="244"/>
      <c r="D34" s="206"/>
      <c r="E34" s="298" t="s">
        <v>264</v>
      </c>
      <c r="F34" s="221"/>
      <c r="G34" s="221"/>
      <c r="H34" s="221"/>
      <c r="I34" s="221"/>
      <c r="J34" s="222"/>
      <c r="K34" s="206"/>
      <c r="L34" s="206"/>
      <c r="M34" s="206"/>
      <c r="N34" s="206"/>
      <c r="O34" s="206"/>
      <c r="P34" s="206"/>
      <c r="Q34" s="206"/>
    </row>
    <row r="35" ht="12.0" customHeight="1">
      <c r="A35" s="227" t="s">
        <v>265</v>
      </c>
      <c r="B35" s="258">
        <v>0.0496</v>
      </c>
      <c r="C35" s="244"/>
      <c r="D35" s="206"/>
      <c r="E35" s="267" t="s">
        <v>266</v>
      </c>
      <c r="F35" s="206"/>
      <c r="G35" s="206"/>
      <c r="H35" s="206"/>
      <c r="I35" s="206"/>
      <c r="J35" s="299">
        <f>'Valuation output'!M5</f>
        <v>67683.4054768822</v>
      </c>
      <c r="K35" s="206"/>
      <c r="L35" s="206"/>
      <c r="M35" s="206"/>
      <c r="N35" s="206"/>
      <c r="O35" s="206"/>
      <c r="P35" s="206"/>
      <c r="Q35" s="206"/>
    </row>
    <row r="36" ht="24.75" customHeight="1">
      <c r="A36" s="300" t="s">
        <v>267</v>
      </c>
      <c r="B36" s="301">
        <f>'Cost of capital worksheet'!B14</f>
        <v>0.100420989928469</v>
      </c>
      <c r="C36" s="302" t="s">
        <v>268</v>
      </c>
      <c r="D36" s="224"/>
      <c r="E36" s="267" t="s">
        <v>269</v>
      </c>
      <c r="F36" s="206"/>
      <c r="G36" s="206"/>
      <c r="H36" s="206"/>
      <c r="I36" s="206"/>
      <c r="J36" s="299">
        <f>'Valuation output'!M7</f>
        <v>30457.532464597</v>
      </c>
      <c r="K36" s="206"/>
      <c r="L36" s="206"/>
      <c r="M36" s="206"/>
      <c r="N36" s="206"/>
      <c r="O36" s="206"/>
      <c r="P36" s="206"/>
      <c r="Q36" s="206"/>
    </row>
    <row r="37" ht="12.0" customHeight="1">
      <c r="A37" s="209" t="s">
        <v>270</v>
      </c>
      <c r="B37" s="303"/>
      <c r="C37" s="303"/>
      <c r="D37" s="244"/>
      <c r="E37" s="267" t="s">
        <v>271</v>
      </c>
      <c r="F37" s="206"/>
      <c r="G37" s="206"/>
      <c r="H37" s="206"/>
      <c r="I37" s="206"/>
      <c r="J37" s="254">
        <f>'Valuation output'!L42</f>
        <v>0.229572883894473</v>
      </c>
      <c r="K37" s="206"/>
      <c r="L37" s="206"/>
      <c r="M37" s="206"/>
      <c r="N37" s="206"/>
      <c r="O37" s="206"/>
      <c r="P37" s="206"/>
      <c r="Q37" s="206"/>
    </row>
    <row r="38" ht="12.0" customHeight="1">
      <c r="A38" s="206" t="s">
        <v>272</v>
      </c>
      <c r="B38" s="241" t="inlineStr">
        <is>
          <t xml:space="preserve">No</t>
        </is>
      </c>
      <c r="C38" s="206"/>
      <c r="D38" s="244"/>
      <c r="E38" s="304" t="s">
        <v>273</v>
      </c>
      <c r="F38" s="293"/>
      <c r="G38" s="293"/>
      <c r="H38" s="293"/>
      <c r="I38" s="293"/>
      <c r="J38" s="305"/>
      <c r="K38" s="206"/>
      <c r="L38" s="206"/>
      <c r="M38" s="206"/>
      <c r="N38" s="206"/>
      <c r="O38" s="206"/>
      <c r="P38" s="206"/>
      <c r="Q38" s="206"/>
    </row>
    <row r="39" ht="12.0" customHeight="1">
      <c r="A39" s="206" t="s">
        <v>274</v>
      </c>
      <c r="B39" s="290"/>
      <c r="C39" s="286"/>
      <c r="D39" s="244"/>
      <c r="E39" s="206"/>
      <c r="F39" s="206"/>
      <c r="G39" s="206"/>
      <c r="H39" s="206"/>
      <c r="I39" s="206"/>
      <c r="J39" s="206"/>
      <c r="K39" s="206"/>
      <c r="L39" s="206"/>
      <c r="M39" s="206"/>
      <c r="N39" s="206"/>
      <c r="O39" s="206"/>
      <c r="P39" s="206"/>
      <c r="Q39" s="206"/>
    </row>
    <row r="40" ht="12.0" customHeight="1">
      <c r="A40" s="206" t="s">
        <v>275</v>
      </c>
      <c r="B40" s="306"/>
      <c r="C40" s="307"/>
      <c r="D40" s="244"/>
      <c r="E40" s="206"/>
      <c r="F40" s="206"/>
      <c r="G40" s="206"/>
      <c r="H40" s="206"/>
      <c r="I40" s="206"/>
      <c r="J40" s="206"/>
      <c r="K40" s="206"/>
      <c r="L40" s="206"/>
      <c r="M40" s="206"/>
      <c r="N40" s="206"/>
      <c r="O40" s="308"/>
      <c r="P40" s="308"/>
      <c r="Q40" s="308"/>
    </row>
    <row r="41" ht="12.0" customHeight="1">
      <c r="A41" s="206" t="s">
        <v>276</v>
      </c>
      <c r="B41" s="290">
        <v>7.0</v>
      </c>
      <c r="C41" s="286"/>
      <c r="D41" s="244"/>
      <c r="E41" s="206"/>
      <c r="F41" s="206"/>
      <c r="G41" s="206"/>
      <c r="H41" s="206"/>
      <c r="I41" s="206"/>
      <c r="J41" s="206"/>
      <c r="K41" s="206"/>
      <c r="L41" s="206"/>
      <c r="M41" s="206"/>
      <c r="N41" s="206"/>
      <c r="O41" s="206"/>
      <c r="P41" s="206"/>
      <c r="Q41" s="206"/>
    </row>
    <row r="42" ht="12.0" customHeight="1">
      <c r="A42" s="206" t="s">
        <v>277</v>
      </c>
      <c r="B42" s="258">
        <v>0.45</v>
      </c>
      <c r="C42" s="244"/>
      <c r="D42" s="206"/>
      <c r="E42" s="308"/>
      <c r="F42" s="308"/>
      <c r="G42" s="308"/>
      <c r="H42" s="206"/>
      <c r="I42" s="206"/>
      <c r="J42" s="206"/>
      <c r="K42" s="206"/>
      <c r="L42" s="206"/>
      <c r="M42" s="206"/>
      <c r="N42" s="206"/>
      <c r="O42" s="206"/>
      <c r="P42" s="206"/>
      <c r="Q42" s="206"/>
    </row>
    <row r="43" ht="12.0" customHeight="1">
      <c r="A43" s="206"/>
      <c r="B43" s="303"/>
      <c r="C43" s="303"/>
      <c r="D43" s="244"/>
      <c r="E43" s="206"/>
      <c r="F43" s="206"/>
      <c r="G43" s="206"/>
      <c r="H43" s="206"/>
      <c r="I43" s="206"/>
      <c r="J43" s="206"/>
      <c r="K43" s="206"/>
      <c r="L43" s="206"/>
      <c r="M43" s="206"/>
      <c r="N43" s="206"/>
      <c r="O43" s="308"/>
      <c r="P43" s="308"/>
      <c r="Q43" s="308"/>
    </row>
    <row r="44" ht="12.0" customHeight="1">
      <c r="A44" s="309" t="s">
        <v>278</v>
      </c>
      <c r="C44" s="309"/>
      <c r="D44" s="244"/>
      <c r="E44" s="206"/>
      <c r="F44" s="206"/>
      <c r="G44" s="206"/>
      <c r="H44" s="206"/>
      <c r="I44" s="206"/>
      <c r="J44" s="206"/>
      <c r="K44" s="206"/>
      <c r="L44" s="206"/>
      <c r="M44" s="206"/>
      <c r="N44" s="308"/>
      <c r="O44" s="206"/>
      <c r="P44" s="206"/>
      <c r="Q44" s="206"/>
    </row>
    <row r="45" ht="12.0" customHeight="1">
      <c r="A45" s="308" t="s">
        <v>279</v>
      </c>
      <c r="B45" s="308"/>
      <c r="C45" s="308"/>
      <c r="D45" s="244"/>
      <c r="E45" s="308"/>
      <c r="F45" s="308"/>
      <c r="G45" s="308"/>
      <c r="H45" s="308"/>
      <c r="I45" s="308"/>
      <c r="J45" s="308"/>
      <c r="K45" s="308"/>
      <c r="L45" s="308"/>
      <c r="M45" s="308"/>
      <c r="N45" s="206"/>
      <c r="O45" s="206"/>
      <c r="P45" s="206"/>
      <c r="Q45" s="206"/>
    </row>
    <row r="46" ht="12.0" customHeight="1">
      <c r="A46" s="206" t="s">
        <v>280</v>
      </c>
      <c r="B46" s="228" t="s">
        <v>214</v>
      </c>
      <c r="C46" s="244" t="s">
        <v>281</v>
      </c>
      <c r="D46" s="206"/>
      <c r="E46" s="206"/>
      <c r="F46" s="206"/>
      <c r="G46" s="206"/>
      <c r="H46" s="206"/>
      <c r="I46" s="206"/>
      <c r="J46" s="206"/>
      <c r="K46" s="206"/>
      <c r="L46" s="206"/>
      <c r="M46" s="206"/>
      <c r="N46" s="206"/>
      <c r="O46" s="206"/>
      <c r="P46" s="206"/>
      <c r="Q46" s="206"/>
    </row>
    <row r="47" ht="12.0" customHeight="1">
      <c r="A47" s="206" t="s">
        <v>282</v>
      </c>
      <c r="B47" s="258">
        <f>B36</f>
        <v>0.100420989928469</v>
      </c>
      <c r="C47" s="244" t="s">
        <v>283</v>
      </c>
      <c r="D47" s="206"/>
      <c r="E47" s="206"/>
      <c r="F47" s="206"/>
      <c r="G47" s="206"/>
      <c r="H47" s="206"/>
      <c r="I47" s="206"/>
      <c r="J47" s="206"/>
      <c r="K47" s="206"/>
      <c r="L47" s="206"/>
      <c r="M47" s="206"/>
      <c r="N47" s="308"/>
      <c r="O47" s="206"/>
      <c r="P47" s="206"/>
      <c r="Q47" s="206"/>
    </row>
    <row r="48" ht="12.0" customHeight="1">
      <c r="A48" s="308" t="s">
        <v>284</v>
      </c>
      <c r="B48" s="308"/>
      <c r="C48" s="244"/>
      <c r="D48" s="308"/>
      <c r="E48" s="206"/>
      <c r="F48" s="206"/>
      <c r="G48" s="206"/>
      <c r="H48" s="308"/>
      <c r="I48" s="308"/>
      <c r="J48" s="308"/>
      <c r="K48" s="308"/>
      <c r="L48" s="308"/>
      <c r="M48" s="308"/>
      <c r="N48" s="206"/>
      <c r="O48" s="206"/>
      <c r="P48" s="206"/>
      <c r="Q48" s="206"/>
    </row>
    <row r="49" ht="12.0" customHeight="1">
      <c r="A49" s="206" t="s">
        <v>280</v>
      </c>
      <c r="B49" s="228" t="s">
        <v>214</v>
      </c>
      <c r="C49" s="244" t="s">
        <v>285</v>
      </c>
      <c r="D49" s="206"/>
      <c r="E49" s="206"/>
      <c r="F49" s="206"/>
      <c r="G49" s="206"/>
      <c r="H49" s="206"/>
      <c r="I49" s="206"/>
      <c r="J49" s="206"/>
      <c r="K49" s="206"/>
      <c r="L49" s="206"/>
      <c r="M49" s="206"/>
      <c r="N49" s="206"/>
      <c r="O49" s="206"/>
      <c r="P49" s="206"/>
      <c r="Q49" s="206"/>
    </row>
    <row r="50" ht="12.0" customHeight="1">
      <c r="A50" s="206" t="s">
        <v>286</v>
      </c>
      <c r="B50" s="258">
        <v>0.2</v>
      </c>
      <c r="C50" s="244" t="s">
        <v>287</v>
      </c>
      <c r="D50" s="206"/>
      <c r="E50" s="206"/>
      <c r="F50" s="206"/>
      <c r="G50" s="206"/>
      <c r="H50" s="206"/>
      <c r="I50" s="206"/>
      <c r="J50" s="206"/>
      <c r="K50" s="206"/>
      <c r="L50" s="206"/>
      <c r="M50" s="206"/>
      <c r="N50" s="206"/>
      <c r="O50" s="206"/>
      <c r="P50" s="206"/>
      <c r="Q50" s="206"/>
    </row>
    <row r="51" ht="12.0" customHeight="1">
      <c r="A51" s="308" t="s">
        <v>288</v>
      </c>
      <c r="B51" s="206"/>
      <c r="C51" s="244"/>
      <c r="D51" s="206"/>
      <c r="E51" s="206"/>
      <c r="F51" s="206"/>
      <c r="G51" s="206"/>
      <c r="H51" s="206"/>
      <c r="I51" s="206"/>
      <c r="J51" s="206"/>
      <c r="K51" s="206"/>
      <c r="L51" s="206"/>
      <c r="M51" s="206"/>
      <c r="N51" s="206"/>
      <c r="O51" s="206"/>
      <c r="P51" s="206"/>
      <c r="Q51" s="206"/>
    </row>
    <row r="52" ht="12.0" customHeight="1">
      <c r="A52" s="206" t="s">
        <v>280</v>
      </c>
      <c r="B52" s="228" t="s">
        <v>214</v>
      </c>
      <c r="C52" s="244" t="s">
        <v>289</v>
      </c>
      <c r="D52" s="206"/>
      <c r="E52" s="206"/>
      <c r="F52" s="206"/>
      <c r="G52" s="206"/>
      <c r="H52" s="206"/>
      <c r="I52" s="206"/>
      <c r="J52" s="206"/>
      <c r="K52" s="206"/>
      <c r="L52" s="206"/>
      <c r="M52" s="206"/>
      <c r="N52" s="206"/>
      <c r="O52" s="206"/>
      <c r="P52" s="206"/>
      <c r="Q52" s="206"/>
    </row>
    <row r="53" ht="12.0" customHeight="1">
      <c r="A53" s="206" t="s">
        <v>290</v>
      </c>
      <c r="B53" s="310">
        <v>0.12</v>
      </c>
      <c r="C53" s="244" t="s">
        <v>291</v>
      </c>
      <c r="D53" s="206"/>
      <c r="E53" s="206"/>
      <c r="F53" s="206"/>
      <c r="G53" s="206"/>
      <c r="H53" s="206"/>
      <c r="I53" s="206"/>
      <c r="J53" s="206"/>
      <c r="K53" s="206"/>
      <c r="L53" s="206"/>
      <c r="M53" s="206"/>
      <c r="N53" s="206"/>
      <c r="O53" s="206"/>
      <c r="P53" s="206"/>
      <c r="Q53" s="206"/>
    </row>
    <row r="54" ht="12.0" customHeight="1">
      <c r="A54" s="206" t="s">
        <v>292</v>
      </c>
      <c r="B54" s="310" t="s">
        <v>293</v>
      </c>
      <c r="C54" s="244" t="s">
        <v>294</v>
      </c>
      <c r="D54" s="206"/>
      <c r="E54" s="206"/>
      <c r="F54" s="206"/>
      <c r="G54" s="206"/>
      <c r="H54" s="206"/>
      <c r="I54" s="206"/>
      <c r="J54" s="206"/>
      <c r="K54" s="206"/>
      <c r="L54" s="206"/>
      <c r="M54" s="206"/>
      <c r="N54" s="206"/>
      <c r="O54" s="206"/>
      <c r="P54" s="206"/>
      <c r="Q54" s="206"/>
    </row>
    <row r="55" ht="12.0" customHeight="1">
      <c r="A55" s="206" t="s">
        <v>295</v>
      </c>
      <c r="B55" s="310">
        <v>0.5</v>
      </c>
      <c r="C55" s="244" t="s">
        <v>296</v>
      </c>
      <c r="D55" s="206"/>
      <c r="E55" s="206"/>
      <c r="F55" s="206"/>
      <c r="G55" s="206"/>
      <c r="H55" s="206"/>
      <c r="I55" s="206"/>
      <c r="J55" s="206"/>
      <c r="K55" s="206"/>
      <c r="L55" s="206"/>
      <c r="M55" s="206"/>
      <c r="N55" s="206"/>
      <c r="O55" s="206"/>
      <c r="P55" s="206"/>
      <c r="Q55" s="206"/>
    </row>
    <row r="56" ht="12.0" customHeight="1">
      <c r="A56" s="206" t="s">
        <v>297</v>
      </c>
      <c r="B56" s="311"/>
      <c r="C56" s="244"/>
      <c r="D56" s="206"/>
      <c r="E56" s="206"/>
      <c r="F56" s="206"/>
      <c r="G56" s="206"/>
      <c r="H56" s="206"/>
      <c r="I56" s="206"/>
      <c r="J56" s="206"/>
      <c r="K56" s="206"/>
      <c r="L56" s="206"/>
      <c r="M56" s="206"/>
      <c r="N56" s="206"/>
      <c r="O56" s="206"/>
      <c r="P56" s="206"/>
      <c r="Q56" s="206"/>
    </row>
    <row r="57" ht="12.0" customHeight="1">
      <c r="A57" s="206" t="s">
        <v>298</v>
      </c>
      <c r="B57" s="228" t="s">
        <v>214</v>
      </c>
      <c r="C57" s="244"/>
      <c r="D57" s="206"/>
      <c r="E57" s="206"/>
      <c r="F57" s="206"/>
      <c r="G57" s="206"/>
      <c r="H57" s="206"/>
      <c r="I57" s="206"/>
      <c r="J57" s="206"/>
      <c r="K57" s="206"/>
      <c r="L57" s="206"/>
      <c r="M57" s="206"/>
      <c r="N57" s="206"/>
      <c r="O57" s="206"/>
      <c r="P57" s="206"/>
      <c r="Q57" s="206"/>
    </row>
    <row r="58" ht="12.0" customHeight="1">
      <c r="A58" s="206" t="s">
        <v>299</v>
      </c>
      <c r="B58" s="312">
        <v>1.0</v>
      </c>
      <c r="C58" s="244"/>
      <c r="D58" s="206"/>
      <c r="E58" s="206"/>
      <c r="F58" s="206"/>
      <c r="G58" s="206"/>
      <c r="H58" s="206"/>
      <c r="I58" s="206"/>
      <c r="J58" s="206"/>
      <c r="K58" s="206"/>
      <c r="L58" s="206"/>
      <c r="M58" s="206"/>
      <c r="N58" s="206"/>
      <c r="O58" s="206"/>
      <c r="P58" s="206"/>
      <c r="Q58" s="206"/>
    </row>
    <row r="59" ht="12.0" customHeight="1">
      <c r="A59" s="308" t="s">
        <v>300</v>
      </c>
      <c r="B59" s="311"/>
      <c r="C59" s="244"/>
      <c r="D59" s="206"/>
      <c r="E59" s="206"/>
      <c r="F59" s="206"/>
      <c r="G59" s="206"/>
      <c r="H59" s="206"/>
      <c r="I59" s="206"/>
      <c r="J59" s="206"/>
      <c r="K59" s="206"/>
      <c r="L59" s="206"/>
      <c r="M59" s="206"/>
      <c r="N59" s="206"/>
      <c r="O59" s="206"/>
      <c r="P59" s="206"/>
      <c r="Q59" s="206"/>
    </row>
    <row r="60" ht="12.0" customHeight="1">
      <c r="A60" s="206" t="s">
        <v>280</v>
      </c>
      <c r="B60" s="241" t="s">
        <v>214</v>
      </c>
      <c r="C60" s="244"/>
      <c r="D60" s="206"/>
      <c r="E60" s="206"/>
      <c r="F60" s="206"/>
      <c r="G60" s="206"/>
      <c r="H60" s="206"/>
      <c r="I60" s="206"/>
      <c r="J60" s="206"/>
      <c r="K60" s="206"/>
      <c r="L60" s="206"/>
      <c r="M60" s="206"/>
      <c r="N60" s="206"/>
      <c r="O60" s="206"/>
      <c r="P60" s="206"/>
      <c r="Q60" s="206"/>
    </row>
    <row r="61" ht="12.0" customHeight="1">
      <c r="A61" s="308" t="s">
        <v>301</v>
      </c>
      <c r="B61" s="206"/>
      <c r="C61" s="244"/>
      <c r="D61" s="206"/>
      <c r="E61" s="206"/>
      <c r="F61" s="206"/>
      <c r="G61" s="206"/>
      <c r="H61" s="206"/>
      <c r="I61" s="206"/>
      <c r="J61" s="206"/>
      <c r="K61" s="206"/>
      <c r="L61" s="206"/>
      <c r="M61" s="206"/>
      <c r="N61" s="206"/>
      <c r="O61" s="206"/>
      <c r="P61" s="206"/>
      <c r="Q61" s="206"/>
    </row>
    <row r="62" ht="12.0" customHeight="1">
      <c r="A62" s="206" t="s">
        <v>280</v>
      </c>
      <c r="B62" s="228" t="s">
        <v>214</v>
      </c>
      <c r="C62" s="244" t="s">
        <v>302</v>
      </c>
      <c r="D62" s="206"/>
      <c r="E62" s="206"/>
      <c r="F62" s="206"/>
      <c r="G62" s="206"/>
      <c r="H62" s="206"/>
      <c r="I62" s="206"/>
      <c r="J62" s="206"/>
      <c r="K62" s="206"/>
      <c r="L62" s="206"/>
      <c r="M62" s="206"/>
      <c r="N62" s="206"/>
      <c r="O62" s="206"/>
      <c r="P62" s="206"/>
      <c r="Q62" s="206"/>
    </row>
    <row r="63" ht="12.0" customHeight="1">
      <c r="A63" s="206" t="s">
        <v>303</v>
      </c>
      <c r="B63" s="306">
        <v>0</v>
      </c>
      <c r="C63" s="244" t="s">
        <v>304</v>
      </c>
      <c r="D63" s="206"/>
      <c r="E63" s="206"/>
      <c r="F63" s="206"/>
      <c r="G63" s="206"/>
      <c r="H63" s="206"/>
      <c r="I63" s="206"/>
      <c r="J63" s="206"/>
      <c r="K63" s="206"/>
      <c r="L63" s="206"/>
      <c r="M63" s="206"/>
      <c r="N63" s="206"/>
      <c r="O63" s="206"/>
      <c r="P63" s="206"/>
      <c r="Q63" s="206"/>
    </row>
    <row r="64" ht="12.0" customHeight="1">
      <c r="A64" s="206" t="s">
        <v>305</v>
      </c>
      <c r="B64" s="313"/>
      <c r="C64" s="244"/>
      <c r="D64" s="206"/>
      <c r="E64" s="206"/>
      <c r="F64" s="206"/>
      <c r="G64" s="206"/>
      <c r="H64" s="206"/>
      <c r="I64" s="206"/>
      <c r="J64" s="206"/>
      <c r="K64" s="206"/>
      <c r="L64" s="206"/>
      <c r="M64" s="206"/>
      <c r="N64" s="206"/>
      <c r="O64" s="206"/>
      <c r="P64" s="206"/>
      <c r="Q64" s="206"/>
    </row>
    <row r="65" ht="12.0" customHeight="1">
      <c r="A65" s="206" t="s">
        <v>280</v>
      </c>
      <c r="B65" s="228" t="s">
        <v>214</v>
      </c>
      <c r="C65" s="244" t="s">
        <v>306</v>
      </c>
      <c r="D65" s="206"/>
      <c r="E65" s="206"/>
      <c r="F65" s="206"/>
      <c r="G65" s="206"/>
      <c r="H65" s="206"/>
      <c r="I65" s="206"/>
      <c r="J65" s="206"/>
      <c r="K65" s="206"/>
      <c r="L65" s="206"/>
      <c r="M65" s="206"/>
      <c r="N65" s="206"/>
      <c r="O65" s="308"/>
      <c r="P65" s="308"/>
      <c r="Q65" s="308"/>
    </row>
    <row r="66" ht="12.0" customHeight="1">
      <c r="A66" s="206" t="s">
        <v>307</v>
      </c>
      <c r="B66" s="258">
        <v>0.02</v>
      </c>
      <c r="C66" s="244" t="s">
        <v>308</v>
      </c>
      <c r="D66" s="206"/>
      <c r="E66" s="206"/>
      <c r="F66" s="206"/>
      <c r="G66" s="206"/>
      <c r="H66" s="206"/>
      <c r="I66" s="206"/>
      <c r="J66" s="206"/>
      <c r="K66" s="206"/>
      <c r="L66" s="206"/>
      <c r="M66" s="206"/>
      <c r="N66" s="206"/>
      <c r="O66" s="206"/>
      <c r="P66" s="206"/>
      <c r="Q66" s="206"/>
    </row>
    <row r="67" ht="12.0" customHeight="1">
      <c r="A67" s="206" t="s">
        <v>309</v>
      </c>
      <c r="B67" s="307"/>
      <c r="C67" s="244"/>
      <c r="D67" s="206"/>
      <c r="E67" s="308"/>
      <c r="F67" s="308"/>
      <c r="G67" s="308"/>
      <c r="H67" s="308"/>
      <c r="I67" s="308"/>
      <c r="J67" s="308"/>
      <c r="K67" s="308"/>
      <c r="L67" s="308"/>
      <c r="M67" s="308"/>
      <c r="N67" s="308"/>
      <c r="O67" s="206"/>
      <c r="P67" s="206"/>
      <c r="Q67" s="206"/>
    </row>
    <row r="68" ht="12.0" customHeight="1">
      <c r="A68" s="206" t="s">
        <v>280</v>
      </c>
      <c r="B68" s="228" t="s">
        <v>214</v>
      </c>
      <c r="C68" s="244" t="s">
        <v>310</v>
      </c>
      <c r="D68" s="206"/>
      <c r="E68" s="206"/>
      <c r="F68" s="206"/>
      <c r="G68" s="206"/>
      <c r="H68" s="206"/>
      <c r="I68" s="206"/>
      <c r="J68" s="206"/>
      <c r="K68" s="206"/>
      <c r="L68" s="206"/>
      <c r="M68" s="206"/>
      <c r="N68" s="206"/>
      <c r="O68" s="206"/>
      <c r="P68" s="206"/>
      <c r="Q68" s="206"/>
    </row>
    <row r="69" ht="12.0" customHeight="1">
      <c r="A69" s="206" t="s">
        <v>311</v>
      </c>
      <c r="B69" s="258">
        <v>-0.05</v>
      </c>
      <c r="C69" s="244" t="s">
        <v>312</v>
      </c>
      <c r="D69" s="206"/>
      <c r="E69" s="206"/>
      <c r="F69" s="206"/>
      <c r="G69" s="206"/>
      <c r="H69" s="206"/>
      <c r="I69" s="206"/>
      <c r="J69" s="206"/>
      <c r="K69" s="206"/>
      <c r="L69" s="206"/>
      <c r="M69" s="206"/>
      <c r="N69" s="206"/>
      <c r="O69" s="206"/>
      <c r="P69" s="206"/>
      <c r="Q69" s="206"/>
    </row>
    <row r="70" ht="12.0" customHeight="1">
      <c r="A70" s="308" t="s">
        <v>313</v>
      </c>
      <c r="B70" s="308"/>
      <c r="C70" s="308"/>
      <c r="D70" s="308"/>
      <c r="E70" s="206"/>
      <c r="F70" s="206"/>
      <c r="G70" s="206"/>
      <c r="H70" s="206"/>
      <c r="I70" s="206"/>
      <c r="J70" s="206"/>
      <c r="K70" s="206"/>
      <c r="L70" s="206"/>
      <c r="M70" s="206"/>
      <c r="N70" s="206"/>
      <c r="O70" s="206"/>
      <c r="P70" s="206"/>
      <c r="Q70" s="206"/>
    </row>
    <row r="71" ht="12.0" customHeight="1">
      <c r="A71" s="206" t="s">
        <v>314</v>
      </c>
      <c r="B71" s="228" t="s">
        <v>214</v>
      </c>
      <c r="C71" s="206"/>
      <c r="D71" s="206"/>
      <c r="E71" s="206"/>
      <c r="F71" s="206"/>
      <c r="G71" s="206"/>
      <c r="H71" s="206"/>
      <c r="I71" s="206"/>
      <c r="J71" s="206"/>
      <c r="K71" s="206"/>
      <c r="L71" s="206"/>
      <c r="M71" s="206"/>
      <c r="N71" s="206"/>
      <c r="O71" s="206"/>
      <c r="P71" s="206"/>
      <c r="Q71" s="206"/>
    </row>
    <row r="72" ht="12.0" customHeight="1">
      <c r="A72" s="206" t="s">
        <v>315</v>
      </c>
      <c r="B72" s="306">
        <v>140000.0</v>
      </c>
      <c r="C72" s="244" t="s">
        <v>316</v>
      </c>
      <c r="D72" s="206"/>
      <c r="E72" s="206"/>
      <c r="F72" s="206"/>
      <c r="G72" s="206"/>
      <c r="H72" s="206"/>
      <c r="I72" s="206"/>
      <c r="J72" s="206"/>
      <c r="K72" s="206"/>
      <c r="L72" s="206"/>
      <c r="M72" s="206"/>
      <c r="N72" s="206"/>
      <c r="O72" s="206"/>
      <c r="P72" s="206"/>
      <c r="Q72" s="206"/>
    </row>
    <row r="73" ht="12.0" customHeight="1">
      <c r="A73" s="227" t="s">
        <v>317</v>
      </c>
      <c r="B73" s="310">
        <v>0.15</v>
      </c>
      <c r="C73" s="244" t="s">
        <v>318</v>
      </c>
      <c r="D73" s="206"/>
      <c r="E73" s="206"/>
      <c r="F73" s="206"/>
      <c r="G73" s="206"/>
      <c r="H73" s="206"/>
      <c r="I73" s="206"/>
      <c r="J73" s="206"/>
      <c r="K73" s="206"/>
      <c r="L73" s="206"/>
      <c r="M73" s="206"/>
      <c r="N73" s="206"/>
      <c r="O73" s="206"/>
      <c r="P73" s="206"/>
      <c r="Q73" s="206"/>
    </row>
    <row r="74" ht="12.0" customHeight="1">
      <c r="A74" s="314"/>
      <c r="B74" s="314"/>
      <c r="C74" s="314"/>
      <c r="D74" s="314"/>
      <c r="E74" s="206"/>
      <c r="F74" s="206"/>
      <c r="G74" s="206"/>
      <c r="H74" s="206"/>
      <c r="I74" s="206"/>
      <c r="J74" s="206"/>
      <c r="K74" s="206"/>
      <c r="L74" s="206"/>
      <c r="M74" s="206"/>
      <c r="N74" s="206"/>
      <c r="O74" s="314"/>
      <c r="P74" s="314"/>
      <c r="Q74" s="314"/>
    </row>
    <row r="75" ht="12.0" customHeight="1">
      <c r="A75" s="314"/>
      <c r="B75" s="314"/>
      <c r="C75" s="314"/>
      <c r="D75" s="314"/>
      <c r="E75" s="206"/>
      <c r="F75" s="206"/>
      <c r="G75" s="206"/>
      <c r="H75" s="206"/>
      <c r="I75" s="206"/>
      <c r="J75" s="206"/>
      <c r="K75" s="206"/>
      <c r="L75" s="206"/>
      <c r="M75" s="206"/>
      <c r="N75" s="206"/>
      <c r="O75" s="314"/>
      <c r="P75" s="314"/>
      <c r="Q75" s="314"/>
    </row>
    <row r="76" ht="12.0" customHeight="1">
      <c r="A76" s="314"/>
      <c r="B76" s="314"/>
      <c r="C76" s="314"/>
      <c r="D76" s="314"/>
      <c r="E76" s="314"/>
      <c r="F76" s="314"/>
      <c r="G76" s="314"/>
      <c r="H76" s="314"/>
      <c r="I76" s="314"/>
      <c r="J76" s="314"/>
      <c r="K76" s="314"/>
      <c r="L76" s="314"/>
      <c r="M76" s="314"/>
      <c r="N76" s="314"/>
      <c r="O76" s="314"/>
      <c r="P76" s="314"/>
      <c r="Q76" s="314"/>
    </row>
    <row r="77" ht="12.0" customHeight="1">
      <c r="A77" s="314"/>
      <c r="B77" s="314"/>
      <c r="C77" s="314"/>
      <c r="D77" s="314"/>
      <c r="E77" s="314"/>
      <c r="F77" s="314"/>
      <c r="G77" s="314"/>
      <c r="H77" s="314"/>
      <c r="I77" s="314"/>
      <c r="J77" s="314"/>
      <c r="K77" s="314"/>
      <c r="L77" s="314"/>
      <c r="M77" s="314"/>
      <c r="N77" s="314"/>
      <c r="O77" s="314"/>
      <c r="P77" s="314"/>
      <c r="Q77" s="314"/>
    </row>
    <row r="78" ht="12.0" customHeight="1">
      <c r="A78" s="314"/>
      <c r="B78" s="314"/>
      <c r="C78" s="314"/>
      <c r="D78" s="314"/>
      <c r="E78" s="314"/>
      <c r="F78" s="314"/>
      <c r="G78" s="314"/>
      <c r="H78" s="314"/>
      <c r="I78" s="314"/>
      <c r="J78" s="314"/>
      <c r="K78" s="314"/>
      <c r="L78" s="314"/>
      <c r="M78" s="314"/>
      <c r="N78" s="314"/>
      <c r="O78" s="314"/>
      <c r="P78" s="314"/>
      <c r="Q78" s="314"/>
    </row>
    <row r="79" ht="12.0" customHeight="1">
      <c r="A79" s="314"/>
      <c r="B79" s="314"/>
      <c r="C79" s="314"/>
      <c r="D79" s="314"/>
      <c r="E79" s="314"/>
      <c r="F79" s="314"/>
      <c r="G79" s="314"/>
      <c r="H79" s="314"/>
      <c r="I79" s="314"/>
      <c r="J79" s="314"/>
      <c r="K79" s="314"/>
      <c r="L79" s="314"/>
      <c r="M79" s="314"/>
      <c r="N79" s="314"/>
      <c r="O79" s="314"/>
      <c r="P79" s="314"/>
      <c r="Q79" s="314"/>
    </row>
    <row r="80" ht="12.0" customHeight="1">
      <c r="A80" s="314"/>
      <c r="B80" s="314"/>
      <c r="C80" s="314"/>
      <c r="D80" s="314"/>
      <c r="E80" s="314"/>
      <c r="F80" s="314"/>
      <c r="G80" s="314"/>
      <c r="H80" s="314"/>
      <c r="I80" s="314"/>
      <c r="J80" s="314"/>
      <c r="K80" s="314"/>
      <c r="L80" s="314"/>
      <c r="M80" s="314"/>
      <c r="N80" s="314"/>
      <c r="O80" s="314"/>
      <c r="P80" s="314"/>
      <c r="Q80" s="314"/>
    </row>
    <row r="81" ht="12.0" customHeight="1">
      <c r="A81" s="314"/>
      <c r="B81" s="314"/>
      <c r="C81" s="314"/>
      <c r="D81" s="314"/>
      <c r="E81" s="314"/>
      <c r="F81" s="314"/>
      <c r="G81" s="314"/>
      <c r="H81" s="314"/>
      <c r="I81" s="314"/>
      <c r="J81" s="314"/>
      <c r="K81" s="314"/>
      <c r="L81" s="314"/>
      <c r="M81" s="314"/>
      <c r="N81" s="314"/>
      <c r="O81" s="314"/>
      <c r="P81" s="314"/>
      <c r="Q81" s="314"/>
    </row>
    <row r="82" ht="12.0" customHeight="1">
      <c r="A82" s="314"/>
      <c r="B82" s="314"/>
      <c r="C82" s="314"/>
      <c r="D82" s="314"/>
      <c r="E82" s="314"/>
      <c r="F82" s="314"/>
      <c r="G82" s="314"/>
      <c r="H82" s="314"/>
      <c r="I82" s="314"/>
      <c r="J82" s="314"/>
      <c r="K82" s="314"/>
      <c r="L82" s="314"/>
      <c r="M82" s="314"/>
      <c r="N82" s="314"/>
      <c r="O82" s="314"/>
      <c r="P82" s="314"/>
      <c r="Q82" s="314"/>
    </row>
    <row r="83" ht="12.0" customHeight="1">
      <c r="A83" s="314"/>
      <c r="B83" s="314"/>
      <c r="C83" s="314"/>
      <c r="D83" s="314"/>
      <c r="E83" s="314"/>
      <c r="F83" s="314"/>
      <c r="G83" s="314"/>
      <c r="H83" s="314"/>
      <c r="I83" s="314"/>
      <c r="J83" s="314"/>
      <c r="K83" s="314"/>
      <c r="L83" s="314"/>
      <c r="M83" s="314"/>
      <c r="N83" s="314"/>
      <c r="O83" s="314"/>
      <c r="P83" s="314"/>
      <c r="Q83" s="314"/>
    </row>
    <row r="84" ht="12.0" customHeight="1">
      <c r="A84" s="314"/>
      <c r="B84" s="314"/>
      <c r="C84" s="314"/>
      <c r="D84" s="314"/>
      <c r="E84" s="314"/>
      <c r="F84" s="314"/>
      <c r="G84" s="314"/>
      <c r="H84" s="314"/>
      <c r="I84" s="314"/>
      <c r="J84" s="314"/>
      <c r="K84" s="314"/>
      <c r="L84" s="314"/>
      <c r="M84" s="314"/>
      <c r="N84" s="314"/>
      <c r="O84" s="314"/>
      <c r="P84" s="314"/>
      <c r="Q84" s="314"/>
    </row>
    <row r="85" ht="12.0" customHeight="1">
      <c r="A85" s="314"/>
      <c r="B85" s="314"/>
      <c r="C85" s="314"/>
      <c r="D85" s="314"/>
      <c r="E85" s="314"/>
      <c r="F85" s="314"/>
      <c r="G85" s="314"/>
      <c r="H85" s="314"/>
      <c r="I85" s="314"/>
      <c r="J85" s="314"/>
      <c r="K85" s="314"/>
      <c r="L85" s="314"/>
      <c r="M85" s="314"/>
      <c r="N85" s="314"/>
      <c r="O85" s="314"/>
      <c r="P85" s="314"/>
      <c r="Q85" s="314"/>
    </row>
    <row r="86" ht="12.0" customHeight="1">
      <c r="A86" s="314"/>
      <c r="B86" s="314"/>
      <c r="C86" s="314"/>
      <c r="D86" s="314"/>
      <c r="E86" s="314"/>
      <c r="F86" s="314"/>
      <c r="G86" s="314"/>
      <c r="H86" s="314"/>
      <c r="I86" s="314"/>
      <c r="J86" s="314"/>
      <c r="K86" s="314"/>
      <c r="L86" s="314"/>
      <c r="M86" s="314"/>
      <c r="N86" s="314"/>
      <c r="O86" s="314"/>
      <c r="P86" s="314"/>
      <c r="Q86" s="314"/>
    </row>
    <row r="87" ht="12.0" customHeight="1">
      <c r="A87" s="314"/>
      <c r="B87" s="314"/>
      <c r="C87" s="314"/>
      <c r="D87" s="314"/>
      <c r="E87" s="314"/>
      <c r="F87" s="314"/>
      <c r="G87" s="314"/>
      <c r="H87" s="314"/>
      <c r="I87" s="314"/>
      <c r="J87" s="314"/>
      <c r="K87" s="314"/>
      <c r="L87" s="314"/>
      <c r="M87" s="314"/>
      <c r="N87" s="314"/>
      <c r="O87" s="314"/>
      <c r="P87" s="314"/>
      <c r="Q87" s="314"/>
    </row>
    <row r="88" ht="12.0" customHeight="1">
      <c r="A88" s="314"/>
      <c r="B88" s="314"/>
      <c r="C88" s="314"/>
      <c r="D88" s="314"/>
      <c r="E88" s="314"/>
      <c r="F88" s="314"/>
      <c r="G88" s="314"/>
      <c r="H88" s="314"/>
      <c r="I88" s="314"/>
      <c r="J88" s="314"/>
      <c r="K88" s="314"/>
      <c r="L88" s="314"/>
      <c r="M88" s="314"/>
      <c r="N88" s="314"/>
      <c r="O88" s="314"/>
      <c r="P88" s="314"/>
      <c r="Q88" s="314"/>
    </row>
    <row r="89" ht="15.75" customHeight="1">
      <c r="A89" s="77"/>
      <c r="B89" s="77"/>
      <c r="C89" s="77"/>
      <c r="D89" s="77"/>
      <c r="E89" s="77"/>
      <c r="F89" s="77"/>
      <c r="G89" s="77"/>
      <c r="H89" s="77"/>
      <c r="I89" s="77"/>
      <c r="J89" s="77"/>
      <c r="K89" s="77"/>
      <c r="L89" s="77"/>
      <c r="M89" s="77"/>
      <c r="N89" s="77"/>
      <c r="O89" s="77"/>
      <c r="P89" s="77"/>
      <c r="Q89" s="77"/>
    </row>
    <row r="90" ht="15.75" customHeight="1">
      <c r="A90" s="77"/>
      <c r="B90" s="77"/>
      <c r="C90" s="77"/>
      <c r="D90" s="77"/>
      <c r="E90" s="77"/>
      <c r="F90" s="77"/>
      <c r="G90" s="77"/>
      <c r="H90" s="77"/>
      <c r="I90" s="77"/>
      <c r="J90" s="77"/>
      <c r="K90" s="77"/>
      <c r="L90" s="77"/>
      <c r="M90" s="77"/>
      <c r="N90" s="77"/>
      <c r="O90" s="77"/>
      <c r="P90" s="77"/>
      <c r="Q90" s="77"/>
    </row>
    <row r="91" ht="15.75" customHeight="1">
      <c r="A91" s="77"/>
      <c r="B91" s="77"/>
      <c r="C91" s="77"/>
      <c r="D91" s="77"/>
      <c r="E91" s="77"/>
      <c r="F91" s="77"/>
      <c r="G91" s="77"/>
      <c r="H91" s="77"/>
      <c r="I91" s="77"/>
      <c r="J91" s="77"/>
      <c r="K91" s="77"/>
      <c r="L91" s="77"/>
      <c r="M91" s="77"/>
      <c r="N91" s="77"/>
      <c r="O91" s="77"/>
      <c r="P91" s="77"/>
      <c r="Q91" s="77"/>
    </row>
    <row r="92" ht="15.75" customHeight="1">
      <c r="A92" s="77"/>
      <c r="B92" s="77"/>
      <c r="C92" s="77"/>
      <c r="D92" s="77"/>
      <c r="E92" s="77"/>
      <c r="F92" s="77"/>
      <c r="G92" s="77"/>
      <c r="H92" s="77"/>
      <c r="I92" s="77"/>
      <c r="J92" s="77"/>
      <c r="K92" s="77"/>
      <c r="L92" s="77"/>
      <c r="M92" s="77"/>
      <c r="N92" s="77"/>
      <c r="O92" s="77"/>
      <c r="P92" s="77"/>
      <c r="Q92" s="77"/>
    </row>
    <row r="93" ht="15.75" customHeight="1">
      <c r="A93" s="77"/>
      <c r="B93" s="77"/>
      <c r="C93" s="77"/>
      <c r="D93" s="77"/>
      <c r="E93" s="77"/>
      <c r="F93" s="77"/>
      <c r="G93" s="77"/>
      <c r="H93" s="77"/>
      <c r="I93" s="77"/>
      <c r="J93" s="77"/>
      <c r="K93" s="77"/>
      <c r="L93" s="77"/>
      <c r="M93" s="77"/>
      <c r="N93" s="77"/>
      <c r="O93" s="77"/>
      <c r="P93" s="77"/>
      <c r="Q93" s="77"/>
    </row>
    <row r="94" ht="15.75" customHeight="1">
      <c r="A94" s="77"/>
      <c r="B94" s="77"/>
      <c r="C94" s="77"/>
      <c r="D94" s="77"/>
      <c r="E94" s="77"/>
      <c r="F94" s="77"/>
      <c r="G94" s="77"/>
      <c r="H94" s="77"/>
      <c r="I94" s="77"/>
      <c r="J94" s="77"/>
      <c r="K94" s="77"/>
      <c r="L94" s="77"/>
      <c r="M94" s="77"/>
      <c r="N94" s="77"/>
      <c r="O94" s="77"/>
      <c r="P94" s="77"/>
      <c r="Q94" s="77"/>
    </row>
    <row r="95" ht="15.75" customHeight="1">
      <c r="A95" s="77"/>
      <c r="B95" s="77"/>
      <c r="C95" s="77"/>
      <c r="D95" s="77"/>
      <c r="E95" s="77"/>
      <c r="F95" s="77"/>
      <c r="G95" s="77"/>
      <c r="H95" s="77"/>
      <c r="I95" s="77"/>
      <c r="J95" s="77"/>
      <c r="K95" s="77"/>
      <c r="L95" s="77"/>
      <c r="M95" s="77"/>
      <c r="N95" s="77"/>
      <c r="O95" s="77"/>
      <c r="P95" s="77"/>
      <c r="Q95" s="77"/>
    </row>
    <row r="96" ht="15.75" customHeight="1">
      <c r="A96" s="77"/>
      <c r="B96" s="77"/>
      <c r="C96" s="77"/>
      <c r="D96" s="77"/>
      <c r="E96" s="77"/>
      <c r="F96" s="77"/>
      <c r="G96" s="77"/>
      <c r="H96" s="77"/>
      <c r="I96" s="77"/>
      <c r="J96" s="77"/>
      <c r="K96" s="77"/>
      <c r="L96" s="77"/>
      <c r="M96" s="77"/>
      <c r="N96" s="77"/>
      <c r="O96" s="77"/>
      <c r="P96" s="77"/>
      <c r="Q96" s="77"/>
    </row>
    <row r="97" ht="15.75" customHeight="1">
      <c r="A97" s="77"/>
      <c r="B97" s="77"/>
      <c r="C97" s="77"/>
      <c r="D97" s="77"/>
      <c r="E97" s="77"/>
      <c r="F97" s="77"/>
      <c r="G97" s="77"/>
      <c r="H97" s="77"/>
      <c r="I97" s="77"/>
      <c r="J97" s="77"/>
      <c r="K97" s="77"/>
      <c r="L97" s="77"/>
      <c r="M97" s="77"/>
      <c r="N97" s="77"/>
      <c r="O97" s="77"/>
      <c r="P97" s="77"/>
      <c r="Q97" s="77"/>
    </row>
    <row r="98" ht="15.75" customHeight="1">
      <c r="A98" s="77"/>
      <c r="B98" s="77"/>
      <c r="C98" s="77"/>
      <c r="D98" s="77"/>
      <c r="E98" s="77"/>
      <c r="F98" s="77"/>
      <c r="G98" s="77"/>
      <c r="H98" s="77"/>
      <c r="I98" s="77"/>
      <c r="J98" s="77"/>
      <c r="K98" s="77"/>
      <c r="L98" s="77"/>
      <c r="M98" s="77"/>
      <c r="N98" s="77"/>
      <c r="O98" s="77"/>
      <c r="P98" s="77"/>
      <c r="Q98" s="77"/>
    </row>
    <row r="99" ht="15.75" customHeight="1">
      <c r="A99" s="77"/>
      <c r="B99" s="77"/>
      <c r="C99" s="77"/>
      <c r="D99" s="77"/>
      <c r="E99" s="77"/>
      <c r="F99" s="77"/>
      <c r="G99" s="77"/>
      <c r="H99" s="77"/>
      <c r="I99" s="77"/>
      <c r="J99" s="77"/>
      <c r="K99" s="77"/>
      <c r="L99" s="77"/>
      <c r="M99" s="77"/>
      <c r="N99" s="77"/>
      <c r="O99" s="77"/>
      <c r="P99" s="77"/>
      <c r="Q99" s="77"/>
    </row>
    <row r="100" ht="15.75" customHeight="1">
      <c r="A100" s="77"/>
      <c r="B100" s="77"/>
      <c r="C100" s="77"/>
      <c r="D100" s="77"/>
      <c r="E100" s="77"/>
      <c r="F100" s="77"/>
      <c r="G100" s="77"/>
      <c r="H100" s="77"/>
      <c r="I100" s="77"/>
      <c r="J100" s="77"/>
      <c r="K100" s="77"/>
      <c r="L100" s="77"/>
      <c r="M100" s="77"/>
      <c r="N100" s="77"/>
      <c r="O100" s="77"/>
      <c r="P100" s="77"/>
      <c r="Q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6:J6"/>
    <mergeCell ref="F8:I12"/>
    <mergeCell ref="D12:D16"/>
    <mergeCell ref="E22:N22"/>
    <mergeCell ref="L24:N24"/>
    <mergeCell ref="E34:J34"/>
    <mergeCell ref="C36:D36"/>
    <mergeCell ref="A44:B44"/>
  </mergeCells>
  <dataValidations>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4">
      <formula1>0.0</formula1>
      <formula2>1.0</formula2>
    </dataValidation>
  </dataValidations>
  <printOptions/>
  <pageMargins bottom="1.0" footer="0.0" header="0.0" left="0.75" right="0.75" top="1.0"/>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sheetViews>
  <sheetFormatPr customHeight="1" defaultColWidth="12.63" defaultRowHeight="15.0"/>
  <cols>
    <col customWidth="1" min="1" max="1" width="17.88"/>
    <col customWidth="1" min="2" max="2" width="13.0"/>
    <col customWidth="1" min="3" max="13" width="12.38"/>
    <col customWidth="1" min="14" max="14" width="9.88"/>
    <col customWidth="1" min="15" max="17" width="8.38"/>
    <col customWidth="1" min="18" max="26" width="11.25"/>
  </cols>
  <sheetData>
    <row r="1" ht="37.5" customHeight="1">
      <c r="A1" s="2" t="str">
        <f>'Input sheet'!A1</f>
        <v>Novo Nordisk (NYSE:NVO)</v>
      </c>
      <c r="B1" s="2"/>
      <c r="C1" s="2" t="s">
        <v>57</v>
      </c>
      <c r="D1" s="2">
        <f>'Input sheet'!D1</f>
        <v>39.4</v>
      </c>
      <c r="E1" s="7"/>
      <c r="F1" s="7"/>
      <c r="G1" s="7"/>
      <c r="H1" s="7"/>
      <c r="I1" s="7"/>
      <c r="J1" s="7"/>
      <c r="K1" s="7"/>
      <c r="L1" s="7"/>
      <c r="M1" s="7"/>
      <c r="N1" s="7"/>
      <c r="O1" s="7"/>
      <c r="P1" s="7"/>
      <c r="Q1" s="7"/>
    </row>
    <row r="2" ht="15.75" customHeight="1">
      <c r="A2" s="209" t="s">
        <v>219</v>
      </c>
      <c r="B2" s="206" t="s">
        <v>17</v>
      </c>
      <c r="C2" s="249"/>
      <c r="D2" s="249"/>
      <c r="E2" s="249"/>
      <c r="F2" s="249"/>
      <c r="G2" s="249"/>
      <c r="H2" s="249"/>
      <c r="I2" s="249"/>
      <c r="J2" s="249"/>
      <c r="K2" s="249"/>
      <c r="L2" s="249"/>
      <c r="M2" s="249"/>
      <c r="N2" s="9"/>
      <c r="O2" s="9"/>
      <c r="P2" s="9"/>
      <c r="Q2" s="9"/>
    </row>
    <row r="3" ht="15.75" customHeight="1">
      <c r="A3" s="250"/>
      <c r="B3" s="225" t="s">
        <v>221</v>
      </c>
      <c r="C3" s="225">
        <v>1.0</v>
      </c>
      <c r="D3" s="225">
        <v>2.0</v>
      </c>
      <c r="E3" s="225">
        <v>3.0</v>
      </c>
      <c r="F3" s="225">
        <v>4.0</v>
      </c>
      <c r="G3" s="225">
        <v>5.0</v>
      </c>
      <c r="H3" s="225">
        <v>6.0</v>
      </c>
      <c r="I3" s="225">
        <v>7.0</v>
      </c>
      <c r="J3" s="225">
        <v>8.0</v>
      </c>
      <c r="K3" s="225">
        <v>9.0</v>
      </c>
      <c r="L3" s="225">
        <v>10.0</v>
      </c>
      <c r="M3" s="252" t="s">
        <v>223</v>
      </c>
      <c r="N3" s="9"/>
      <c r="O3" s="9"/>
      <c r="P3" s="9"/>
      <c r="Q3" s="9"/>
    </row>
    <row r="4" ht="15.75" customHeight="1">
      <c r="A4" s="206" t="s">
        <v>225</v>
      </c>
      <c r="B4" s="254">
        <f>'Input sheet'!B27</f>
        <v>-0.04</v>
      </c>
      <c r="C4" s="255">
        <f>'Input sheet'!B27</f>
        <v>-0.04</v>
      </c>
      <c r="D4" s="255">
        <f>'Input sheet'!B29</f>
        <v>0.035</v>
      </c>
      <c r="E4" s="255">
        <f t="shared" ref="E4:G4" si="1">D4</f>
        <v>0.035</v>
      </c>
      <c r="F4" s="255">
        <f t="shared" si="1"/>
        <v>0.035</v>
      </c>
      <c r="G4" s="255">
        <f t="shared" si="1"/>
        <v>0.035</v>
      </c>
      <c r="H4" s="255">
        <f>G4-((G4-$M$4)/5)</f>
        <v>0.03792</v>
      </c>
      <c r="I4" s="255">
        <f>G4-((G4-$M$4)/5)*2</f>
        <v>0.04084</v>
      </c>
      <c r="J4" s="255">
        <f>G4-((G4-$M$4)/5)*3</f>
        <v>0.04376</v>
      </c>
      <c r="K4" s="255">
        <f>G4-((G4-$M$4)/5)*4</f>
        <v>0.04668</v>
      </c>
      <c r="L4" s="255">
        <f>G4-((G4-$M$4)/5)*5</f>
        <v>0.0496</v>
      </c>
      <c r="M4" s="255">
        <f>IF('Input sheet'!B68="Yes",'Input sheet'!B69,IF('Input sheet'!B65="Yes",'Input sheet'!B66,'Input sheet'!B35))</f>
        <v>0.0496</v>
      </c>
      <c r="N4" s="9"/>
      <c r="O4" s="9"/>
      <c r="P4" s="9"/>
      <c r="Q4" s="9"/>
    </row>
    <row r="5" ht="15.0" customHeight="1">
      <c r="A5" s="206" t="s">
        <v>158</v>
      </c>
      <c r="B5" s="268">
        <f>'Input sheet'!$B$12</f>
        <v>47254.1</v>
      </c>
      <c r="C5" s="270">
        <f t="shared" ref="C5:M5" si="2">B5*(1+C4)</f>
        <v>45363.936</v>
      </c>
      <c r="D5" s="270">
        <f t="shared" si="2"/>
        <v>46951.67376</v>
      </c>
      <c r="E5" s="270">
        <f t="shared" si="2"/>
        <v>48594.9823416</v>
      </c>
      <c r="F5" s="270">
        <f t="shared" si="2"/>
        <v>50295.806723556</v>
      </c>
      <c r="G5" s="270">
        <f t="shared" si="2"/>
        <v>52056.1599588804</v>
      </c>
      <c r="H5" s="270">
        <f t="shared" si="2"/>
        <v>54030.1295445212</v>
      </c>
      <c r="I5" s="270">
        <f t="shared" si="2"/>
        <v>56236.7200351194</v>
      </c>
      <c r="J5" s="270">
        <f t="shared" si="2"/>
        <v>58697.6389038563</v>
      </c>
      <c r="K5" s="270">
        <f t="shared" si="2"/>
        <v>61437.6446878883</v>
      </c>
      <c r="L5" s="270">
        <f t="shared" si="2"/>
        <v>64484.9518644075</v>
      </c>
      <c r="M5" s="273">
        <f t="shared" si="2"/>
        <v>67683.4054768822</v>
      </c>
      <c r="N5" s="9"/>
      <c r="O5" s="9"/>
      <c r="P5" s="9"/>
      <c r="Q5" s="9"/>
    </row>
    <row r="6" ht="15.0" customHeight="1">
      <c r="A6" s="206" t="s">
        <v>238</v>
      </c>
      <c r="B6" s="254">
        <f>B7/B5</f>
        <v>0.494987948135717</v>
      </c>
      <c r="C6" s="272">
        <f>'Input sheet'!B28</f>
        <v>0.474987948135717</v>
      </c>
      <c r="D6" s="272">
        <f>IF(D3&gt;'Input sheet'!$B$31,$C$46,$C$46-(($C$46-$C$6)/'Input sheet'!$B$31)*('Input sheet'!$B$31-D3))</f>
        <v>0.46499276888143</v>
      </c>
      <c r="E6" s="272">
        <f>IF(E3&gt;'Input sheet'!$B$31,$C$46,$C$46-(($C$46-$C$6)/'Input sheet'!$B$31)*('Input sheet'!$B$31-E3))</f>
        <v>0.459995179254287</v>
      </c>
      <c r="F6" s="272">
        <f>IF(F3&gt;'Input sheet'!$B$31,$C$46,$C$46-(($C$46-$C$6)/'Input sheet'!$B$31)*('Input sheet'!$B$31-F3))</f>
        <v>0.454997589627144</v>
      </c>
      <c r="G6" s="272">
        <f>IF(G3&gt;'Input sheet'!$B$31,$C$46,$C$46-(($C$46-$C$6)/'Input sheet'!$B$31)*('Input sheet'!$B$31-G3))</f>
        <v>0.45</v>
      </c>
      <c r="H6" s="272">
        <f>IF(H3&gt;'Input sheet'!$B$31,$C$46,$C$46-(($C$46-$C$6)/'Input sheet'!$B$31)*('Input sheet'!$B$31-H3))</f>
        <v>0.45</v>
      </c>
      <c r="I6" s="272">
        <f>IF(I3&gt;'Input sheet'!$B$31,$C$46,$C$46-(($C$46-$C$6)/'Input sheet'!$B$31)*('Input sheet'!$B$31-I3))</f>
        <v>0.45</v>
      </c>
      <c r="J6" s="272">
        <f>IF(J3&gt;'Input sheet'!$B$31,$C$46,$C$46-(($C$46-$C$6)/'Input sheet'!$B$31)*('Input sheet'!$B$31-J3))</f>
        <v>0.45</v>
      </c>
      <c r="K6" s="272">
        <f>IF(K3&gt;'Input sheet'!$B$31,$C$46,$C$46-(($C$46-$C$6)/'Input sheet'!$B$31)*('Input sheet'!$B$31-K3))</f>
        <v>0.45</v>
      </c>
      <c r="L6" s="272">
        <f>IF(L3&gt;'Input sheet'!$B$31,$C$46,$C$46-(($C$46-$C$6)/'Input sheet'!$B$31)*('Input sheet'!$B$31-L3))</f>
        <v>0.45</v>
      </c>
      <c r="M6" s="272">
        <f>L6</f>
        <v>0.45</v>
      </c>
      <c r="N6" s="9"/>
      <c r="O6" s="9"/>
      <c r="P6" s="9"/>
      <c r="Q6" s="9"/>
    </row>
    <row r="7" ht="15.0" customHeight="1">
      <c r="A7" s="206" t="s">
        <v>246</v>
      </c>
      <c r="B7" s="268">
        <f>IF('Input sheet'!$B$18="Yes",IF('Input sheet'!$B$17="Yes",'Input sheet'!$B$13+'Operating lease converter'!$F$33+'R&amp; D converter'!$D$40,'Input sheet'!$B$13+'Operating lease converter'!$F$33),IF('Input sheet'!$B$17="Yes",'Input sheet'!$B$13+'R&amp; D converter'!$D$40,'Input sheet'!$B$13))</f>
        <v>23390.21</v>
      </c>
      <c r="C7" s="270">
        <f t="shared" ref="C7:M7" si="3">C6*C5</f>
        <v>21547.32288</v>
      </c>
      <c r="D7" s="270">
        <f t="shared" si="3"/>
        <v>21832.18878528</v>
      </c>
      <c r="E7" s="270">
        <f t="shared" si="3"/>
        <v>22353.4576130832</v>
      </c>
      <c r="F7" s="270">
        <f t="shared" si="3"/>
        <v>22884.4708275706</v>
      </c>
      <c r="G7" s="270">
        <f t="shared" si="3"/>
        <v>23425.2719814962</v>
      </c>
      <c r="H7" s="270">
        <f t="shared" si="3"/>
        <v>24313.5582950345</v>
      </c>
      <c r="I7" s="270">
        <f t="shared" si="3"/>
        <v>25306.5240158037</v>
      </c>
      <c r="J7" s="270">
        <f t="shared" si="3"/>
        <v>26413.9375067353</v>
      </c>
      <c r="K7" s="270">
        <f t="shared" si="3"/>
        <v>27646.9401095497</v>
      </c>
      <c r="L7" s="270">
        <f t="shared" si="3"/>
        <v>29018.2283389834</v>
      </c>
      <c r="M7" s="273">
        <f t="shared" si="3"/>
        <v>30457.532464597</v>
      </c>
      <c r="N7" s="288">
        <f>M7-B7</f>
        <v>7067.32246459697</v>
      </c>
      <c r="O7" s="9"/>
      <c r="P7" s="9"/>
      <c r="Q7" s="9"/>
    </row>
    <row r="8" ht="15.0" customHeight="1">
      <c r="A8" s="206" t="s">
        <v>250</v>
      </c>
      <c r="B8" s="254">
        <f>'Input sheet'!$B$24</f>
        <v>0.2005</v>
      </c>
      <c r="C8" s="272">
        <f t="shared" ref="C8:G8" si="4">B8</f>
        <v>0.2005</v>
      </c>
      <c r="D8" s="272">
        <f t="shared" si="4"/>
        <v>0.2005</v>
      </c>
      <c r="E8" s="272">
        <f t="shared" si="4"/>
        <v>0.2005</v>
      </c>
      <c r="F8" s="272">
        <f t="shared" si="4"/>
        <v>0.2005</v>
      </c>
      <c r="G8" s="272">
        <f t="shared" si="4"/>
        <v>0.2005</v>
      </c>
      <c r="H8" s="272">
        <f t="shared" ref="H8:L8" si="5">G8+($M8-$G8)/5</f>
        <v>0.2044</v>
      </c>
      <c r="I8" s="272">
        <f t="shared" si="5"/>
        <v>0.2083</v>
      </c>
      <c r="J8" s="272">
        <f t="shared" si="5"/>
        <v>0.2122</v>
      </c>
      <c r="K8" s="272">
        <f t="shared" si="5"/>
        <v>0.2161</v>
      </c>
      <c r="L8" s="272">
        <f t="shared" si="5"/>
        <v>0.22</v>
      </c>
      <c r="M8" s="272">
        <f>IF('Input sheet'!$B$60="Yes",'Input sheet'!$B$24,'Input sheet'!$B$25)</f>
        <v>0.22</v>
      </c>
      <c r="N8" s="9"/>
      <c r="O8" s="9"/>
      <c r="P8" s="9"/>
      <c r="Q8" s="9"/>
    </row>
    <row r="9" ht="15.0" customHeight="1">
      <c r="A9" s="206" t="s">
        <v>256</v>
      </c>
      <c r="B9" s="268">
        <f>IF(B7&gt;0,B7*(1-B8),B7)</f>
        <v>18700.472895</v>
      </c>
      <c r="C9" s="270">
        <f t="shared" ref="C9:L9" si="6">IF(C7&gt;0,IF(C7&lt;B12,C7,C7-(C7-B12)*C8),C7)</f>
        <v>17227.08464256</v>
      </c>
      <c r="D9" s="270">
        <f t="shared" si="6"/>
        <v>17454.8349338314</v>
      </c>
      <c r="E9" s="270">
        <f t="shared" si="6"/>
        <v>17871.58936166</v>
      </c>
      <c r="F9" s="270">
        <f t="shared" si="6"/>
        <v>18296.1344266427</v>
      </c>
      <c r="G9" s="270">
        <f t="shared" si="6"/>
        <v>18728.5049492062</v>
      </c>
      <c r="H9" s="270">
        <f t="shared" si="6"/>
        <v>19343.8669795295</v>
      </c>
      <c r="I9" s="270">
        <f t="shared" si="6"/>
        <v>20035.1750633118</v>
      </c>
      <c r="J9" s="270">
        <f t="shared" si="6"/>
        <v>20808.8999678061</v>
      </c>
      <c r="K9" s="270">
        <f t="shared" si="6"/>
        <v>21672.436351876</v>
      </c>
      <c r="L9" s="270">
        <f t="shared" si="6"/>
        <v>22634.218104407</v>
      </c>
      <c r="M9" s="270">
        <f>M7*(1-M8)</f>
        <v>23756.8753223856</v>
      </c>
      <c r="N9" s="9"/>
      <c r="O9" s="9"/>
      <c r="P9" s="9"/>
      <c r="Q9" s="9"/>
    </row>
    <row r="10" ht="15.0" customHeight="1">
      <c r="A10" s="206" t="s">
        <v>260</v>
      </c>
      <c r="B10" s="268"/>
      <c r="C10" s="270">
        <f>IF('Input sheet'!$B$57="No",(D5-C5)/C40,IF('Input sheet'!$B$58=0,(C5-B5)/C40,IF('Input sheet'!$B$58=2,(E5-D5)/C40,IF('Input sheet'!$B$58=3,(F5-E5)/C40,(D5-C5)/C40))))</f>
        <v>1984.6722</v>
      </c>
      <c r="D10" s="270">
        <f>IF('Input sheet'!$B$57="No",(E5-D5)/D40,IF('Input sheet'!$B$58=0,(D5-C5)/D40,IF('Input sheet'!$B$58=2,(F5-E5)/D40,IF('Input sheet'!$B$58=3,(G5-F5)/D40,(E5-D5)/D40))))</f>
        <v>2054.13572699999</v>
      </c>
      <c r="E10" s="270">
        <f>IF('Input sheet'!$B$57="No",(F5-E5)/E40,IF('Input sheet'!$B$58=0,(E5-D5)/E40,IF('Input sheet'!$B$58=2,(G5-F5)/E40,IF('Input sheet'!$B$58=3,(H5-G5)/E40,(F5-E5)/E40))))</f>
        <v>2126.03047744499</v>
      </c>
      <c r="F10" s="270">
        <f>IF('Input sheet'!$B$57="No",(G5-F5)/F40,IF('Input sheet'!$B$58=0,(F5-E5)/F40,IF('Input sheet'!$B$58=2,(H5-G5)/F40,IF('Input sheet'!$B$58=3,(I5-H5)/F40,(G5-F5)/F40))))</f>
        <v>2200.44154415556</v>
      </c>
      <c r="G10" s="270">
        <f>IF('Input sheet'!$B$57="No",(H5-G5)/G40,IF('Input sheet'!$B$58=0,(G5-F5)/G40,IF('Input sheet'!$B$58=2,(I5-H5)/G40,IF('Input sheet'!$B$58=3,(J5-I5)/G40,(H5-G5)/G40))))</f>
        <v>2467.46198205093</v>
      </c>
      <c r="H10" s="270">
        <f>IF('Input sheet'!$B$57="No",(I5-H5)/H40,IF('Input sheet'!$B$58=0,(H5-G5)/H40,IF('Input sheet'!$B$58=2,(J5-I5)/H40,IF('Input sheet'!$B$58=3,(K5-J5)/H40,(I5-H5)/H40))))</f>
        <v>2062.63919915307</v>
      </c>
      <c r="I10" s="270">
        <f>IF('Input sheet'!$B$57="No",(J5-I5)/I40,IF('Input sheet'!$B$58=0,(I5-H5)/I40,IF('Input sheet'!$B$58=2,(K5-J5)/I40,IF('Input sheet'!$B$58=3,(L5-K5)/I40,(J5-I5)/I40))))</f>
        <v>2300.37596292542</v>
      </c>
      <c r="J10" s="270">
        <f>IF('Input sheet'!$B$57="No",(K5-J5)/J40,IF('Input sheet'!$B$58=0,(J5-I5)/J40,IF('Input sheet'!$B$58=2,(L5-K5)/J40,IF('Input sheet'!$B$58=3,(M5-L5)/J40,(K5-J5)/J40))))</f>
        <v>2561.25609175372</v>
      </c>
      <c r="K10" s="270">
        <f>IF('Input sheet'!$B$57="No",(L5-K5)/K40,IF('Input sheet'!$B$58=0,(K5-J5)/K40,IF('Input sheet'!$B$58=2,L5*L4/K40,IF('Input sheet'!$B$58=3,M5*M4/K40,(L5-K5)/K40))))</f>
        <v>2848.51007059538</v>
      </c>
      <c r="L10" s="270">
        <f>IF('Input sheet'!$B$57="No",(M5-L5)/L40,IF('Input sheet'!$B$58=0,(L5-K5)/L40,IF('Input sheet'!$B$58=2,M5*M4/L40,IF('Input sheet'!$B$58=3,K10*(1+M4),(M5-L5)/L40))))</f>
        <v>2989.79617009691</v>
      </c>
      <c r="M10" s="270">
        <f>M9*(M4/M42)</f>
        <v>12821.9914688828</v>
      </c>
      <c r="N10" s="288">
        <f>SUM(C10:M10)</f>
        <v>36417.3108940588</v>
      </c>
      <c r="O10" s="9"/>
      <c r="P10" s="9"/>
      <c r="Q10" s="9"/>
    </row>
    <row r="11" ht="15.0" customHeight="1">
      <c r="A11" s="206" t="s">
        <v>81</v>
      </c>
      <c r="B11" s="268"/>
      <c r="C11" s="270">
        <f t="shared" ref="C11:M11" si="7">C9-C10</f>
        <v>15242.41244256</v>
      </c>
      <c r="D11" s="270">
        <f t="shared" si="7"/>
        <v>15400.6992068314</v>
      </c>
      <c r="E11" s="270">
        <f t="shared" si="7"/>
        <v>15745.558884215</v>
      </c>
      <c r="F11" s="270">
        <f t="shared" si="7"/>
        <v>16095.6928824872</v>
      </c>
      <c r="G11" s="270">
        <f t="shared" si="7"/>
        <v>16261.0429671553</v>
      </c>
      <c r="H11" s="270">
        <f t="shared" si="7"/>
        <v>17281.2277803764</v>
      </c>
      <c r="I11" s="270">
        <f t="shared" si="7"/>
        <v>17734.7991003864</v>
      </c>
      <c r="J11" s="270">
        <f t="shared" si="7"/>
        <v>18247.6438760524</v>
      </c>
      <c r="K11" s="270">
        <f t="shared" si="7"/>
        <v>18823.9262812807</v>
      </c>
      <c r="L11" s="270">
        <f t="shared" si="7"/>
        <v>19644.4219343101</v>
      </c>
      <c r="M11" s="270">
        <f t="shared" si="7"/>
        <v>10934.8838535029</v>
      </c>
      <c r="N11" s="9"/>
      <c r="O11" s="9"/>
      <c r="P11" s="9"/>
      <c r="Q11" s="9"/>
    </row>
    <row r="12" ht="15.0" customHeight="1">
      <c r="A12" s="206" t="s">
        <v>319</v>
      </c>
      <c r="B12" s="268">
        <f>IF('Input sheet'!$B$62="Yes",'Input sheet'!$B$63,0)</f>
        <v>0.0</v>
      </c>
      <c r="C12" s="270">
        <f t="shared" ref="C12:M12" si="8">IF(C7&lt;0,B12-C7,IF(B12&gt;C7,B12-C7,0))</f>
        <v>0.0</v>
      </c>
      <c r="D12" s="270">
        <f t="shared" si="8"/>
        <v>0.0</v>
      </c>
      <c r="E12" s="270">
        <f t="shared" si="8"/>
        <v>0.0</v>
      </c>
      <c r="F12" s="270">
        <f t="shared" si="8"/>
        <v>0.0</v>
      </c>
      <c r="G12" s="270">
        <f t="shared" si="8"/>
        <v>0.0</v>
      </c>
      <c r="H12" s="270">
        <f t="shared" si="8"/>
        <v>0.0</v>
      </c>
      <c r="I12" s="270">
        <f t="shared" si="8"/>
        <v>0.0</v>
      </c>
      <c r="J12" s="270">
        <f t="shared" si="8"/>
        <v>0.0</v>
      </c>
      <c r="K12" s="270">
        <f t="shared" si="8"/>
        <v>0.0</v>
      </c>
      <c r="L12" s="270">
        <f t="shared" si="8"/>
        <v>0.0</v>
      </c>
      <c r="M12" s="270">
        <f t="shared" si="8"/>
        <v>0.0</v>
      </c>
      <c r="N12" s="9"/>
      <c r="O12" s="9"/>
      <c r="P12" s="9"/>
      <c r="Q12" s="9"/>
    </row>
    <row r="13" ht="15.0" customHeight="1">
      <c r="A13" s="206"/>
      <c r="B13" s="208"/>
      <c r="C13" s="315"/>
      <c r="D13" s="315"/>
      <c r="E13" s="315"/>
      <c r="F13" s="315"/>
      <c r="G13" s="315"/>
      <c r="H13" s="315"/>
      <c r="I13" s="315"/>
      <c r="J13" s="315"/>
      <c r="K13" s="315"/>
      <c r="L13" s="315"/>
      <c r="M13" s="315"/>
      <c r="N13" s="9"/>
      <c r="O13" s="9"/>
      <c r="P13" s="9"/>
      <c r="Q13" s="9"/>
    </row>
    <row r="14" ht="15.0" customHeight="1">
      <c r="A14" s="206" t="s">
        <v>320</v>
      </c>
      <c r="B14" s="254"/>
      <c r="C14" s="272">
        <f>'Input sheet'!$B$36</f>
        <v>0.100420989928469</v>
      </c>
      <c r="D14" s="272">
        <f t="shared" ref="D14:G14" si="9">C14</f>
        <v>0.100420989928469</v>
      </c>
      <c r="E14" s="272">
        <f t="shared" si="9"/>
        <v>0.100420989928469</v>
      </c>
      <c r="F14" s="272">
        <f t="shared" si="9"/>
        <v>0.100420989928469</v>
      </c>
      <c r="G14" s="272">
        <f t="shared" si="9"/>
        <v>0.100420989928469</v>
      </c>
      <c r="H14" s="272">
        <f t="shared" ref="H14:L14" si="10">G14-($G14-$M14)/5</f>
        <v>0.0987167919427754</v>
      </c>
      <c r="I14" s="272">
        <f t="shared" si="10"/>
        <v>0.0970125939570816</v>
      </c>
      <c r="J14" s="272">
        <f t="shared" si="10"/>
        <v>0.0953083959713877</v>
      </c>
      <c r="K14" s="272">
        <f t="shared" si="10"/>
        <v>0.0936041979856939</v>
      </c>
      <c r="L14" s="272">
        <f t="shared" si="10"/>
        <v>0.0919</v>
      </c>
      <c r="M14" s="272">
        <f>IF('Input sheet'!$B$46="Yes",'Input sheet'!$B$47,IF('Input sheet'!$B$65="Yes",'Input sheet'!$B$66+'Country equity risk premiums'!$B$2,'Input sheet'!$B$35+'Country equity risk premiums'!$B$2))</f>
        <v>0.0919</v>
      </c>
      <c r="N14" s="9"/>
      <c r="O14" s="9"/>
      <c r="P14" s="9"/>
      <c r="Q14" s="9"/>
    </row>
    <row r="15" ht="15.0" customHeight="1">
      <c r="A15" s="206" t="s">
        <v>321</v>
      </c>
      <c r="B15" s="208"/>
      <c r="C15" s="316">
        <f>1/(1+C14)</f>
        <v>0.908743116636664</v>
      </c>
      <c r="D15" s="316">
        <f t="shared" ref="D15:L15" si="11">C15*(1/(1+D14))</f>
        <v>0.825814052034517</v>
      </c>
      <c r="E15" s="316">
        <f t="shared" si="11"/>
        <v>0.7504528354082</v>
      </c>
      <c r="F15" s="316">
        <f t="shared" si="11"/>
        <v>0.681968848537669</v>
      </c>
      <c r="G15" s="316">
        <f t="shared" si="11"/>
        <v>0.619734496869238</v>
      </c>
      <c r="H15" s="316">
        <f t="shared" si="11"/>
        <v>0.564052994742539</v>
      </c>
      <c r="I15" s="316">
        <f t="shared" si="11"/>
        <v>0.514171849848979</v>
      </c>
      <c r="J15" s="316">
        <f t="shared" si="11"/>
        <v>0.469431122540588</v>
      </c>
      <c r="K15" s="316">
        <f t="shared" si="11"/>
        <v>0.429251390407271</v>
      </c>
      <c r="L15" s="316">
        <f t="shared" si="11"/>
        <v>0.39312335415997</v>
      </c>
      <c r="M15" s="315"/>
      <c r="N15" s="9"/>
      <c r="O15" s="9"/>
      <c r="P15" s="9"/>
      <c r="Q15" s="9"/>
    </row>
    <row r="16" ht="15.0" customHeight="1">
      <c r="A16" s="206" t="s">
        <v>322</v>
      </c>
      <c r="B16" s="208"/>
      <c r="C16" s="270">
        <f t="shared" ref="C16:L16" si="12">C11*C15</f>
        <v>13851.4373881134</v>
      </c>
      <c r="D16" s="270">
        <f t="shared" si="12"/>
        <v>12718.1138161582</v>
      </c>
      <c r="E16" s="270">
        <f t="shared" si="12"/>
        <v>11816.2993097459</v>
      </c>
      <c r="F16" s="270">
        <f t="shared" si="12"/>
        <v>10976.7611414857</v>
      </c>
      <c r="G16" s="270">
        <f t="shared" si="12"/>
        <v>10077.529281819</v>
      </c>
      <c r="H16" s="270">
        <f t="shared" si="12"/>
        <v>9747.52828234927</v>
      </c>
      <c r="I16" s="270">
        <f t="shared" si="12"/>
        <v>9118.73446014568</v>
      </c>
      <c r="J16" s="270">
        <f t="shared" si="12"/>
        <v>8566.01194845614</v>
      </c>
      <c r="K16" s="270">
        <f t="shared" si="12"/>
        <v>8080.19652916369</v>
      </c>
      <c r="L16" s="270">
        <f t="shared" si="12"/>
        <v>7722.68104134968</v>
      </c>
      <c r="M16" s="315"/>
      <c r="N16" s="9"/>
      <c r="O16" s="9"/>
      <c r="P16" s="9"/>
      <c r="Q16" s="9"/>
    </row>
    <row r="17" ht="15.0" customHeight="1">
      <c r="A17" s="206"/>
      <c r="B17" s="206"/>
      <c r="C17" s="249"/>
      <c r="D17" s="249"/>
      <c r="E17" s="249"/>
      <c r="F17" s="249"/>
      <c r="G17" s="249"/>
      <c r="H17" s="249"/>
      <c r="I17" s="249"/>
      <c r="J17" s="249"/>
      <c r="K17" s="249"/>
      <c r="L17" s="249"/>
      <c r="M17" s="249"/>
      <c r="N17" s="9"/>
      <c r="O17" s="9"/>
      <c r="P17" s="9"/>
      <c r="Q17" s="9"/>
    </row>
    <row r="18" ht="15.0" customHeight="1">
      <c r="A18" s="227" t="s">
        <v>323</v>
      </c>
      <c r="B18" s="268">
        <f>M11</f>
        <v>10934.8838535029</v>
      </c>
      <c r="C18" s="249"/>
      <c r="D18" s="249"/>
      <c r="E18" s="249"/>
      <c r="F18" s="249"/>
      <c r="G18" s="249"/>
      <c r="H18" s="249"/>
      <c r="I18" s="249"/>
      <c r="J18" s="249"/>
      <c r="K18" s="249"/>
      <c r="L18" s="249"/>
      <c r="M18" s="249"/>
      <c r="N18" s="9"/>
      <c r="O18" s="9"/>
      <c r="P18" s="9"/>
      <c r="Q18" s="9"/>
    </row>
    <row r="19" ht="15.0" customHeight="1">
      <c r="A19" s="227" t="s">
        <v>324</v>
      </c>
      <c r="B19" s="254">
        <f>M14</f>
        <v>0.0919</v>
      </c>
      <c r="C19" s="249"/>
      <c r="D19" s="266"/>
      <c r="E19" s="249"/>
      <c r="F19" s="249"/>
      <c r="G19" s="249"/>
      <c r="H19" s="249"/>
      <c r="I19" s="249"/>
      <c r="J19" s="249"/>
      <c r="K19" s="249"/>
      <c r="L19" s="249"/>
      <c r="M19" s="249"/>
      <c r="N19" s="9"/>
      <c r="O19" s="9"/>
      <c r="P19" s="9"/>
      <c r="Q19" s="9"/>
    </row>
    <row r="20" ht="15.75" customHeight="1">
      <c r="A20" s="227" t="s">
        <v>325</v>
      </c>
      <c r="B20" s="268">
        <f>B18/(B19-M4)</f>
        <v>258507.892517798</v>
      </c>
      <c r="C20" s="249"/>
      <c r="D20" s="317"/>
      <c r="E20" s="249"/>
      <c r="F20" s="249"/>
      <c r="G20" s="249"/>
      <c r="H20" s="249"/>
      <c r="I20" s="249"/>
      <c r="J20" s="249"/>
      <c r="K20" s="249"/>
      <c r="L20" s="249"/>
      <c r="M20" s="266"/>
      <c r="N20" s="9"/>
      <c r="O20" s="9"/>
      <c r="P20" s="9"/>
      <c r="Q20" s="9"/>
    </row>
    <row r="21" ht="15.75" customHeight="1">
      <c r="A21" s="227" t="s">
        <v>326</v>
      </c>
      <c r="B21" s="268">
        <f>B20*L15</f>
        <v>101625.489783422</v>
      </c>
      <c r="C21" s="249"/>
      <c r="D21" s="266"/>
      <c r="E21" s="249"/>
      <c r="F21" s="249"/>
      <c r="G21" s="249"/>
      <c r="H21" s="249"/>
      <c r="I21" s="249"/>
      <c r="J21" s="249"/>
      <c r="K21" s="249"/>
      <c r="L21" s="249"/>
      <c r="M21" s="249"/>
      <c r="N21" s="9"/>
      <c r="O21" s="9"/>
      <c r="P21" s="9"/>
      <c r="Q21" s="9"/>
    </row>
    <row r="22" ht="15.75" customHeight="1">
      <c r="A22" s="227" t="s">
        <v>327</v>
      </c>
      <c r="B22" s="268">
        <f>SUM(C16:L16)</f>
        <v>102675.293198787</v>
      </c>
      <c r="C22" s="249"/>
      <c r="D22" s="249"/>
      <c r="E22" s="249"/>
      <c r="F22" s="249"/>
      <c r="G22" s="249"/>
      <c r="H22" s="249"/>
      <c r="I22" s="249"/>
      <c r="J22" s="249"/>
      <c r="K22" s="249"/>
      <c r="L22" s="249"/>
      <c r="M22" s="249"/>
      <c r="N22" s="9"/>
      <c r="O22" s="9"/>
      <c r="P22" s="9"/>
      <c r="Q22" s="9"/>
    </row>
    <row r="23" ht="15.75" customHeight="1">
      <c r="A23" s="227" t="s">
        <v>328</v>
      </c>
      <c r="B23" s="268">
        <f>B21+B22</f>
        <v>204300.782982208</v>
      </c>
      <c r="C23" s="249"/>
      <c r="D23" s="249"/>
      <c r="E23" s="249"/>
      <c r="F23" s="249"/>
      <c r="G23" s="249"/>
      <c r="H23" s="249"/>
      <c r="I23" s="249"/>
      <c r="J23" s="249"/>
      <c r="K23" s="249"/>
      <c r="L23" s="249"/>
      <c r="M23" s="249"/>
      <c r="N23" s="9"/>
      <c r="O23" s="9"/>
      <c r="P23" s="9"/>
      <c r="Q23" s="9"/>
    </row>
    <row r="24" ht="15.75" customHeight="1">
      <c r="A24" s="227" t="s">
        <v>329</v>
      </c>
      <c r="B24" s="254">
        <f>IF('Input sheet'!$B$52="Yes",'Input sheet'!$B$53,0)</f>
        <v>0.0</v>
      </c>
      <c r="C24" s="249"/>
      <c r="D24" s="249"/>
      <c r="E24" s="266"/>
      <c r="F24" s="249"/>
      <c r="G24" s="249"/>
      <c r="H24" s="249"/>
      <c r="I24" s="249"/>
      <c r="J24" s="249"/>
      <c r="K24" s="249"/>
      <c r="L24" s="249"/>
      <c r="M24" s="249"/>
      <c r="N24" s="9"/>
      <c r="O24" s="9"/>
      <c r="P24" s="9"/>
      <c r="Q24" s="9"/>
    </row>
    <row r="25" ht="15.75" customHeight="1">
      <c r="A25" s="227" t="s">
        <v>330</v>
      </c>
      <c r="B25" s="318">
        <f>IF('Input sheet'!$B$54="B",('Input sheet'!$B$15+'Input sheet'!$B$16)*'Input sheet'!$B$55,'Valuation output'!B23*'Input sheet'!$B$55)</f>
        <v>102150.391491104</v>
      </c>
      <c r="C25" s="249"/>
      <c r="D25" s="249"/>
      <c r="E25" s="249"/>
      <c r="F25" s="249"/>
      <c r="G25" s="249"/>
      <c r="H25" s="249"/>
      <c r="I25" s="249"/>
      <c r="J25" s="249"/>
      <c r="K25" s="249"/>
      <c r="L25" s="249"/>
      <c r="M25" s="249"/>
      <c r="N25" s="9"/>
      <c r="O25" s="9"/>
      <c r="P25" s="9"/>
      <c r="Q25" s="9"/>
    </row>
    <row r="26" ht="15.75" customHeight="1">
      <c r="A26" s="227" t="s">
        <v>331</v>
      </c>
      <c r="B26" s="268">
        <f>B23*(1-B24)+B25*B24</f>
        <v>204300.782982208</v>
      </c>
      <c r="C26" s="249"/>
      <c r="D26" s="249"/>
      <c r="E26" s="249"/>
      <c r="F26" s="249"/>
      <c r="G26" s="249"/>
      <c r="H26" s="249"/>
      <c r="I26" s="249"/>
      <c r="J26" s="249"/>
      <c r="K26" s="249"/>
      <c r="L26" s="249"/>
      <c r="M26" s="249"/>
      <c r="N26" s="9"/>
      <c r="O26" s="9"/>
      <c r="P26" s="9"/>
      <c r="Q26" s="9"/>
    </row>
    <row r="27" ht="15.75" customHeight="1">
      <c r="A27" s="227" t="s">
        <v>333</v>
      </c>
      <c r="B27" s="268">
        <f>IF('Input sheet'!$B$18="Yes",'Input sheet'!$B$16+'Operating lease converter'!$C$29,'Input sheet'!$B$16)</f>
        <v>21361.0</v>
      </c>
      <c r="C27" s="249"/>
      <c r="D27" s="249"/>
      <c r="E27" s="249"/>
      <c r="F27" s="249"/>
      <c r="G27" s="249"/>
      <c r="H27" s="249"/>
      <c r="I27" s="249"/>
      <c r="J27" s="249"/>
      <c r="K27" s="249"/>
      <c r="L27" s="249"/>
      <c r="M27" s="249"/>
      <c r="N27" s="9"/>
      <c r="O27" s="9"/>
      <c r="P27" s="9"/>
      <c r="Q27" s="9"/>
    </row>
    <row r="28" ht="15.75" customHeight="1">
      <c r="A28" s="227" t="s">
        <v>336</v>
      </c>
      <c r="B28" s="268">
        <f>'Input sheet'!$B$21</f>
        <v>0.0</v>
      </c>
      <c r="C28" s="249"/>
      <c r="D28" s="249"/>
      <c r="E28" s="249"/>
      <c r="F28" s="249"/>
      <c r="G28" s="249"/>
      <c r="H28" s="249"/>
      <c r="I28" s="249"/>
      <c r="J28" s="249"/>
      <c r="K28" s="249"/>
      <c r="L28" s="249"/>
      <c r="M28" s="249"/>
      <c r="N28" s="9"/>
      <c r="O28" s="9"/>
      <c r="P28" s="9"/>
      <c r="Q28" s="9"/>
    </row>
    <row r="29" ht="15.75" customHeight="1">
      <c r="A29" s="227" t="s">
        <v>339</v>
      </c>
      <c r="B29" s="268">
        <f>IF('Input sheet'!$B$71="YES",'Input sheet'!$B$19-'Input sheet'!$B$72*('Input sheet'!$B$25-'Input sheet'!$B$73),'Input sheet'!$B$19)</f>
        <v>6857.1</v>
      </c>
      <c r="C29" s="249"/>
      <c r="D29" s="329" t="s">
        <v>343</v>
      </c>
      <c r="E29" s="27"/>
      <c r="F29" s="27"/>
      <c r="G29" s="249"/>
      <c r="H29" s="249"/>
      <c r="I29" s="249"/>
      <c r="J29" s="249"/>
      <c r="K29" s="249"/>
      <c r="L29" s="249"/>
      <c r="M29" s="249"/>
      <c r="N29" s="9"/>
      <c r="O29" s="9"/>
      <c r="P29" s="9"/>
      <c r="Q29" s="9"/>
    </row>
    <row r="30" ht="15.75" customHeight="1">
      <c r="A30" s="227" t="s">
        <v>345</v>
      </c>
      <c r="B30" s="268">
        <f>'Input sheet'!$B$20</f>
        <v>4943.7</v>
      </c>
      <c r="C30" s="249"/>
      <c r="D30" s="28"/>
      <c r="G30" s="249"/>
      <c r="H30" s="249"/>
      <c r="I30" s="249"/>
      <c r="J30" s="249"/>
      <c r="K30" s="249"/>
      <c r="L30" s="249"/>
      <c r="M30" s="249"/>
      <c r="N30" s="9"/>
      <c r="O30" s="9"/>
      <c r="P30" s="9"/>
      <c r="Q30" s="9"/>
    </row>
    <row r="31" ht="15.75" customHeight="1">
      <c r="A31" s="227" t="s">
        <v>347</v>
      </c>
      <c r="B31" s="268">
        <f>B26-B27-B28+B29+B30</f>
        <v>194740.582982209</v>
      </c>
      <c r="C31" s="249"/>
      <c r="D31" s="28"/>
      <c r="G31" s="249"/>
      <c r="H31" s="249"/>
      <c r="I31" s="249"/>
      <c r="J31" s="249"/>
      <c r="K31" s="249"/>
      <c r="L31" s="249"/>
      <c r="M31" s="249"/>
      <c r="N31" s="9"/>
      <c r="O31" s="9"/>
      <c r="P31" s="9"/>
      <c r="Q31" s="9"/>
    </row>
    <row r="32" ht="15.75" customHeight="1">
      <c r="A32" s="227" t="s">
        <v>350</v>
      </c>
      <c r="B32" s="337">
        <f>IF('Input sheet'!$B$38="No",0,'Option value'!$B$30)</f>
        <v>0.0</v>
      </c>
      <c r="C32" s="249"/>
      <c r="D32" s="28"/>
      <c r="G32" s="249"/>
      <c r="H32" s="249"/>
      <c r="I32" s="249"/>
      <c r="J32" s="249"/>
      <c r="K32" s="249"/>
      <c r="L32" s="249"/>
      <c r="M32" s="249"/>
      <c r="N32" s="9"/>
      <c r="O32" s="9"/>
      <c r="P32" s="9"/>
      <c r="Q32" s="9"/>
    </row>
    <row r="33" ht="15.75" customHeight="1">
      <c r="A33" s="227" t="s">
        <v>354</v>
      </c>
      <c r="B33" s="268">
        <f>B31-B32</f>
        <v>194740.582982209</v>
      </c>
      <c r="C33" s="249"/>
      <c r="D33" s="28"/>
      <c r="G33" s="249"/>
      <c r="H33" s="249"/>
      <c r="I33" s="249"/>
      <c r="J33" s="249"/>
      <c r="K33" s="249"/>
      <c r="L33" s="249"/>
      <c r="M33" s="249"/>
      <c r="N33" s="9"/>
      <c r="O33" s="9"/>
      <c r="P33" s="9"/>
      <c r="Q33" s="9"/>
    </row>
    <row r="34" ht="15.75" customHeight="1">
      <c r="A34" s="227" t="s">
        <v>356</v>
      </c>
      <c r="B34" s="342">
        <f>'Input sheet'!$B$22</f>
        <v>4416.8</v>
      </c>
      <c r="C34" s="249"/>
      <c r="D34" s="28"/>
      <c r="G34" s="249"/>
      <c r="H34" s="249"/>
      <c r="I34" s="249"/>
      <c r="J34" s="249"/>
      <c r="K34" s="249"/>
      <c r="L34" s="249"/>
      <c r="M34" s="249"/>
      <c r="N34" s="9"/>
      <c r="O34" s="9"/>
      <c r="P34" s="9"/>
      <c r="Q34" s="9"/>
    </row>
    <row r="35" ht="15.75" customHeight="1">
      <c r="A35" s="227" t="s">
        <v>358</v>
      </c>
      <c r="B35" s="344">
        <f>B33/B34</f>
        <v>44.0908764223439</v>
      </c>
      <c r="C35" s="249"/>
      <c r="D35" s="249"/>
      <c r="E35" s="249"/>
      <c r="F35" s="249"/>
      <c r="G35" s="249"/>
      <c r="H35" s="249"/>
      <c r="I35" s="249"/>
      <c r="J35" s="249"/>
      <c r="K35" s="249"/>
      <c r="L35" s="249"/>
      <c r="M35" s="249"/>
      <c r="N35" s="9"/>
      <c r="O35" s="9"/>
      <c r="P35" s="9"/>
      <c r="Q35" s="9"/>
    </row>
    <row r="36" ht="15.75" customHeight="1">
      <c r="A36" s="227" t="s">
        <v>360</v>
      </c>
      <c r="B36" s="268">
        <f>'Input sheet'!$B$23</f>
        <v>39.4</v>
      </c>
      <c r="C36" s="249"/>
      <c r="D36" s="249"/>
      <c r="E36" s="249"/>
      <c r="F36" s="249"/>
      <c r="G36" s="249"/>
      <c r="H36" s="249"/>
      <c r="I36" s="249"/>
      <c r="J36" s="249"/>
      <c r="K36" s="249"/>
      <c r="L36" s="249"/>
      <c r="M36" s="249"/>
      <c r="N36" s="9"/>
      <c r="O36" s="9"/>
      <c r="P36" s="9"/>
      <c r="Q36" s="9"/>
    </row>
    <row r="37" ht="15.75" customHeight="1">
      <c r="A37" s="227" t="s">
        <v>362</v>
      </c>
      <c r="B37" s="254">
        <f>B36/B35</f>
        <v>0.893608909530165</v>
      </c>
      <c r="C37" s="249"/>
      <c r="D37" s="249"/>
      <c r="E37" s="249"/>
      <c r="F37" s="249"/>
      <c r="G37" s="249"/>
      <c r="H37" s="249"/>
      <c r="I37" s="249"/>
      <c r="J37" s="249"/>
      <c r="K37" s="249"/>
      <c r="L37" s="249"/>
      <c r="M37" s="249"/>
      <c r="N37" s="9"/>
      <c r="O37" s="9"/>
      <c r="P37" s="9"/>
      <c r="Q37" s="9"/>
    </row>
    <row r="38" ht="15.75" customHeight="1">
      <c r="A38" s="206"/>
      <c r="B38" s="206"/>
      <c r="C38" s="249"/>
      <c r="D38" s="249"/>
      <c r="E38" s="249"/>
      <c r="F38" s="249"/>
      <c r="G38" s="249"/>
      <c r="H38" s="249"/>
      <c r="I38" s="249"/>
      <c r="J38" s="249"/>
      <c r="K38" s="249"/>
      <c r="L38" s="249"/>
      <c r="M38" s="249"/>
      <c r="N38" s="9"/>
      <c r="O38" s="9"/>
      <c r="P38" s="9"/>
      <c r="Q38" s="9"/>
    </row>
    <row r="39" ht="15.75" customHeight="1">
      <c r="A39" s="350" t="s">
        <v>365</v>
      </c>
      <c r="B39" s="208"/>
      <c r="C39" s="315"/>
      <c r="D39" s="315"/>
      <c r="E39" s="315"/>
      <c r="F39" s="315"/>
      <c r="G39" s="315"/>
      <c r="H39" s="315"/>
      <c r="I39" s="315"/>
      <c r="J39" s="315"/>
      <c r="K39" s="315"/>
      <c r="L39" s="315"/>
      <c r="M39" s="315" t="s">
        <v>367</v>
      </c>
      <c r="N39" s="9"/>
      <c r="O39" s="9"/>
      <c r="P39" s="9"/>
      <c r="Q39" s="9"/>
    </row>
    <row r="40" ht="15.75" customHeight="1">
      <c r="A40" s="227" t="s">
        <v>368</v>
      </c>
      <c r="B40" s="208"/>
      <c r="C40" s="282">
        <f>'Input sheet'!$B$32</f>
        <v>0.8</v>
      </c>
      <c r="D40" s="282">
        <f>'Input sheet'!$B$32</f>
        <v>0.8</v>
      </c>
      <c r="E40" s="282">
        <f t="shared" ref="E40:G40" si="13">D40</f>
        <v>0.8</v>
      </c>
      <c r="F40" s="282">
        <f t="shared" si="13"/>
        <v>0.8</v>
      </c>
      <c r="G40" s="282">
        <f t="shared" si="13"/>
        <v>0.8</v>
      </c>
      <c r="H40" s="282">
        <f>'Input sheet'!$B$33</f>
        <v>1.06978985539705</v>
      </c>
      <c r="I40" s="282">
        <f t="shared" ref="I40:L40" si="14">H40</f>
        <v>1.06978985539705</v>
      </c>
      <c r="J40" s="282">
        <f t="shared" si="14"/>
        <v>1.06978985539705</v>
      </c>
      <c r="K40" s="282">
        <f t="shared" si="14"/>
        <v>1.06978985539705</v>
      </c>
      <c r="L40" s="282">
        <f t="shared" si="14"/>
        <v>1.06978985539705</v>
      </c>
      <c r="M40" s="315"/>
      <c r="N40" s="9"/>
      <c r="O40" s="9"/>
      <c r="P40" s="9"/>
      <c r="Q40" s="9"/>
    </row>
    <row r="41" ht="15.75" customHeight="1">
      <c r="A41" s="227" t="s">
        <v>374</v>
      </c>
      <c r="B41" s="299">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77987.21</v>
      </c>
      <c r="C41" s="364">
        <f t="shared" ref="C41:L41" si="15">B41+C10</f>
        <v>79971.8822</v>
      </c>
      <c r="D41" s="364">
        <f t="shared" si="15"/>
        <v>82026.017927</v>
      </c>
      <c r="E41" s="364">
        <f t="shared" si="15"/>
        <v>84152.048404445</v>
      </c>
      <c r="F41" s="364">
        <f t="shared" si="15"/>
        <v>86352.4899486006</v>
      </c>
      <c r="G41" s="364">
        <f t="shared" si="15"/>
        <v>88819.9519306515</v>
      </c>
      <c r="H41" s="364">
        <f t="shared" si="15"/>
        <v>90882.5911298046</v>
      </c>
      <c r="I41" s="364">
        <f t="shared" si="15"/>
        <v>93182.96709273</v>
      </c>
      <c r="J41" s="364">
        <f t="shared" si="15"/>
        <v>95744.2231844837</v>
      </c>
      <c r="K41" s="364">
        <f t="shared" si="15"/>
        <v>98592.7332550791</v>
      </c>
      <c r="L41" s="364">
        <f t="shared" si="15"/>
        <v>101582.529425176</v>
      </c>
      <c r="M41" s="315"/>
      <c r="N41" s="9"/>
      <c r="O41" s="9"/>
      <c r="P41" s="9"/>
      <c r="Q41" s="9"/>
    </row>
    <row r="42" ht="15.75" customHeight="1">
      <c r="A42" s="227" t="s">
        <v>382</v>
      </c>
      <c r="B42" s="254">
        <f>B9/B41</f>
        <v>0.239788971742931</v>
      </c>
      <c r="C42" s="272">
        <f t="shared" ref="C42:L42" si="16">C9/B41</f>
        <v>0.220896280846051</v>
      </c>
      <c r="D42" s="272">
        <f t="shared" si="16"/>
        <v>0.218262149816343</v>
      </c>
      <c r="E42" s="272">
        <f t="shared" si="16"/>
        <v>0.217877081117909</v>
      </c>
      <c r="F42" s="272">
        <f t="shared" si="16"/>
        <v>0.217417576559863</v>
      </c>
      <c r="G42" s="272">
        <f t="shared" si="16"/>
        <v>0.216884365006197</v>
      </c>
      <c r="H42" s="272">
        <f t="shared" si="16"/>
        <v>0.217787406534882</v>
      </c>
      <c r="I42" s="272">
        <f t="shared" si="16"/>
        <v>0.220451186682125</v>
      </c>
      <c r="J42" s="272">
        <f t="shared" si="16"/>
        <v>0.223312270654554</v>
      </c>
      <c r="K42" s="272">
        <f t="shared" si="16"/>
        <v>0.226357639459007</v>
      </c>
      <c r="L42" s="272">
        <f t="shared" si="16"/>
        <v>0.229572883894473</v>
      </c>
      <c r="M42" s="272">
        <f>IF('Input sheet'!$B$49="Yes",'Input sheet'!$B$50,'Valuation output'!L14)</f>
        <v>0.0919</v>
      </c>
      <c r="N42" s="9"/>
      <c r="O42" s="9"/>
      <c r="P42" s="9"/>
      <c r="Q42" s="9"/>
    </row>
    <row r="43" ht="15.75" customHeight="1">
      <c r="A43" s="206"/>
      <c r="B43" s="206"/>
      <c r="C43" s="249"/>
      <c r="D43" s="249"/>
      <c r="E43" s="249"/>
      <c r="F43" s="249"/>
      <c r="G43" s="249"/>
      <c r="H43" s="249"/>
      <c r="I43" s="249"/>
      <c r="J43" s="249"/>
      <c r="K43" s="249"/>
      <c r="L43" s="249"/>
      <c r="M43" s="249"/>
      <c r="N43" s="9"/>
      <c r="O43" s="9"/>
      <c r="P43" s="9"/>
      <c r="Q43" s="9"/>
    </row>
    <row r="44" ht="15.75" customHeight="1">
      <c r="A44" s="206"/>
      <c r="B44" s="206" t="s">
        <v>385</v>
      </c>
      <c r="C44" s="249" t="s">
        <v>386</v>
      </c>
      <c r="D44" s="249"/>
      <c r="E44" s="249"/>
      <c r="F44" s="249"/>
      <c r="G44" s="249"/>
      <c r="H44" s="249"/>
      <c r="I44" s="249"/>
      <c r="J44" s="249"/>
      <c r="K44" s="249"/>
      <c r="L44" s="249"/>
      <c r="M44" s="249"/>
      <c r="N44" s="9"/>
      <c r="O44" s="9"/>
      <c r="P44" s="9"/>
      <c r="Q44" s="9"/>
    </row>
    <row r="45" ht="15.75" customHeight="1">
      <c r="A45" s="206" t="s">
        <v>16</v>
      </c>
      <c r="B45" s="297">
        <f>'Input sheet'!B35</f>
        <v>0.0496</v>
      </c>
      <c r="C45" s="297">
        <f>B6</f>
        <v>0.494987948135717</v>
      </c>
      <c r="D45" s="249"/>
      <c r="E45" s="249"/>
      <c r="F45" s="249"/>
      <c r="G45" s="249"/>
      <c r="H45" s="249"/>
      <c r="I45" s="249"/>
      <c r="J45" s="249"/>
      <c r="K45" s="249"/>
      <c r="L45" s="249"/>
      <c r="M45" s="249"/>
      <c r="N45" s="9"/>
      <c r="O45" s="9"/>
      <c r="P45" s="9"/>
      <c r="Q45" s="9"/>
    </row>
    <row r="46" ht="15.75" customHeight="1">
      <c r="A46" s="206" t="s">
        <v>17</v>
      </c>
      <c r="B46" s="297">
        <f>'Input sheet'!J26</f>
        <v>0.18446775</v>
      </c>
      <c r="C46" s="297">
        <f>'Input sheet'!B30</f>
        <v>0.45</v>
      </c>
      <c r="D46" s="249"/>
      <c r="E46" s="249"/>
      <c r="F46" s="249"/>
      <c r="G46" s="249"/>
      <c r="H46" s="249"/>
      <c r="I46" s="249"/>
      <c r="J46" s="249"/>
      <c r="K46" s="249"/>
      <c r="L46" s="249"/>
      <c r="M46" s="249"/>
      <c r="N46" s="9"/>
      <c r="O46" s="9"/>
      <c r="P46" s="9"/>
      <c r="Q46" s="9"/>
    </row>
    <row r="47" ht="15.75" customHeight="1">
      <c r="A47" s="206" t="s">
        <v>18</v>
      </c>
      <c r="B47" s="297">
        <f>B50</f>
        <v>0.114928898661623</v>
      </c>
      <c r="C47" s="297">
        <f>'Input sheet'!B30+0.05</f>
        <v>0.5</v>
      </c>
      <c r="D47" s="77"/>
      <c r="E47" s="249"/>
      <c r="F47" s="249"/>
      <c r="G47" s="249"/>
      <c r="H47" s="249"/>
      <c r="I47" s="249"/>
      <c r="J47" s="249"/>
      <c r="K47" s="249"/>
      <c r="L47" s="249"/>
      <c r="M47" s="249"/>
      <c r="N47" s="9"/>
      <c r="O47" s="9"/>
      <c r="P47" s="9"/>
      <c r="Q47" s="9"/>
    </row>
    <row r="48" ht="15.75" customHeight="1">
      <c r="A48" s="206"/>
      <c r="B48" s="206"/>
      <c r="C48" s="249"/>
      <c r="D48" s="249"/>
      <c r="E48" s="249"/>
      <c r="F48" s="249"/>
      <c r="G48" s="249"/>
      <c r="H48" s="249"/>
      <c r="I48" s="249"/>
      <c r="J48" s="249"/>
      <c r="K48" s="249"/>
      <c r="L48" s="249"/>
      <c r="M48" s="249"/>
      <c r="N48" s="9"/>
      <c r="O48" s="9"/>
      <c r="P48" s="9"/>
      <c r="Q48" s="9"/>
    </row>
    <row r="49" ht="15.75" customHeight="1">
      <c r="A49" s="206" t="s">
        <v>391</v>
      </c>
      <c r="B49" s="297">
        <f>'Income Statement'!L4</f>
        <v>0.0487</v>
      </c>
      <c r="C49" s="375">
        <f>'Income Statement'!$L$13</f>
        <v>0.402</v>
      </c>
      <c r="D49" s="249"/>
      <c r="E49" s="249"/>
      <c r="F49" s="249"/>
      <c r="G49" s="249"/>
      <c r="H49" s="249"/>
      <c r="I49" s="249"/>
      <c r="J49" s="249"/>
      <c r="K49" s="249"/>
      <c r="L49" s="249"/>
      <c r="M49" s="249"/>
      <c r="N49" s="9"/>
      <c r="O49" s="9"/>
      <c r="P49" s="9"/>
      <c r="Q49" s="9"/>
    </row>
    <row r="50" ht="15.75" customHeight="1">
      <c r="A50" s="206" t="s">
        <v>394</v>
      </c>
      <c r="B50" s="297">
        <f>('Income Statement'!K3/'Income Statement'!I3)^(1/3)-1</f>
        <v>0.114928898661623</v>
      </c>
      <c r="C50" s="375">
        <f>AVERAGE('Income Statement'!$I$13:$K$13)</f>
        <v>0.432166666666667</v>
      </c>
      <c r="D50" s="249"/>
      <c r="E50" s="249"/>
      <c r="F50" s="249"/>
      <c r="G50" s="249"/>
      <c r="H50" s="249"/>
      <c r="I50" s="249"/>
      <c r="J50" s="249"/>
      <c r="K50" s="249"/>
      <c r="L50" s="249"/>
      <c r="M50" s="249"/>
      <c r="N50" s="9"/>
      <c r="O50" s="9"/>
      <c r="P50" s="9"/>
      <c r="Q50" s="9"/>
    </row>
    <row r="51" ht="15.75" customHeight="1">
      <c r="A51" s="206" t="s">
        <v>395</v>
      </c>
      <c r="B51" s="297">
        <f>('Income Statement'!K3/'Income Statement'!G3)^(1/5)-1</f>
        <v>0.158508745125004</v>
      </c>
      <c r="C51" s="375">
        <f>AVERAGE('Income Statement'!$G$13:$K$13)</f>
        <v>0.42716</v>
      </c>
      <c r="D51" s="249"/>
      <c r="E51" s="249"/>
      <c r="F51" s="249"/>
      <c r="G51" s="249"/>
      <c r="H51" s="249"/>
      <c r="I51" s="249"/>
      <c r="J51" s="249"/>
      <c r="K51" s="249"/>
      <c r="L51" s="249"/>
      <c r="M51" s="249"/>
      <c r="N51" s="9"/>
      <c r="O51" s="9"/>
      <c r="P51" s="9"/>
      <c r="Q51" s="9"/>
    </row>
    <row r="52" ht="15.75" customHeight="1">
      <c r="A52" s="206" t="s">
        <v>399</v>
      </c>
      <c r="B52" s="297">
        <f>('Income Statement'!K3/'Income Statement'!B3)^(1/10)-1</f>
        <v>0.108911009365802</v>
      </c>
      <c r="C52" s="375">
        <f>AVERAGE('Income Statement'!$B$13:$K$13)</f>
        <v>0.42865</v>
      </c>
      <c r="D52" s="249"/>
      <c r="E52" s="249"/>
      <c r="F52" s="249"/>
      <c r="G52" s="249"/>
      <c r="H52" s="249"/>
      <c r="I52" s="249"/>
      <c r="J52" s="249"/>
      <c r="K52" s="249"/>
      <c r="L52" s="249"/>
      <c r="M52" s="249"/>
      <c r="N52" s="9"/>
      <c r="O52" s="9"/>
      <c r="P52" s="9"/>
      <c r="Q52" s="9"/>
    </row>
    <row r="53" ht="15.75" customHeight="1">
      <c r="A53" s="209" t="s">
        <v>404</v>
      </c>
      <c r="B53" s="206" t="s">
        <v>16</v>
      </c>
      <c r="C53" s="249"/>
      <c r="D53" s="249"/>
      <c r="E53" s="249"/>
      <c r="F53" s="249"/>
      <c r="G53" s="249"/>
      <c r="H53" s="249"/>
      <c r="I53" s="249"/>
      <c r="J53" s="249"/>
      <c r="K53" s="249"/>
      <c r="L53" s="249"/>
      <c r="M53" s="249"/>
      <c r="N53" s="9"/>
      <c r="O53" s="9"/>
      <c r="P53" s="9"/>
      <c r="Q53" s="9"/>
    </row>
    <row r="54" ht="15.75" customHeight="1">
      <c r="A54" s="250"/>
      <c r="B54" s="225" t="s">
        <v>221</v>
      </c>
      <c r="C54" s="225">
        <v>1.0</v>
      </c>
      <c r="D54" s="225">
        <v>2.0</v>
      </c>
      <c r="E54" s="225">
        <v>3.0</v>
      </c>
      <c r="F54" s="225">
        <v>4.0</v>
      </c>
      <c r="G54" s="225">
        <v>5.0</v>
      </c>
      <c r="H54" s="225">
        <v>6.0</v>
      </c>
      <c r="I54" s="225">
        <v>7.0</v>
      </c>
      <c r="J54" s="225">
        <v>8.0</v>
      </c>
      <c r="K54" s="225">
        <v>9.0</v>
      </c>
      <c r="L54" s="225">
        <v>10.0</v>
      </c>
      <c r="M54" s="252" t="s">
        <v>223</v>
      </c>
      <c r="N54" s="9"/>
      <c r="O54" s="9"/>
      <c r="P54" s="9"/>
      <c r="Q54" s="9"/>
    </row>
    <row r="55" ht="15.75" customHeight="1">
      <c r="A55" s="206" t="s">
        <v>225</v>
      </c>
      <c r="B55" s="254">
        <f>'Input sheet'!B29</f>
        <v>0.035</v>
      </c>
      <c r="C55" s="255">
        <f>AVERAGE('Input sheet'!B27,'Input sheet'!B35)</f>
        <v>0.0048</v>
      </c>
      <c r="D55" s="255">
        <f t="shared" ref="D55:G55" si="17">C55</f>
        <v>0.0048</v>
      </c>
      <c r="E55" s="255">
        <f t="shared" si="17"/>
        <v>0.0048</v>
      </c>
      <c r="F55" s="255">
        <f t="shared" si="17"/>
        <v>0.0048</v>
      </c>
      <c r="G55" s="255">
        <f t="shared" si="17"/>
        <v>0.0048</v>
      </c>
      <c r="H55" s="255">
        <f>G55-((G55-$M$4)/5)</f>
        <v>0.01376</v>
      </c>
      <c r="I55" s="255">
        <f>G55-((G55-$M$4)/5)*2</f>
        <v>0.02272</v>
      </c>
      <c r="J55" s="255">
        <f>G55-((G55-$M$4)/5)*3</f>
        <v>0.03168</v>
      </c>
      <c r="K55" s="255">
        <f>G55-((G55-$M$4)/5)*4</f>
        <v>0.04064</v>
      </c>
      <c r="L55" s="255">
        <f>G55-((G55-$M$4)/5)*5</f>
        <v>0.0496</v>
      </c>
      <c r="M55" s="255">
        <f>IF('Input sheet'!B68="Yes",'Input sheet'!B69,IF('Input sheet'!B65="Yes",'Input sheet'!B66,'Input sheet'!B35))</f>
        <v>0.0496</v>
      </c>
      <c r="N55" s="9"/>
      <c r="O55" s="9"/>
      <c r="P55" s="9"/>
      <c r="Q55" s="9"/>
    </row>
    <row r="56" ht="15.75" customHeight="1">
      <c r="A56" s="206" t="s">
        <v>158</v>
      </c>
      <c r="B56" s="268">
        <f>'Input sheet'!$B$12</f>
        <v>47254.1</v>
      </c>
      <c r="C56" s="270">
        <f t="shared" ref="C56:M56" si="18">B56*(1+C55)</f>
        <v>47480.91968</v>
      </c>
      <c r="D56" s="270">
        <f t="shared" si="18"/>
        <v>47708.828094464</v>
      </c>
      <c r="E56" s="270">
        <f t="shared" si="18"/>
        <v>47937.8304693174</v>
      </c>
      <c r="F56" s="270">
        <f t="shared" si="18"/>
        <v>48167.9320555701</v>
      </c>
      <c r="G56" s="270">
        <f t="shared" si="18"/>
        <v>48399.1381294369</v>
      </c>
      <c r="H56" s="270">
        <f t="shared" si="18"/>
        <v>49065.1102700979</v>
      </c>
      <c r="I56" s="270">
        <f t="shared" si="18"/>
        <v>50179.8695754345</v>
      </c>
      <c r="J56" s="270">
        <f t="shared" si="18"/>
        <v>51769.5678435843</v>
      </c>
      <c r="K56" s="270">
        <f t="shared" si="18"/>
        <v>53873.4830807476</v>
      </c>
      <c r="L56" s="270">
        <f t="shared" si="18"/>
        <v>56545.6078415527</v>
      </c>
      <c r="M56" s="273">
        <f t="shared" si="18"/>
        <v>59350.2699904937</v>
      </c>
      <c r="N56" s="9"/>
      <c r="O56" s="9"/>
      <c r="P56" s="9"/>
      <c r="Q56" s="9"/>
    </row>
    <row r="57" ht="15.75" customHeight="1">
      <c r="A57" s="206" t="s">
        <v>238</v>
      </c>
      <c r="B57" s="254">
        <f>B58/B56</f>
        <v>0.494987948135717</v>
      </c>
      <c r="C57" s="272">
        <f>'Input sheet'!B28</f>
        <v>0.474987948135717</v>
      </c>
      <c r="D57" s="272">
        <f>IF(D3&gt;'Input sheet'!$B$31,$C$45,$C$45-(($C$45-$C$6)/'Input sheet'!$B$31)*('Input sheet'!$B$31-D3))</f>
        <v>0.482987948135717</v>
      </c>
      <c r="E57" s="272">
        <f>IF(E3&gt;'Input sheet'!$B$31,$C$45,$C$45-(($C$45-$C$6)/'Input sheet'!$B$31)*('Input sheet'!$B$31-E3))</f>
        <v>0.486987948135717</v>
      </c>
      <c r="F57" s="272">
        <f>IF(F3&gt;'Input sheet'!$B$31,$C$45,$C$45-(($C$45-$C$6)/'Input sheet'!$B$31)*('Input sheet'!$B$31-F3))</f>
        <v>0.490987948135717</v>
      </c>
      <c r="G57" s="272">
        <f>IF(G3&gt;'Input sheet'!$B$31,$C$45,$C$45-(($C$45-$C$6)/'Input sheet'!$B$31)*('Input sheet'!$B$31-G3))</f>
        <v>0.494987948135717</v>
      </c>
      <c r="H57" s="272">
        <f>IF(H3&gt;'Input sheet'!$B$31,$C$45,$C$45-(($C$45-$C$6)/'Input sheet'!$B$31)*('Input sheet'!$B$31-H3))</f>
        <v>0.494987948135717</v>
      </c>
      <c r="I57" s="272">
        <f>IF(I3&gt;'Input sheet'!$B$31,$C$45,$C$45-(($C$45-$C$6)/'Input sheet'!$B$31)*('Input sheet'!$B$31-I3))</f>
        <v>0.494987948135717</v>
      </c>
      <c r="J57" s="272">
        <f>IF(J3&gt;'Input sheet'!$B$31,$C$45,$C$45-(($C$45-$C$6)/'Input sheet'!$B$31)*('Input sheet'!$B$31-J3))</f>
        <v>0.494987948135717</v>
      </c>
      <c r="K57" s="272">
        <f>IF(K3&gt;'Input sheet'!$B$31,$C$45,$C$45-(($C$45-$C$6)/'Input sheet'!$B$31)*('Input sheet'!$B$31-K3))</f>
        <v>0.494987948135717</v>
      </c>
      <c r="L57" s="272">
        <f>IF(L3&gt;'Input sheet'!$B$31,$C$45,$C$45-(($C$45-$C$6)/'Input sheet'!$B$31)*('Input sheet'!$B$31-L3))</f>
        <v>0.494987948135717</v>
      </c>
      <c r="M57" s="272">
        <f>L57</f>
        <v>0.494987948135717</v>
      </c>
      <c r="N57" s="9"/>
      <c r="O57" s="9"/>
      <c r="P57" s="9"/>
      <c r="Q57" s="9"/>
    </row>
    <row r="58" ht="15.75" customHeight="1">
      <c r="A58" s="206" t="s">
        <v>246</v>
      </c>
      <c r="B58" s="268">
        <f>IF('Input sheet'!$B$18="Yes",IF('Input sheet'!$B$17="Yes",'Input sheet'!$B$13+'Operating lease converter'!$F$33+'R&amp; D converter'!$D$40,'Input sheet'!$B$13+'Operating lease converter'!$F$33),IF('Input sheet'!$B$17="Yes",'Input sheet'!$B$13+'R&amp; D converter'!$D$40,'Input sheet'!$B$13))</f>
        <v>23390.21</v>
      </c>
      <c r="C58" s="270">
        <f t="shared" ref="C58:M58" si="19">C57*C56</f>
        <v>22552.8646144</v>
      </c>
      <c r="D58" s="270">
        <f t="shared" si="19"/>
        <v>23042.7889893048</v>
      </c>
      <c r="E58" s="270">
        <f t="shared" si="19"/>
        <v>23345.1456983308</v>
      </c>
      <c r="F58" s="270">
        <f t="shared" si="19"/>
        <v>23649.874125905</v>
      </c>
      <c r="G58" s="270">
        <f t="shared" si="19"/>
        <v>23956.9900742271</v>
      </c>
      <c r="H58" s="270">
        <f t="shared" si="19"/>
        <v>24286.6382576485</v>
      </c>
      <c r="I58" s="270">
        <f t="shared" si="19"/>
        <v>24838.4306788623</v>
      </c>
      <c r="J58" s="270">
        <f t="shared" si="19"/>
        <v>25625.3121627686</v>
      </c>
      <c r="K58" s="270">
        <f t="shared" si="19"/>
        <v>26666.7248490635</v>
      </c>
      <c r="L58" s="270">
        <f t="shared" si="19"/>
        <v>27989.3944015771</v>
      </c>
      <c r="M58" s="273">
        <f t="shared" si="19"/>
        <v>29377.6683638953</v>
      </c>
      <c r="N58" s="288">
        <f>M58-B58</f>
        <v>5987.4583638953</v>
      </c>
      <c r="O58" s="9"/>
      <c r="P58" s="9"/>
      <c r="Q58" s="9"/>
    </row>
    <row r="59" ht="15.75" customHeight="1">
      <c r="A59" s="206" t="s">
        <v>250</v>
      </c>
      <c r="B59" s="254">
        <f>'Input sheet'!$B$24</f>
        <v>0.2005</v>
      </c>
      <c r="C59" s="272">
        <f t="shared" ref="C59:G59" si="20">B59</f>
        <v>0.2005</v>
      </c>
      <c r="D59" s="272">
        <f t="shared" si="20"/>
        <v>0.2005</v>
      </c>
      <c r="E59" s="272">
        <f t="shared" si="20"/>
        <v>0.2005</v>
      </c>
      <c r="F59" s="272">
        <f t="shared" si="20"/>
        <v>0.2005</v>
      </c>
      <c r="G59" s="272">
        <f t="shared" si="20"/>
        <v>0.2005</v>
      </c>
      <c r="H59" s="272">
        <f t="shared" ref="H59:L59" si="21">G59+($M59-$G59)/5</f>
        <v>0.2044</v>
      </c>
      <c r="I59" s="272">
        <f t="shared" si="21"/>
        <v>0.2083</v>
      </c>
      <c r="J59" s="272">
        <f t="shared" si="21"/>
        <v>0.2122</v>
      </c>
      <c r="K59" s="272">
        <f t="shared" si="21"/>
        <v>0.2161</v>
      </c>
      <c r="L59" s="272">
        <f t="shared" si="21"/>
        <v>0.22</v>
      </c>
      <c r="M59" s="272">
        <f>IF('Input sheet'!$B$60="Yes",'Input sheet'!$B$24,'Input sheet'!$B$25)</f>
        <v>0.22</v>
      </c>
      <c r="N59" s="9"/>
      <c r="O59" s="9"/>
      <c r="P59" s="9"/>
      <c r="Q59" s="9"/>
    </row>
    <row r="60" ht="15.75" customHeight="1">
      <c r="A60" s="206" t="s">
        <v>256</v>
      </c>
      <c r="B60" s="268">
        <f>IF(B58&gt;0,B58*(1-B59),B58)</f>
        <v>18700.472895</v>
      </c>
      <c r="C60" s="270">
        <f t="shared" ref="C60:L60" si="22">IF(C58&gt;0,IF(C58&lt;B63,C58,C58-(C58-B63)*C59),C58)</f>
        <v>18031.0152592128</v>
      </c>
      <c r="D60" s="270">
        <f t="shared" si="22"/>
        <v>18422.7097969492</v>
      </c>
      <c r="E60" s="270">
        <f t="shared" si="22"/>
        <v>18664.4439858154</v>
      </c>
      <c r="F60" s="270">
        <f t="shared" si="22"/>
        <v>18908.0743636611</v>
      </c>
      <c r="G60" s="270">
        <f t="shared" si="22"/>
        <v>19153.6135643446</v>
      </c>
      <c r="H60" s="270">
        <f t="shared" si="22"/>
        <v>19322.4493977851</v>
      </c>
      <c r="I60" s="270">
        <f t="shared" si="22"/>
        <v>19664.5855684552</v>
      </c>
      <c r="J60" s="270">
        <f t="shared" si="22"/>
        <v>20187.6209218291</v>
      </c>
      <c r="K60" s="270">
        <f t="shared" si="22"/>
        <v>20904.0456091809</v>
      </c>
      <c r="L60" s="270">
        <f t="shared" si="22"/>
        <v>21831.7276332301</v>
      </c>
      <c r="M60" s="270">
        <f>M58*(1-M59)</f>
        <v>22914.5813238383</v>
      </c>
      <c r="N60" s="9"/>
      <c r="O60" s="9"/>
      <c r="P60" s="9"/>
      <c r="Q60" s="9"/>
    </row>
    <row r="61" ht="15.75" customHeight="1">
      <c r="A61" s="206" t="s">
        <v>260</v>
      </c>
      <c r="B61" s="268"/>
      <c r="C61" s="270">
        <f>IF('Input sheet'!$B$57="No",(D56-C56)/C91,IF('Input sheet'!$B$58=0,(C56-B56)/C91,IF('Input sheet'!$B$58=2,(E56-D56)/C91,IF('Input sheet'!$B$58=3,(F56-E56)/C91,(D56-C56)/C91))))</f>
        <v>284.885518079991</v>
      </c>
      <c r="D61" s="270">
        <f>IF('Input sheet'!$B$57="No",(E56-D56)/D91,IF('Input sheet'!$B$58=0,(D56-C56)/D91,IF('Input sheet'!$B$58=2,(F56-E56)/D91,IF('Input sheet'!$B$58=3,(G56-F56)/D91,(E56-D56)/D91))))</f>
        <v>286.252968566778</v>
      </c>
      <c r="E61" s="270">
        <f>IF('Input sheet'!$B$57="No",(F56-E56)/E91,IF('Input sheet'!$B$58=0,(E56-D56)/E91,IF('Input sheet'!$B$58=2,(G56-F56)/E91,IF('Input sheet'!$B$58=3,(H56-G56)/E91,(F56-E56)/E91))))</f>
        <v>287.6269828159</v>
      </c>
      <c r="F61" s="270">
        <f>IF('Input sheet'!$B$57="No",(G56-F56)/F91,IF('Input sheet'!$B$58=0,(F56-E56)/F91,IF('Input sheet'!$B$58=2,(H56-G56)/F91,IF('Input sheet'!$B$58=3,(I56-H56)/F91,(G56-F56)/F91))))</f>
        <v>289.007592333419</v>
      </c>
      <c r="G61" s="270">
        <f>IF('Input sheet'!$B$57="No",(H56-G56)/G91,IF('Input sheet'!$B$58=0,(G56-F56)/G91,IF('Input sheet'!$B$58=2,(I56-H56)/G91,IF('Input sheet'!$B$58=3,(J56-I56)/G91,(H56-G56)/G91))))</f>
        <v>832.46517582631</v>
      </c>
      <c r="H61" s="270">
        <f>IF('Input sheet'!$B$57="No",(I56-H56)/H91,IF('Input sheet'!$B$58=0,(H56-G56)/H91,IF('Input sheet'!$B$58=2,(J56-I56)/H91,IF('Input sheet'!$B$58=3,(K56-J56)/H91,(I56-H56)/H91))))</f>
        <v>1042.03577900156</v>
      </c>
      <c r="I61" s="270">
        <f>IF('Input sheet'!$B$57="No",(J56-I56)/I91,IF('Input sheet'!$B$58=0,(I56-H56)/I91,IF('Input sheet'!$B$58=2,(K56-J56)/I91,IF('Input sheet'!$B$58=3,(L56-K56)/I91,(J56-I56)/I91))))</f>
        <v>1485.99115997389</v>
      </c>
      <c r="J61" s="270">
        <f>IF('Input sheet'!$B$57="No",(K56-J56)/J91,IF('Input sheet'!$B$58=0,(J56-I56)/J91,IF('Input sheet'!$B$58=2,(L56-K56)/J91,IF('Input sheet'!$B$58=3,(M56-L56)/J91,(K56-J56)/J91))))</f>
        <v>1966.66216878866</v>
      </c>
      <c r="K61" s="270">
        <f>IF('Input sheet'!$B$57="No",(L56-K56)/K91,IF('Input sheet'!$B$58=0,(K56-J56)/K91,IF('Input sheet'!$B$58=2,L56*L55/K91,IF('Input sheet'!$B$58=3,M56*M55/K91,(L56-K56)/K91))))</f>
        <v>2497.80342122737</v>
      </c>
      <c r="L61" s="270">
        <f>IF('Input sheet'!$B$57="No",(M56-L56)/L91,IF('Input sheet'!$B$58=0,(L56-K56)/L91,IF('Input sheet'!$B$58=2,M56*M55/L91,IF('Input sheet'!$B$58=3,K61*(1+M55),(M56-L56)/L91))))</f>
        <v>2621.69447092025</v>
      </c>
      <c r="M61" s="270">
        <f>M60*(M55/M93)</f>
        <v>12367.3910082958</v>
      </c>
      <c r="N61" s="288">
        <f>SUM(C61:M61)</f>
        <v>23961.8162458299</v>
      </c>
      <c r="O61" s="9"/>
      <c r="P61" s="9"/>
      <c r="Q61" s="9"/>
    </row>
    <row r="62" ht="15.75" customHeight="1">
      <c r="A62" s="206" t="s">
        <v>81</v>
      </c>
      <c r="B62" s="268"/>
      <c r="C62" s="270">
        <f t="shared" ref="C62:M62" si="23">C60-C61</f>
        <v>17746.1297411328</v>
      </c>
      <c r="D62" s="270">
        <f t="shared" si="23"/>
        <v>18136.4568283824</v>
      </c>
      <c r="E62" s="270">
        <f t="shared" si="23"/>
        <v>18376.8170029995</v>
      </c>
      <c r="F62" s="270">
        <f t="shared" si="23"/>
        <v>18619.0667713276</v>
      </c>
      <c r="G62" s="270">
        <f t="shared" si="23"/>
        <v>18321.1483885183</v>
      </c>
      <c r="H62" s="270">
        <f t="shared" si="23"/>
        <v>18280.4136187836</v>
      </c>
      <c r="I62" s="270">
        <f t="shared" si="23"/>
        <v>18178.5944084814</v>
      </c>
      <c r="J62" s="270">
        <f t="shared" si="23"/>
        <v>18220.9587530404</v>
      </c>
      <c r="K62" s="270">
        <f t="shared" si="23"/>
        <v>18406.2421879535</v>
      </c>
      <c r="L62" s="270">
        <f t="shared" si="23"/>
        <v>19210.0331623099</v>
      </c>
      <c r="M62" s="270">
        <f t="shared" si="23"/>
        <v>10547.1903155426</v>
      </c>
      <c r="N62" s="9"/>
      <c r="O62" s="9"/>
      <c r="P62" s="9"/>
      <c r="Q62" s="9"/>
    </row>
    <row r="63" ht="15.75" customHeight="1">
      <c r="A63" s="206" t="s">
        <v>319</v>
      </c>
      <c r="B63" s="268">
        <f>IF('Input sheet'!$B$62="Yes",'Input sheet'!$B$63,0)</f>
        <v>0.0</v>
      </c>
      <c r="C63" s="270">
        <f t="shared" ref="C63:M63" si="24">IF(C58&lt;0,B63-C58,IF(B63&gt;C58,B63-C58,0))</f>
        <v>0.0</v>
      </c>
      <c r="D63" s="270">
        <f t="shared" si="24"/>
        <v>0.0</v>
      </c>
      <c r="E63" s="270">
        <f t="shared" si="24"/>
        <v>0.0</v>
      </c>
      <c r="F63" s="270">
        <f t="shared" si="24"/>
        <v>0.0</v>
      </c>
      <c r="G63" s="270">
        <f t="shared" si="24"/>
        <v>0.0</v>
      </c>
      <c r="H63" s="270">
        <f t="shared" si="24"/>
        <v>0.0</v>
      </c>
      <c r="I63" s="270">
        <f t="shared" si="24"/>
        <v>0.0</v>
      </c>
      <c r="J63" s="270">
        <f t="shared" si="24"/>
        <v>0.0</v>
      </c>
      <c r="K63" s="270">
        <f t="shared" si="24"/>
        <v>0.0</v>
      </c>
      <c r="L63" s="270">
        <f t="shared" si="24"/>
        <v>0.0</v>
      </c>
      <c r="M63" s="270">
        <f t="shared" si="24"/>
        <v>0.0</v>
      </c>
      <c r="N63" s="9"/>
      <c r="O63" s="9"/>
      <c r="P63" s="9"/>
      <c r="Q63" s="9"/>
    </row>
    <row r="64" ht="15.75" customHeight="1">
      <c r="A64" s="206"/>
      <c r="B64" s="208"/>
      <c r="C64" s="315"/>
      <c r="D64" s="315"/>
      <c r="E64" s="315"/>
      <c r="F64" s="315"/>
      <c r="G64" s="315"/>
      <c r="H64" s="315"/>
      <c r="I64" s="315"/>
      <c r="J64" s="315"/>
      <c r="K64" s="315"/>
      <c r="L64" s="315"/>
      <c r="M64" s="315"/>
      <c r="N64" s="9"/>
      <c r="O64" s="9"/>
      <c r="P64" s="9"/>
      <c r="Q64" s="9"/>
    </row>
    <row r="65" ht="15.75" customHeight="1">
      <c r="A65" s="206" t="s">
        <v>320</v>
      </c>
      <c r="B65" s="254"/>
      <c r="C65" s="272">
        <f>'Input sheet'!$B$36</f>
        <v>0.100420989928469</v>
      </c>
      <c r="D65" s="272">
        <f t="shared" ref="D65:G65" si="25">C65</f>
        <v>0.100420989928469</v>
      </c>
      <c r="E65" s="272">
        <f t="shared" si="25"/>
        <v>0.100420989928469</v>
      </c>
      <c r="F65" s="272">
        <f t="shared" si="25"/>
        <v>0.100420989928469</v>
      </c>
      <c r="G65" s="272">
        <f t="shared" si="25"/>
        <v>0.100420989928469</v>
      </c>
      <c r="H65" s="272">
        <f t="shared" ref="H65:L65" si="26">G65-($G65-$M65)/5</f>
        <v>0.0987167919427754</v>
      </c>
      <c r="I65" s="272">
        <f t="shared" si="26"/>
        <v>0.0970125939570816</v>
      </c>
      <c r="J65" s="272">
        <f t="shared" si="26"/>
        <v>0.0953083959713877</v>
      </c>
      <c r="K65" s="272">
        <f t="shared" si="26"/>
        <v>0.0936041979856939</v>
      </c>
      <c r="L65" s="272">
        <f t="shared" si="26"/>
        <v>0.0919</v>
      </c>
      <c r="M65" s="272">
        <f>IF('Input sheet'!$B$46="Yes",'Input sheet'!$B$47,IF('Input sheet'!$B$65="Yes",'Input sheet'!$B$66+'Country equity risk premiums'!$B$2,'Input sheet'!$B$35+'Country equity risk premiums'!$B$2))</f>
        <v>0.0919</v>
      </c>
      <c r="N65" s="9"/>
      <c r="O65" s="9"/>
      <c r="P65" s="9"/>
      <c r="Q65" s="9"/>
    </row>
    <row r="66" ht="15.75" customHeight="1">
      <c r="A66" s="206" t="s">
        <v>321</v>
      </c>
      <c r="B66" s="208"/>
      <c r="C66" s="316">
        <f>1/(1+C65)</f>
        <v>0.908743116636664</v>
      </c>
      <c r="D66" s="316">
        <f t="shared" ref="D66:L66" si="27">C66*(1/(1+D65))</f>
        <v>0.825814052034517</v>
      </c>
      <c r="E66" s="316">
        <f t="shared" si="27"/>
        <v>0.7504528354082</v>
      </c>
      <c r="F66" s="316">
        <f t="shared" si="27"/>
        <v>0.681968848537669</v>
      </c>
      <c r="G66" s="316">
        <f t="shared" si="27"/>
        <v>0.619734496869238</v>
      </c>
      <c r="H66" s="316">
        <f t="shared" si="27"/>
        <v>0.564052994742539</v>
      </c>
      <c r="I66" s="316">
        <f t="shared" si="27"/>
        <v>0.514171849848979</v>
      </c>
      <c r="J66" s="316">
        <f t="shared" si="27"/>
        <v>0.469431122540588</v>
      </c>
      <c r="K66" s="316">
        <f t="shared" si="27"/>
        <v>0.429251390407271</v>
      </c>
      <c r="L66" s="316">
        <f t="shared" si="27"/>
        <v>0.39312335415997</v>
      </c>
      <c r="M66" s="315"/>
      <c r="N66" s="9"/>
      <c r="O66" s="9"/>
      <c r="P66" s="9"/>
      <c r="Q66" s="9"/>
    </row>
    <row r="67" ht="15.75" customHeight="1">
      <c r="A67" s="206" t="s">
        <v>322</v>
      </c>
      <c r="B67" s="208"/>
      <c r="C67" s="270">
        <f t="shared" ref="C67:L67" si="28">C62*C66</f>
        <v>16126.6732491956</v>
      </c>
      <c r="D67" s="270">
        <f t="shared" si="28"/>
        <v>14977.3409029956</v>
      </c>
      <c r="E67" s="270">
        <f t="shared" si="28"/>
        <v>13790.9344256786</v>
      </c>
      <c r="F67" s="270">
        <f t="shared" si="28"/>
        <v>12697.6235268883</v>
      </c>
      <c r="G67" s="270">
        <f t="shared" si="28"/>
        <v>11354.247678625</v>
      </c>
      <c r="H67" s="270">
        <f t="shared" si="28"/>
        <v>10311.1220468072</v>
      </c>
      <c r="I67" s="270">
        <f t="shared" si="28"/>
        <v>9346.92151466316</v>
      </c>
      <c r="J67" s="270">
        <f t="shared" si="28"/>
        <v>8553.48512120552</v>
      </c>
      <c r="K67" s="270">
        <f t="shared" si="28"/>
        <v>7900.90505135202</v>
      </c>
      <c r="L67" s="270">
        <f t="shared" si="28"/>
        <v>7551.91267029151</v>
      </c>
      <c r="M67" s="315"/>
      <c r="N67" s="9"/>
      <c r="O67" s="9"/>
      <c r="P67" s="9"/>
      <c r="Q67" s="9"/>
    </row>
    <row r="68" ht="15.75" customHeight="1">
      <c r="A68" s="206"/>
      <c r="B68" s="206"/>
      <c r="C68" s="249"/>
      <c r="D68" s="249"/>
      <c r="E68" s="249"/>
      <c r="F68" s="249"/>
      <c r="G68" s="249"/>
      <c r="H68" s="249"/>
      <c r="I68" s="249"/>
      <c r="J68" s="249"/>
      <c r="K68" s="249"/>
      <c r="L68" s="249"/>
      <c r="M68" s="249"/>
      <c r="N68" s="9"/>
      <c r="O68" s="9"/>
      <c r="P68" s="9"/>
      <c r="Q68" s="9"/>
    </row>
    <row r="69" ht="15.75" customHeight="1">
      <c r="A69" s="227" t="s">
        <v>323</v>
      </c>
      <c r="B69" s="268">
        <f>M62</f>
        <v>10547.1903155426</v>
      </c>
      <c r="C69" s="249"/>
      <c r="D69" s="249"/>
      <c r="E69" s="249"/>
      <c r="F69" s="249"/>
      <c r="G69" s="249"/>
      <c r="H69" s="249"/>
      <c r="I69" s="249"/>
      <c r="J69" s="249"/>
      <c r="K69" s="249"/>
      <c r="L69" s="249"/>
      <c r="M69" s="249"/>
      <c r="N69" s="9"/>
      <c r="O69" s="9"/>
      <c r="P69" s="9"/>
      <c r="Q69" s="9"/>
    </row>
    <row r="70" ht="15.75" customHeight="1">
      <c r="A70" s="227" t="s">
        <v>324</v>
      </c>
      <c r="B70" s="254">
        <f>M65</f>
        <v>0.0919</v>
      </c>
      <c r="C70" s="249"/>
      <c r="D70" s="266"/>
      <c r="E70" s="249"/>
      <c r="F70" s="249"/>
      <c r="G70" s="249"/>
      <c r="H70" s="249"/>
      <c r="I70" s="249"/>
      <c r="J70" s="249"/>
      <c r="K70" s="249"/>
      <c r="L70" s="249"/>
      <c r="M70" s="249"/>
      <c r="N70" s="9"/>
      <c r="O70" s="9"/>
      <c r="P70" s="9"/>
      <c r="Q70" s="9"/>
    </row>
    <row r="71" ht="15.75" customHeight="1">
      <c r="A71" s="227" t="s">
        <v>325</v>
      </c>
      <c r="B71" s="268">
        <f>B69/(B70-M55)</f>
        <v>249342.560651124</v>
      </c>
      <c r="C71" s="249"/>
      <c r="D71" s="317"/>
      <c r="E71" s="249"/>
      <c r="F71" s="249"/>
      <c r="G71" s="249"/>
      <c r="H71" s="249"/>
      <c r="I71" s="249"/>
      <c r="J71" s="249"/>
      <c r="K71" s="249"/>
      <c r="L71" s="249"/>
      <c r="M71" s="266"/>
      <c r="N71" s="9"/>
      <c r="O71" s="9"/>
      <c r="P71" s="9"/>
      <c r="Q71" s="9"/>
    </row>
    <row r="72" ht="15.75" customHeight="1">
      <c r="A72" s="227" t="s">
        <v>326</v>
      </c>
      <c r="B72" s="268">
        <f>B71*L66</f>
        <v>98022.3837780057</v>
      </c>
      <c r="C72" s="249"/>
      <c r="D72" s="266"/>
      <c r="E72" s="249"/>
      <c r="F72" s="249"/>
      <c r="G72" s="249"/>
      <c r="H72" s="249"/>
      <c r="I72" s="249"/>
      <c r="J72" s="249"/>
      <c r="K72" s="249"/>
      <c r="L72" s="249"/>
      <c r="M72" s="249"/>
      <c r="N72" s="9"/>
      <c r="O72" s="9"/>
      <c r="P72" s="9"/>
      <c r="Q72" s="9"/>
    </row>
    <row r="73" ht="15.75" customHeight="1">
      <c r="A73" s="227" t="s">
        <v>327</v>
      </c>
      <c r="B73" s="268">
        <f>SUM(C67:L67)</f>
        <v>112611.166187703</v>
      </c>
      <c r="C73" s="249"/>
      <c r="D73" s="249"/>
      <c r="E73" s="249"/>
      <c r="F73" s="249"/>
      <c r="G73" s="249"/>
      <c r="H73" s="249"/>
      <c r="I73" s="249"/>
      <c r="J73" s="249"/>
      <c r="K73" s="249"/>
      <c r="L73" s="249"/>
      <c r="M73" s="249"/>
      <c r="N73" s="9"/>
      <c r="O73" s="9"/>
      <c r="P73" s="9"/>
      <c r="Q73" s="9"/>
    </row>
    <row r="74" ht="15.75" customHeight="1">
      <c r="A74" s="227" t="s">
        <v>328</v>
      </c>
      <c r="B74" s="268">
        <f>B72+B73</f>
        <v>210633.549965708</v>
      </c>
      <c r="C74" s="249"/>
      <c r="D74" s="249"/>
      <c r="E74" s="249"/>
      <c r="F74" s="249"/>
      <c r="G74" s="249"/>
      <c r="H74" s="249"/>
      <c r="I74" s="249"/>
      <c r="J74" s="249"/>
      <c r="K74" s="249"/>
      <c r="L74" s="249"/>
      <c r="M74" s="249"/>
      <c r="N74" s="9"/>
      <c r="O74" s="9"/>
      <c r="P74" s="9"/>
      <c r="Q74" s="9"/>
    </row>
    <row r="75" ht="15.75" customHeight="1">
      <c r="A75" s="227" t="s">
        <v>329</v>
      </c>
      <c r="B75" s="254">
        <f>IF('Input sheet'!$B$52="Yes",'Input sheet'!$B$53,0)</f>
        <v>0.0</v>
      </c>
      <c r="C75" s="249"/>
      <c r="D75" s="249"/>
      <c r="E75" s="266"/>
      <c r="F75" s="249"/>
      <c r="G75" s="249"/>
      <c r="H75" s="249"/>
      <c r="I75" s="249"/>
      <c r="J75" s="249"/>
      <c r="K75" s="249"/>
      <c r="L75" s="249"/>
      <c r="M75" s="249"/>
      <c r="N75" s="9"/>
      <c r="O75" s="9"/>
      <c r="P75" s="9"/>
      <c r="Q75" s="9"/>
    </row>
    <row r="76" ht="15.75" customHeight="1">
      <c r="A76" s="227" t="s">
        <v>330</v>
      </c>
      <c r="B76" s="318">
        <f>IF('Input sheet'!$B$54="B",('Input sheet'!$B$15+'Input sheet'!$B$16)*'Input sheet'!$B$55,'Valuation output'!B74*'Input sheet'!$B$55)</f>
        <v>105316.774982854</v>
      </c>
      <c r="C76" s="249"/>
      <c r="D76" s="249"/>
      <c r="E76" s="249"/>
      <c r="F76" s="249"/>
      <c r="G76" s="249"/>
      <c r="H76" s="249"/>
      <c r="I76" s="249"/>
      <c r="J76" s="249"/>
      <c r="K76" s="249"/>
      <c r="L76" s="249"/>
      <c r="M76" s="249"/>
      <c r="N76" s="9"/>
      <c r="O76" s="9"/>
      <c r="P76" s="9"/>
      <c r="Q76" s="9"/>
    </row>
    <row r="77" ht="15.75" customHeight="1">
      <c r="A77" s="227" t="s">
        <v>331</v>
      </c>
      <c r="B77" s="268">
        <f>B74*(1-B75)+B76*B75</f>
        <v>210633.549965708</v>
      </c>
      <c r="C77" s="249"/>
      <c r="D77" s="249"/>
      <c r="E77" s="249"/>
      <c r="F77" s="249"/>
      <c r="G77" s="249"/>
      <c r="H77" s="249"/>
      <c r="I77" s="249"/>
      <c r="J77" s="249"/>
      <c r="K77" s="249"/>
      <c r="L77" s="249"/>
      <c r="M77" s="249"/>
      <c r="N77" s="9"/>
      <c r="O77" s="9"/>
      <c r="P77" s="9"/>
      <c r="Q77" s="9"/>
    </row>
    <row r="78" ht="15.75" customHeight="1">
      <c r="A78" s="227" t="s">
        <v>333</v>
      </c>
      <c r="B78" s="268">
        <f>IF('Input sheet'!$B$18="Yes",'Input sheet'!$B$16+'Operating lease converter'!$C$29,'Input sheet'!$B$16)</f>
        <v>21361.0</v>
      </c>
      <c r="C78" s="249"/>
      <c r="D78" s="249"/>
      <c r="E78" s="249"/>
      <c r="F78" s="249"/>
      <c r="G78" s="249"/>
      <c r="H78" s="249"/>
      <c r="I78" s="249"/>
      <c r="J78" s="249"/>
      <c r="K78" s="249"/>
      <c r="L78" s="249"/>
      <c r="M78" s="249"/>
      <c r="N78" s="9"/>
      <c r="O78" s="9"/>
      <c r="P78" s="9"/>
      <c r="Q78" s="9"/>
    </row>
    <row r="79" ht="15.75" customHeight="1">
      <c r="A79" s="227" t="s">
        <v>336</v>
      </c>
      <c r="B79" s="268">
        <f>'Input sheet'!$B$21</f>
        <v>0.0</v>
      </c>
      <c r="C79" s="249"/>
      <c r="D79" s="249"/>
      <c r="E79" s="249"/>
      <c r="F79" s="249"/>
      <c r="G79" s="249"/>
      <c r="H79" s="249"/>
      <c r="I79" s="249"/>
      <c r="J79" s="249"/>
      <c r="K79" s="249"/>
      <c r="L79" s="249"/>
      <c r="M79" s="249"/>
      <c r="N79" s="9"/>
      <c r="O79" s="9"/>
      <c r="P79" s="9"/>
      <c r="Q79" s="9"/>
    </row>
    <row r="80" ht="15.75" customHeight="1">
      <c r="A80" s="227" t="s">
        <v>339</v>
      </c>
      <c r="B80" s="268">
        <f>IF('Input sheet'!$B$71="YES",'Input sheet'!$B$19-'Input sheet'!$B$72*('Input sheet'!$B$25-'Input sheet'!$B$73),'Input sheet'!$B$19)</f>
        <v>6857.1</v>
      </c>
      <c r="C80" s="249"/>
      <c r="D80" s="329" t="s">
        <v>343</v>
      </c>
      <c r="E80" s="27"/>
      <c r="F80" s="27"/>
      <c r="G80" s="249"/>
      <c r="H80" s="249"/>
      <c r="I80" s="249"/>
      <c r="J80" s="249"/>
      <c r="K80" s="249"/>
      <c r="L80" s="249"/>
      <c r="M80" s="249"/>
      <c r="N80" s="9"/>
      <c r="O80" s="9"/>
      <c r="P80" s="9"/>
      <c r="Q80" s="9"/>
    </row>
    <row r="81" ht="15.75" customHeight="1">
      <c r="A81" s="227" t="s">
        <v>345</v>
      </c>
      <c r="B81" s="268">
        <f>'Input sheet'!$B$20</f>
        <v>4943.7</v>
      </c>
      <c r="C81" s="249"/>
      <c r="D81" s="28"/>
      <c r="G81" s="249"/>
      <c r="H81" s="249"/>
      <c r="I81" s="249"/>
      <c r="J81" s="249"/>
      <c r="K81" s="249"/>
      <c r="L81" s="249"/>
      <c r="M81" s="249"/>
      <c r="N81" s="9"/>
      <c r="O81" s="9"/>
      <c r="P81" s="9"/>
      <c r="Q81" s="9"/>
    </row>
    <row r="82" ht="15.75" customHeight="1">
      <c r="A82" s="227" t="s">
        <v>347</v>
      </c>
      <c r="B82" s="268">
        <f>B77-B78-B79+B80+B81</f>
        <v>201073.349965708</v>
      </c>
      <c r="C82" s="249"/>
      <c r="D82" s="28"/>
      <c r="G82" s="249"/>
      <c r="H82" s="249"/>
      <c r="I82" s="249"/>
      <c r="J82" s="249"/>
      <c r="K82" s="249"/>
      <c r="L82" s="249"/>
      <c r="M82" s="249"/>
      <c r="N82" s="9"/>
      <c r="O82" s="9"/>
      <c r="P82" s="9"/>
      <c r="Q82" s="9"/>
    </row>
    <row r="83" ht="15.75" customHeight="1">
      <c r="A83" s="227" t="s">
        <v>350</v>
      </c>
      <c r="B83" s="337">
        <f>IF('Input sheet'!$B$38="No",0,'Option value'!$B$30)</f>
        <v>0.0</v>
      </c>
      <c r="C83" s="249"/>
      <c r="D83" s="28"/>
      <c r="G83" s="249"/>
      <c r="H83" s="249"/>
      <c r="I83" s="249"/>
      <c r="J83" s="249"/>
      <c r="K83" s="249"/>
      <c r="L83" s="249"/>
      <c r="M83" s="249"/>
      <c r="N83" s="9"/>
      <c r="O83" s="9"/>
      <c r="P83" s="9"/>
      <c r="Q83" s="9"/>
    </row>
    <row r="84" ht="15.75" customHeight="1">
      <c r="A84" s="227" t="s">
        <v>354</v>
      </c>
      <c r="B84" s="268">
        <f>B82-B83</f>
        <v>201073.349965708</v>
      </c>
      <c r="C84" s="249"/>
      <c r="D84" s="28"/>
      <c r="G84" s="249"/>
      <c r="H84" s="249"/>
      <c r="I84" s="249"/>
      <c r="J84" s="249"/>
      <c r="K84" s="249"/>
      <c r="L84" s="249"/>
      <c r="M84" s="249"/>
      <c r="N84" s="9"/>
      <c r="O84" s="9"/>
      <c r="P84" s="9"/>
      <c r="Q84" s="9"/>
    </row>
    <row r="85" ht="15.75" customHeight="1">
      <c r="A85" s="227" t="s">
        <v>356</v>
      </c>
      <c r="B85" s="342">
        <f>'Input sheet'!$B$22</f>
        <v>4416.8</v>
      </c>
      <c r="C85" s="249"/>
      <c r="D85" s="28"/>
      <c r="G85" s="249"/>
      <c r="H85" s="249"/>
      <c r="I85" s="249"/>
      <c r="J85" s="249"/>
      <c r="K85" s="249"/>
      <c r="L85" s="249"/>
      <c r="M85" s="249"/>
      <c r="N85" s="9"/>
      <c r="O85" s="9"/>
      <c r="P85" s="9"/>
      <c r="Q85" s="9"/>
    </row>
    <row r="86" ht="15.75" customHeight="1">
      <c r="A86" s="227" t="s">
        <v>358</v>
      </c>
      <c r="B86" s="344">
        <f>B84/B85</f>
        <v>45.5246671720948</v>
      </c>
      <c r="C86" s="249"/>
      <c r="D86" s="249"/>
      <c r="E86" s="249"/>
      <c r="F86" s="249"/>
      <c r="G86" s="249"/>
      <c r="H86" s="249"/>
      <c r="I86" s="249"/>
      <c r="J86" s="249"/>
      <c r="K86" s="249"/>
      <c r="L86" s="249"/>
      <c r="M86" s="249"/>
      <c r="N86" s="9"/>
      <c r="O86" s="9"/>
      <c r="P86" s="9"/>
      <c r="Q86" s="9"/>
    </row>
    <row r="87" ht="15.75" customHeight="1">
      <c r="A87" s="227" t="s">
        <v>360</v>
      </c>
      <c r="B87" s="268">
        <f>'Input sheet'!$B$23</f>
        <v>39.4</v>
      </c>
      <c r="C87" s="249"/>
      <c r="D87" s="249"/>
      <c r="E87" s="249"/>
      <c r="F87" s="249"/>
      <c r="G87" s="249"/>
      <c r="H87" s="249"/>
      <c r="I87" s="249"/>
      <c r="J87" s="249"/>
      <c r="K87" s="249"/>
      <c r="L87" s="249"/>
      <c r="M87" s="249"/>
      <c r="N87" s="9"/>
      <c r="O87" s="9"/>
      <c r="P87" s="9"/>
      <c r="Q87" s="9"/>
    </row>
    <row r="88" ht="15.75" customHeight="1">
      <c r="A88" s="227" t="s">
        <v>362</v>
      </c>
      <c r="B88" s="254">
        <f>B87/B86</f>
        <v>0.865464866575696</v>
      </c>
      <c r="C88" s="249"/>
      <c r="D88" s="249"/>
      <c r="E88" s="249"/>
      <c r="F88" s="249"/>
      <c r="G88" s="249"/>
      <c r="H88" s="249"/>
      <c r="I88" s="249"/>
      <c r="J88" s="249"/>
      <c r="K88" s="249"/>
      <c r="L88" s="249"/>
      <c r="M88" s="249"/>
      <c r="N88" s="9"/>
      <c r="O88" s="9"/>
      <c r="P88" s="9"/>
      <c r="Q88" s="9"/>
    </row>
    <row r="89" ht="15.75" customHeight="1">
      <c r="A89" s="206"/>
      <c r="B89" s="206"/>
      <c r="C89" s="249"/>
      <c r="D89" s="249"/>
      <c r="E89" s="249"/>
      <c r="F89" s="249"/>
      <c r="G89" s="249"/>
      <c r="H89" s="249"/>
      <c r="I89" s="249"/>
      <c r="J89" s="249"/>
      <c r="K89" s="249"/>
      <c r="L89" s="249"/>
      <c r="M89" s="249"/>
      <c r="N89" s="9"/>
      <c r="O89" s="9"/>
      <c r="P89" s="9"/>
      <c r="Q89" s="9"/>
    </row>
    <row r="90" ht="15.75" customHeight="1">
      <c r="A90" s="350" t="s">
        <v>365</v>
      </c>
      <c r="B90" s="208"/>
      <c r="C90" s="315"/>
      <c r="D90" s="315"/>
      <c r="E90" s="315"/>
      <c r="F90" s="315"/>
      <c r="G90" s="315"/>
      <c r="H90" s="315"/>
      <c r="I90" s="315"/>
      <c r="J90" s="315"/>
      <c r="K90" s="315"/>
      <c r="L90" s="315"/>
      <c r="M90" s="315" t="s">
        <v>367</v>
      </c>
      <c r="N90" s="9"/>
      <c r="O90" s="9"/>
      <c r="P90" s="9"/>
      <c r="Q90" s="9"/>
    </row>
    <row r="91" ht="15.75" customHeight="1">
      <c r="A91" s="227" t="s">
        <v>368</v>
      </c>
      <c r="B91" s="208"/>
      <c r="C91" s="282">
        <f>'Input sheet'!$B$32</f>
        <v>0.8</v>
      </c>
      <c r="D91" s="282">
        <f>'Input sheet'!$B$32</f>
        <v>0.8</v>
      </c>
      <c r="E91" s="282">
        <f t="shared" ref="E91:G91" si="29">D91</f>
        <v>0.8</v>
      </c>
      <c r="F91" s="282">
        <f t="shared" si="29"/>
        <v>0.8</v>
      </c>
      <c r="G91" s="282">
        <f t="shared" si="29"/>
        <v>0.8</v>
      </c>
      <c r="H91" s="282">
        <f>'Input sheet'!$B$33</f>
        <v>1.06978985539705</v>
      </c>
      <c r="I91" s="282">
        <f t="shared" ref="I91:L91" si="30">H91</f>
        <v>1.06978985539705</v>
      </c>
      <c r="J91" s="282">
        <f t="shared" si="30"/>
        <v>1.06978985539705</v>
      </c>
      <c r="K91" s="282">
        <f t="shared" si="30"/>
        <v>1.06978985539705</v>
      </c>
      <c r="L91" s="282">
        <f t="shared" si="30"/>
        <v>1.06978985539705</v>
      </c>
      <c r="M91" s="315"/>
      <c r="N91" s="9"/>
      <c r="O91" s="9"/>
      <c r="P91" s="9"/>
      <c r="Q91" s="9"/>
    </row>
    <row r="92" ht="15.75" customHeight="1">
      <c r="A92" s="227" t="s">
        <v>374</v>
      </c>
      <c r="B92" s="299">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77987.21</v>
      </c>
      <c r="C92" s="364">
        <f t="shared" ref="C92:L92" si="31">B92+C61</f>
        <v>78272.09551808</v>
      </c>
      <c r="D92" s="364">
        <f t="shared" si="31"/>
        <v>78558.3484866468</v>
      </c>
      <c r="E92" s="364">
        <f t="shared" si="31"/>
        <v>78845.9754694627</v>
      </c>
      <c r="F92" s="364">
        <f t="shared" si="31"/>
        <v>79134.9830617961</v>
      </c>
      <c r="G92" s="364">
        <f t="shared" si="31"/>
        <v>79967.4482376224</v>
      </c>
      <c r="H92" s="364">
        <f t="shared" si="31"/>
        <v>81009.484016624</v>
      </c>
      <c r="I92" s="364">
        <f t="shared" si="31"/>
        <v>82495.4751765979</v>
      </c>
      <c r="J92" s="364">
        <f t="shared" si="31"/>
        <v>84462.1373453865</v>
      </c>
      <c r="K92" s="364">
        <f t="shared" si="31"/>
        <v>86959.9407666139</v>
      </c>
      <c r="L92" s="364">
        <f t="shared" si="31"/>
        <v>89581.6352375342</v>
      </c>
      <c r="M92" s="315"/>
      <c r="N92" s="9"/>
      <c r="O92" s="9"/>
      <c r="P92" s="9"/>
      <c r="Q92" s="9"/>
    </row>
    <row r="93" ht="15.75" customHeight="1">
      <c r="A93" s="227" t="s">
        <v>382</v>
      </c>
      <c r="B93" s="254">
        <f>B60/B92</f>
        <v>0.239788971742931</v>
      </c>
      <c r="C93" s="272">
        <f t="shared" ref="C93:L93" si="32">C60/B92</f>
        <v>0.231204773952201</v>
      </c>
      <c r="D93" s="272">
        <f t="shared" si="32"/>
        <v>0.235367530088597</v>
      </c>
      <c r="E93" s="272">
        <f t="shared" si="32"/>
        <v>0.237587020926083</v>
      </c>
      <c r="F93" s="272">
        <f t="shared" si="32"/>
        <v>0.23981026616868</v>
      </c>
      <c r="G93" s="272">
        <f t="shared" si="32"/>
        <v>0.24203724855021</v>
      </c>
      <c r="H93" s="272">
        <f t="shared" si="32"/>
        <v>0.241628935568491</v>
      </c>
      <c r="I93" s="272">
        <f t="shared" si="32"/>
        <v>0.242744239235247</v>
      </c>
      <c r="J93" s="272">
        <f t="shared" si="32"/>
        <v>0.244711856966864</v>
      </c>
      <c r="K93" s="272">
        <f t="shared" si="32"/>
        <v>0.24749605286093</v>
      </c>
      <c r="L93" s="272">
        <f t="shared" si="32"/>
        <v>0.251054996596914</v>
      </c>
      <c r="M93" s="272">
        <f>IF('Input sheet'!$B$49="Yes",'Input sheet'!$B$50,'Valuation output'!L65)</f>
        <v>0.0919</v>
      </c>
      <c r="N93" s="9"/>
      <c r="O93" s="9"/>
      <c r="P93" s="9"/>
      <c r="Q93" s="9"/>
    </row>
    <row r="94" ht="15.75" customHeight="1">
      <c r="A94" s="206"/>
      <c r="B94" s="206"/>
      <c r="C94" s="249"/>
      <c r="D94" s="249"/>
      <c r="E94" s="249"/>
      <c r="F94" s="249"/>
      <c r="G94" s="249"/>
      <c r="H94" s="249"/>
      <c r="I94" s="249"/>
      <c r="J94" s="249"/>
      <c r="K94" s="249"/>
      <c r="L94" s="249"/>
      <c r="M94" s="249"/>
      <c r="N94" s="9"/>
      <c r="O94" s="9"/>
      <c r="P94" s="9"/>
      <c r="Q94" s="9"/>
    </row>
    <row r="95" ht="15.75" customHeight="1">
      <c r="A95" s="206"/>
      <c r="B95" s="206" t="s">
        <v>385</v>
      </c>
      <c r="C95" s="249" t="s">
        <v>386</v>
      </c>
      <c r="D95" s="249"/>
      <c r="E95" s="249"/>
      <c r="F95" s="249"/>
      <c r="G95" s="249"/>
      <c r="H95" s="249"/>
      <c r="I95" s="249"/>
      <c r="J95" s="249"/>
      <c r="K95" s="249"/>
      <c r="L95" s="249"/>
      <c r="M95" s="249"/>
      <c r="N95" s="9"/>
      <c r="O95" s="9"/>
      <c r="P95" s="9"/>
      <c r="Q95" s="9"/>
    </row>
    <row r="96" ht="15.75" customHeight="1">
      <c r="A96" s="206" t="s">
        <v>16</v>
      </c>
      <c r="B96" s="297">
        <f t="shared" ref="B96:C96" si="33">MIN(B100:B102)</f>
        <v>0.0487</v>
      </c>
      <c r="C96" s="297">
        <f t="shared" si="33"/>
        <v>0.402</v>
      </c>
      <c r="D96" s="249"/>
      <c r="E96" s="249"/>
      <c r="F96" s="249"/>
      <c r="G96" s="249"/>
      <c r="H96" s="249"/>
      <c r="I96" s="249"/>
      <c r="J96" s="249"/>
      <c r="K96" s="249"/>
      <c r="L96" s="249"/>
      <c r="M96" s="249"/>
      <c r="N96" s="9"/>
      <c r="O96" s="9"/>
      <c r="P96" s="9"/>
      <c r="Q96" s="9"/>
    </row>
    <row r="97" ht="15.75" customHeight="1">
      <c r="A97" s="206" t="s">
        <v>17</v>
      </c>
      <c r="B97" s="297">
        <f t="shared" ref="B97:C97" si="34">MEDIAN(B100:B102)</f>
        <v>0.19522</v>
      </c>
      <c r="C97" s="297">
        <f t="shared" si="34"/>
        <v>0.42716</v>
      </c>
      <c r="D97" s="249"/>
      <c r="E97" s="249"/>
      <c r="F97" s="249"/>
      <c r="G97" s="249"/>
      <c r="H97" s="249"/>
      <c r="I97" s="249"/>
      <c r="J97" s="249"/>
      <c r="K97" s="249"/>
      <c r="L97" s="249"/>
      <c r="M97" s="249"/>
      <c r="N97" s="9"/>
      <c r="O97" s="9"/>
      <c r="P97" s="9"/>
      <c r="Q97" s="9"/>
    </row>
    <row r="98" ht="15.75" customHeight="1">
      <c r="A98" s="206" t="s">
        <v>18</v>
      </c>
      <c r="B98" s="297">
        <f t="shared" ref="B98:C98" si="35">MAX(B100:B102)</f>
        <v>0.2357</v>
      </c>
      <c r="C98" s="297">
        <f t="shared" si="35"/>
        <v>0.432166666666667</v>
      </c>
      <c r="D98" s="249"/>
      <c r="E98" s="249"/>
      <c r="F98" s="249"/>
      <c r="G98" s="249"/>
      <c r="H98" s="249"/>
      <c r="I98" s="249"/>
      <c r="J98" s="249"/>
      <c r="K98" s="249"/>
      <c r="L98" s="249"/>
      <c r="M98" s="249"/>
      <c r="N98" s="9"/>
      <c r="O98" s="9"/>
      <c r="P98" s="9"/>
      <c r="Q98" s="9"/>
    </row>
    <row r="99" ht="15.75" customHeight="1">
      <c r="A99" s="206"/>
      <c r="B99" s="206"/>
      <c r="C99" s="249"/>
      <c r="D99" s="249"/>
      <c r="E99" s="249"/>
      <c r="F99" s="249"/>
      <c r="G99" s="249"/>
      <c r="H99" s="249"/>
      <c r="I99" s="249"/>
      <c r="J99" s="249"/>
      <c r="K99" s="249"/>
      <c r="L99" s="249"/>
      <c r="M99" s="249"/>
      <c r="N99" s="9"/>
      <c r="O99" s="9"/>
      <c r="P99" s="9"/>
      <c r="Q99" s="9"/>
    </row>
    <row r="100" ht="15.75" customHeight="1">
      <c r="A100" s="206" t="s">
        <v>391</v>
      </c>
      <c r="B100" s="297">
        <f>'Income Statement'!$L$4</f>
        <v>0.0487</v>
      </c>
      <c r="C100" s="375">
        <f>'Income Statement'!$L$13</f>
        <v>0.402</v>
      </c>
      <c r="D100" s="249"/>
      <c r="E100" s="249"/>
      <c r="F100" s="249"/>
      <c r="G100" s="249"/>
      <c r="H100" s="249"/>
      <c r="I100" s="249"/>
      <c r="J100" s="249"/>
      <c r="K100" s="249"/>
      <c r="L100" s="249"/>
      <c r="M100" s="249"/>
      <c r="N100" s="9"/>
      <c r="O100" s="9"/>
      <c r="P100" s="9"/>
      <c r="Q100" s="9"/>
    </row>
    <row r="101" ht="15.75" customHeight="1">
      <c r="A101" s="206" t="s">
        <v>394</v>
      </c>
      <c r="B101" s="297">
        <f>AVERAGE('Income Statement'!$I$4:$K$4)</f>
        <v>0.2357</v>
      </c>
      <c r="C101" s="375">
        <f>AVERAGE('Income Statement'!$I$13:$K$13)</f>
        <v>0.432166666666667</v>
      </c>
      <c r="D101" s="249"/>
      <c r="E101" s="249"/>
      <c r="F101" s="249"/>
      <c r="G101" s="249"/>
      <c r="H101" s="249"/>
      <c r="I101" s="249"/>
      <c r="J101" s="249"/>
      <c r="K101" s="249"/>
      <c r="L101" s="249"/>
      <c r="M101" s="249"/>
      <c r="N101" s="9"/>
      <c r="O101" s="9"/>
      <c r="P101" s="9"/>
      <c r="Q101" s="9"/>
    </row>
    <row r="102" ht="15.75" customHeight="1">
      <c r="A102" s="206" t="s">
        <v>395</v>
      </c>
      <c r="B102" s="297">
        <f>AVERAGE('Income Statement'!$G$4:$K$4)</f>
        <v>0.19522</v>
      </c>
      <c r="C102" s="375">
        <f>AVERAGE('Income Statement'!$G$13:$K$13)</f>
        <v>0.42716</v>
      </c>
      <c r="D102" s="249"/>
      <c r="E102" s="249"/>
      <c r="F102" s="249"/>
      <c r="G102" s="249"/>
      <c r="H102" s="249"/>
      <c r="I102" s="249"/>
      <c r="J102" s="249"/>
      <c r="K102" s="249"/>
      <c r="L102" s="249"/>
      <c r="M102" s="249"/>
      <c r="N102" s="9"/>
      <c r="O102" s="9"/>
      <c r="P102" s="9"/>
      <c r="Q102" s="9"/>
    </row>
    <row r="103" ht="15.75" customHeight="1">
      <c r="A103" s="206"/>
      <c r="B103" s="206"/>
      <c r="C103" s="249"/>
      <c r="D103" s="249"/>
      <c r="E103" s="249"/>
      <c r="F103" s="249"/>
      <c r="G103" s="249"/>
      <c r="H103" s="249"/>
      <c r="I103" s="249"/>
      <c r="J103" s="249"/>
      <c r="K103" s="249"/>
      <c r="L103" s="249"/>
      <c r="M103" s="249"/>
      <c r="N103" s="9"/>
      <c r="O103" s="9"/>
      <c r="P103" s="9"/>
      <c r="Q103" s="9"/>
    </row>
    <row r="104" ht="15.75" customHeight="1">
      <c r="A104" s="209" t="s">
        <v>540</v>
      </c>
      <c r="B104" s="206" t="s">
        <v>18</v>
      </c>
      <c r="C104" s="249"/>
      <c r="D104" s="249"/>
      <c r="E104" s="249"/>
      <c r="F104" s="249"/>
      <c r="G104" s="249"/>
      <c r="H104" s="249"/>
      <c r="I104" s="249"/>
      <c r="J104" s="249"/>
      <c r="K104" s="249"/>
      <c r="L104" s="249"/>
      <c r="M104" s="249"/>
      <c r="N104" s="9"/>
      <c r="O104" s="9"/>
      <c r="P104" s="9"/>
      <c r="Q104" s="9"/>
    </row>
    <row r="105" ht="15.75" customHeight="1">
      <c r="A105" s="250"/>
      <c r="B105" s="225" t="s">
        <v>221</v>
      </c>
      <c r="C105" s="225">
        <v>1.0</v>
      </c>
      <c r="D105" s="225">
        <v>2.0</v>
      </c>
      <c r="E105" s="225">
        <v>3.0</v>
      </c>
      <c r="F105" s="225">
        <v>4.0</v>
      </c>
      <c r="G105" s="225">
        <v>5.0</v>
      </c>
      <c r="H105" s="225">
        <v>6.0</v>
      </c>
      <c r="I105" s="225">
        <v>7.0</v>
      </c>
      <c r="J105" s="225">
        <v>8.0</v>
      </c>
      <c r="K105" s="225">
        <v>9.0</v>
      </c>
      <c r="L105" s="225">
        <v>10.0</v>
      </c>
      <c r="M105" s="252" t="s">
        <v>223</v>
      </c>
      <c r="N105" s="9"/>
      <c r="O105" s="9"/>
      <c r="P105" s="9"/>
      <c r="Q105" s="9"/>
    </row>
    <row r="106" ht="15.75" customHeight="1">
      <c r="A106" s="206" t="s">
        <v>225</v>
      </c>
      <c r="B106" s="254">
        <f>'Input sheet'!B27</f>
        <v>-0.04</v>
      </c>
      <c r="C106" s="255">
        <f>'Input sheet'!B27*1.3</f>
        <v>-0.052</v>
      </c>
      <c r="D106" s="255">
        <f t="shared" ref="D106:G106" si="36">C106</f>
        <v>-0.052</v>
      </c>
      <c r="E106" s="255">
        <f t="shared" si="36"/>
        <v>-0.052</v>
      </c>
      <c r="F106" s="255">
        <f t="shared" si="36"/>
        <v>-0.052</v>
      </c>
      <c r="G106" s="255">
        <f t="shared" si="36"/>
        <v>-0.052</v>
      </c>
      <c r="H106" s="255">
        <f>G106-((G106-$M$4)/5)</f>
        <v>-0.03168</v>
      </c>
      <c r="I106" s="255">
        <f>G106-((G106-$M$4)/5)*2</f>
        <v>-0.01136</v>
      </c>
      <c r="J106" s="255">
        <f>G106-((G106-$M$4)/5)*3</f>
        <v>0.00895999999999999</v>
      </c>
      <c r="K106" s="255">
        <f>G106-((G106-$M$4)/5)*4</f>
        <v>0.02928</v>
      </c>
      <c r="L106" s="255">
        <f>G106-((G106-$M$4)/5)*5</f>
        <v>0.0496</v>
      </c>
      <c r="M106" s="255">
        <f>IF('Input sheet'!B68="Yes",'Input sheet'!B69,IF('Input sheet'!B65="Yes",'Input sheet'!B66,'Input sheet'!B35))</f>
        <v>0.0496</v>
      </c>
      <c r="N106" s="9"/>
      <c r="O106" s="9"/>
      <c r="P106" s="9"/>
      <c r="Q106" s="9"/>
    </row>
    <row r="107" ht="15.75" customHeight="1">
      <c r="A107" s="206" t="s">
        <v>158</v>
      </c>
      <c r="B107" s="268">
        <f>'Input sheet'!$B$12</f>
        <v>47254.1</v>
      </c>
      <c r="C107" s="270">
        <f t="shared" ref="C107:M107" si="37">B107*(1+C106)</f>
        <v>44796.8868</v>
      </c>
      <c r="D107" s="270">
        <f t="shared" si="37"/>
        <v>42467.4486864</v>
      </c>
      <c r="E107" s="270">
        <f t="shared" si="37"/>
        <v>40259.1413547072</v>
      </c>
      <c r="F107" s="270">
        <f t="shared" si="37"/>
        <v>38165.6660042624</v>
      </c>
      <c r="G107" s="270">
        <f t="shared" si="37"/>
        <v>36181.0513720408</v>
      </c>
      <c r="H107" s="270">
        <f t="shared" si="37"/>
        <v>35034.8356645745</v>
      </c>
      <c r="I107" s="270">
        <f t="shared" si="37"/>
        <v>34636.839931425</v>
      </c>
      <c r="J107" s="270">
        <f t="shared" si="37"/>
        <v>34947.1860172105</v>
      </c>
      <c r="K107" s="270">
        <f t="shared" si="37"/>
        <v>35970.4396237944</v>
      </c>
      <c r="L107" s="270">
        <f t="shared" si="37"/>
        <v>37754.5734291347</v>
      </c>
      <c r="M107" s="273">
        <f t="shared" si="37"/>
        <v>39627.2002712197</v>
      </c>
      <c r="N107" s="9"/>
      <c r="O107" s="9"/>
      <c r="P107" s="9"/>
      <c r="Q107" s="9"/>
    </row>
    <row r="108" ht="15.75" customHeight="1">
      <c r="A108" s="206" t="s">
        <v>238</v>
      </c>
      <c r="B108" s="254">
        <f>B109/B107</f>
        <v>0.494987948135717</v>
      </c>
      <c r="C108" s="272">
        <f>'Input sheet'!B28</f>
        <v>0.474987948135717</v>
      </c>
      <c r="D108" s="272">
        <f>IF(D3&gt;'Input sheet'!$B$31,$C$47,$C$47-(($C$47-$C$6)/'Input sheet'!$B$31)*('Input sheet'!$B$31-D3))</f>
        <v>0.48499276888143</v>
      </c>
      <c r="E108" s="272">
        <f>IF(E3&gt;'Input sheet'!$B$31,$C$47,$C$47-(($C$47-$C$6)/'Input sheet'!$B$31)*('Input sheet'!$B$31-E3))</f>
        <v>0.489995179254287</v>
      </c>
      <c r="F108" s="272">
        <f>IF(F3&gt;'Input sheet'!$B$31,$C$47,$C$47-(($C$47-$C$6)/'Input sheet'!$B$31)*('Input sheet'!$B$31-F3))</f>
        <v>0.494997589627143</v>
      </c>
      <c r="G108" s="272">
        <f>IF(G3&gt;'Input sheet'!$B$31,$C$47,$C$47-(($C$47-$C$6)/'Input sheet'!$B$31)*('Input sheet'!$B$31-G3))</f>
        <v>0.5</v>
      </c>
      <c r="H108" s="272">
        <f>IF(H3&gt;'Input sheet'!$B$31,$C$47,$C$47-(($C$47-$C$6)/'Input sheet'!$B$31)*('Input sheet'!$B$31-H3))</f>
        <v>0.5</v>
      </c>
      <c r="I108" s="272">
        <f>IF(I3&gt;'Input sheet'!$B$31,$C$47,$C$47-(($C$47-$C$6)/'Input sheet'!$B$31)*('Input sheet'!$B$31-I3))</f>
        <v>0.5</v>
      </c>
      <c r="J108" s="272">
        <f>IF(J3&gt;'Input sheet'!$B$31,$C$47,$C$47-(($C$47-$C$6)/'Input sheet'!$B$31)*('Input sheet'!$B$31-J3))</f>
        <v>0.5</v>
      </c>
      <c r="K108" s="272">
        <f>IF(K3&gt;'Input sheet'!$B$31,$C$47,$C$47-(($C$47-$C$6)/'Input sheet'!$B$31)*('Input sheet'!$B$31-K3))</f>
        <v>0.5</v>
      </c>
      <c r="L108" s="272">
        <f>IF(L3&gt;'Input sheet'!$B$31,$C$47,$C$47-(($C$47-$C$6)/'Input sheet'!$B$31)*('Input sheet'!$B$31-L3))</f>
        <v>0.5</v>
      </c>
      <c r="M108" s="272">
        <f>IF(M3&gt;'Input sheet'!$B$31,$C$47,$C$47-(($C$47-$C$6)/'Input sheet'!$B$31)*('Input sheet'!$B$31-M3))</f>
        <v>0.5</v>
      </c>
      <c r="N108" s="9"/>
      <c r="O108" s="9"/>
      <c r="P108" s="9"/>
      <c r="Q108" s="9"/>
    </row>
    <row r="109" ht="15.75" customHeight="1">
      <c r="A109" s="206" t="s">
        <v>246</v>
      </c>
      <c r="B109" s="268">
        <f>IF('Input sheet'!$B$18="Yes",IF('Input sheet'!$B$17="Yes",'Input sheet'!$B$13+'Operating lease converter'!$F$33+'R&amp; D converter'!$D$40,'Input sheet'!$B$13+'Operating lease converter'!$F$33),IF('Input sheet'!$B$17="Yes",'Input sheet'!$B$13+'R&amp; D converter'!$D$40,'Input sheet'!$B$13))</f>
        <v>23390.21</v>
      </c>
      <c r="C109" s="270">
        <f t="shared" ref="C109:M109" si="38">C108*C107</f>
        <v>21277.981344</v>
      </c>
      <c r="D109" s="270">
        <f t="shared" si="38"/>
        <v>20596.4055257472</v>
      </c>
      <c r="E109" s="270">
        <f t="shared" si="38"/>
        <v>19726.7851847234</v>
      </c>
      <c r="F109" s="270">
        <f t="shared" si="38"/>
        <v>18891.9126786245</v>
      </c>
      <c r="G109" s="270">
        <f t="shared" si="38"/>
        <v>18090.5256860204</v>
      </c>
      <c r="H109" s="270">
        <f t="shared" si="38"/>
        <v>17517.4178322873</v>
      </c>
      <c r="I109" s="270">
        <f t="shared" si="38"/>
        <v>17318.4199657125</v>
      </c>
      <c r="J109" s="270">
        <f t="shared" si="38"/>
        <v>17473.5930086053</v>
      </c>
      <c r="K109" s="270">
        <f t="shared" si="38"/>
        <v>17985.2198118972</v>
      </c>
      <c r="L109" s="270">
        <f t="shared" si="38"/>
        <v>18877.2867145673</v>
      </c>
      <c r="M109" s="273">
        <f t="shared" si="38"/>
        <v>19813.6001356099</v>
      </c>
      <c r="N109" s="288">
        <f>M109-B109</f>
        <v>-3576.60986439013</v>
      </c>
      <c r="O109" s="9"/>
      <c r="P109" s="9"/>
      <c r="Q109" s="9"/>
    </row>
    <row r="110" ht="15.75" customHeight="1">
      <c r="A110" s="206" t="s">
        <v>250</v>
      </c>
      <c r="B110" s="254">
        <f>'Input sheet'!$B$24</f>
        <v>0.2005</v>
      </c>
      <c r="C110" s="272">
        <f t="shared" ref="C110:G110" si="39">B110</f>
        <v>0.2005</v>
      </c>
      <c r="D110" s="272">
        <f t="shared" si="39"/>
        <v>0.2005</v>
      </c>
      <c r="E110" s="272">
        <f t="shared" si="39"/>
        <v>0.2005</v>
      </c>
      <c r="F110" s="272">
        <f t="shared" si="39"/>
        <v>0.2005</v>
      </c>
      <c r="G110" s="272">
        <f t="shared" si="39"/>
        <v>0.2005</v>
      </c>
      <c r="H110" s="272">
        <f t="shared" ref="H110:L110" si="40">G110+($M110-$G110)/5</f>
        <v>0.2044</v>
      </c>
      <c r="I110" s="272">
        <f t="shared" si="40"/>
        <v>0.2083</v>
      </c>
      <c r="J110" s="272">
        <f t="shared" si="40"/>
        <v>0.2122</v>
      </c>
      <c r="K110" s="272">
        <f t="shared" si="40"/>
        <v>0.2161</v>
      </c>
      <c r="L110" s="272">
        <f t="shared" si="40"/>
        <v>0.22</v>
      </c>
      <c r="M110" s="272">
        <f>IF('Input sheet'!$B$60="Yes",'Input sheet'!$B$24,'Input sheet'!$B$25)</f>
        <v>0.22</v>
      </c>
      <c r="N110" s="9"/>
      <c r="O110" s="9"/>
      <c r="P110" s="9"/>
      <c r="Q110" s="9"/>
    </row>
    <row r="111" ht="15.75" customHeight="1">
      <c r="A111" s="206" t="s">
        <v>256</v>
      </c>
      <c r="B111" s="268">
        <f>IF(B109&gt;0,B109*(1-B110),B109)</f>
        <v>18700.472895</v>
      </c>
      <c r="C111" s="270">
        <f t="shared" ref="C111:L111" si="41">IF(C109&gt;0,IF(C109&lt;B114,C109,C109-(C109-B114)*C110),C109)</f>
        <v>17011.746084528</v>
      </c>
      <c r="D111" s="270">
        <f t="shared" si="41"/>
        <v>16466.8262178349</v>
      </c>
      <c r="E111" s="270">
        <f t="shared" si="41"/>
        <v>15771.5647551864</v>
      </c>
      <c r="F111" s="270">
        <f t="shared" si="41"/>
        <v>15104.0841865603</v>
      </c>
      <c r="G111" s="270">
        <f t="shared" si="41"/>
        <v>14463.3752859733</v>
      </c>
      <c r="H111" s="270">
        <f t="shared" si="41"/>
        <v>13936.8576273677</v>
      </c>
      <c r="I111" s="270">
        <f t="shared" si="41"/>
        <v>13710.9930868546</v>
      </c>
      <c r="J111" s="270">
        <f t="shared" si="41"/>
        <v>13765.6965721792</v>
      </c>
      <c r="K111" s="270">
        <f t="shared" si="41"/>
        <v>14098.6138105462</v>
      </c>
      <c r="L111" s="270">
        <f t="shared" si="41"/>
        <v>14724.2836373625</v>
      </c>
      <c r="M111" s="270">
        <f>M109*(1-M110)</f>
        <v>15454.6081057757</v>
      </c>
      <c r="N111" s="9"/>
      <c r="O111" s="9"/>
      <c r="P111" s="9"/>
      <c r="Q111" s="9"/>
    </row>
    <row r="112" ht="15.75" customHeight="1">
      <c r="A112" s="206" t="s">
        <v>260</v>
      </c>
      <c r="B112" s="268"/>
      <c r="C112" s="270">
        <f>IF('Input sheet'!$B$57="No",(D107-C107)/C142,IF('Input sheet'!$B$58=0,(C107-B107)/C142,IF('Input sheet'!$B$58=2,(E107-D107)/C142,IF('Input sheet'!$B$58=3,(F107-E107)/C142,(D107-C107)/C142))))</f>
        <v>-2911.797642</v>
      </c>
      <c r="D112" s="270">
        <f>IF('Input sheet'!$B$57="No",(E107-D107)/D142,IF('Input sheet'!$B$58=0,(D107-C107)/D142,IF('Input sheet'!$B$58=2,(F107-E107)/D142,IF('Input sheet'!$B$58=3,(G107-F107)/D142,(E107-D107)/D142))))</f>
        <v>-2760.384164616</v>
      </c>
      <c r="E112" s="270">
        <f>IF('Input sheet'!$B$57="No",(F107-E107)/E142,IF('Input sheet'!$B$58=0,(E107-D107)/E142,IF('Input sheet'!$B$58=2,(G107-F107)/E142,IF('Input sheet'!$B$58=3,(H107-G107)/E142,(F107-E107)/E142))))</f>
        <v>-2616.84418805597</v>
      </c>
      <c r="F112" s="270">
        <f>IF('Input sheet'!$B$57="No",(G107-F107)/F142,IF('Input sheet'!$B$58=0,(F107-E107)/F142,IF('Input sheet'!$B$58=2,(H107-G107)/F142,IF('Input sheet'!$B$58=3,(I107-H107)/F142,(G107-F107)/F142))))</f>
        <v>-2480.76829027706</v>
      </c>
      <c r="G112" s="270">
        <f>IF('Input sheet'!$B$57="No",(H107-G107)/G142,IF('Input sheet'!$B$58=0,(G107-F107)/G142,IF('Input sheet'!$B$58=2,(I107-H107)/G142,IF('Input sheet'!$B$58=3,(J107-I107)/G142,(H107-G107)/G142))))</f>
        <v>-1432.76963433282</v>
      </c>
      <c r="H112" s="270">
        <f>IF('Input sheet'!$B$57="No",(I107-H107)/H142,IF('Input sheet'!$B$58=0,(H107-G107)/H142,IF('Input sheet'!$B$58=2,(J107-I107)/H142,IF('Input sheet'!$B$58=3,(K107-J107)/H142,(I107-H107)/H142))))</f>
        <v>-372.031694955505</v>
      </c>
      <c r="I112" s="270">
        <f>IF('Input sheet'!$B$57="No",(J107-I107)/I142,IF('Input sheet'!$B$58=0,(I107-H107)/I142,IF('Input sheet'!$B$58=2,(K107-J107)/I142,IF('Input sheet'!$B$58=3,(L107-K107)/I142,(J107-I107)/I142))))</f>
        <v>290.100045555568</v>
      </c>
      <c r="J112" s="270">
        <f>IF('Input sheet'!$B$57="No",(K107-J107)/J142,IF('Input sheet'!$B$58=0,(J107-I107)/J142,IF('Input sheet'!$B$58=2,(L107-K107)/J142,IF('Input sheet'!$B$58=3,(M107-L107)/J142,(K107-J107)/J142))))</f>
        <v>956.49963534581</v>
      </c>
      <c r="K112" s="270">
        <f>IF('Input sheet'!$B$57="No",(L107-K107)/K142,IF('Input sheet'!$B$58=0,(K107-J107)/K142,IF('Input sheet'!$B$58=2,L107*L106/K142,IF('Input sheet'!$B$58=3,M107*M106/K142,(L107-K107)/K142))))</f>
        <v>1667.74231064103</v>
      </c>
      <c r="L112" s="270">
        <f>IF('Input sheet'!$B$57="No",(M107-L107)/L142,IF('Input sheet'!$B$58=0,(L107-K107)/L142,IF('Input sheet'!$B$58=2,M107*M106/L142,IF('Input sheet'!$B$58=3,K112*(1+M106),(M107-L107)/L142))))</f>
        <v>1750.46232924883</v>
      </c>
      <c r="M112" s="270">
        <f>M111*(M106/M144)</f>
        <v>8341.11601791594</v>
      </c>
      <c r="N112" s="288">
        <f>SUM(C112:M112)</f>
        <v>431.32472446983</v>
      </c>
      <c r="O112" s="9"/>
      <c r="P112" s="9"/>
      <c r="Q112" s="9"/>
    </row>
    <row r="113" ht="15.75" customHeight="1">
      <c r="A113" s="206" t="s">
        <v>81</v>
      </c>
      <c r="B113" s="268"/>
      <c r="C113" s="270">
        <f t="shared" ref="C113:M113" si="42">C111-C112</f>
        <v>19923.543726528</v>
      </c>
      <c r="D113" s="270">
        <f t="shared" si="42"/>
        <v>19227.2103824509</v>
      </c>
      <c r="E113" s="270">
        <f t="shared" si="42"/>
        <v>18388.4089432423</v>
      </c>
      <c r="F113" s="270">
        <f t="shared" si="42"/>
        <v>17584.8524768374</v>
      </c>
      <c r="G113" s="270">
        <f t="shared" si="42"/>
        <v>15896.1449203061</v>
      </c>
      <c r="H113" s="270">
        <f t="shared" si="42"/>
        <v>14308.8893223233</v>
      </c>
      <c r="I113" s="270">
        <f t="shared" si="42"/>
        <v>13420.893041299</v>
      </c>
      <c r="J113" s="270">
        <f t="shared" si="42"/>
        <v>12809.1969368334</v>
      </c>
      <c r="K113" s="270">
        <f t="shared" si="42"/>
        <v>12430.8714999052</v>
      </c>
      <c r="L113" s="270">
        <f t="shared" si="42"/>
        <v>12973.8213081137</v>
      </c>
      <c r="M113" s="270">
        <f t="shared" si="42"/>
        <v>7113.49208785976</v>
      </c>
      <c r="N113" s="9"/>
      <c r="O113" s="9"/>
      <c r="P113" s="9"/>
      <c r="Q113" s="9"/>
    </row>
    <row r="114" ht="15.75" customHeight="1">
      <c r="A114" s="206" t="s">
        <v>319</v>
      </c>
      <c r="B114" s="268">
        <f>IF('Input sheet'!$B$62="Yes",'Input sheet'!$B$63,0)</f>
        <v>0.0</v>
      </c>
      <c r="C114" s="270">
        <f t="shared" ref="C114:M114" si="43">IF(C109&lt;0,B114-C109,IF(B114&gt;C109,B114-C109,0))</f>
        <v>0.0</v>
      </c>
      <c r="D114" s="270">
        <f t="shared" si="43"/>
        <v>0.0</v>
      </c>
      <c r="E114" s="270">
        <f t="shared" si="43"/>
        <v>0.0</v>
      </c>
      <c r="F114" s="270">
        <f t="shared" si="43"/>
        <v>0.0</v>
      </c>
      <c r="G114" s="270">
        <f t="shared" si="43"/>
        <v>0.0</v>
      </c>
      <c r="H114" s="270">
        <f t="shared" si="43"/>
        <v>0.0</v>
      </c>
      <c r="I114" s="270">
        <f t="shared" si="43"/>
        <v>0.0</v>
      </c>
      <c r="J114" s="270">
        <f t="shared" si="43"/>
        <v>0.0</v>
      </c>
      <c r="K114" s="270">
        <f t="shared" si="43"/>
        <v>0.0</v>
      </c>
      <c r="L114" s="270">
        <f t="shared" si="43"/>
        <v>0.0</v>
      </c>
      <c r="M114" s="270">
        <f t="shared" si="43"/>
        <v>0.0</v>
      </c>
      <c r="N114" s="9"/>
      <c r="O114" s="9"/>
      <c r="P114" s="9"/>
      <c r="Q114" s="9"/>
    </row>
    <row r="115" ht="15.75" customHeight="1">
      <c r="A115" s="206"/>
      <c r="B115" s="208"/>
      <c r="C115" s="315"/>
      <c r="D115" s="315"/>
      <c r="E115" s="315"/>
      <c r="F115" s="315"/>
      <c r="G115" s="315"/>
      <c r="H115" s="315"/>
      <c r="I115" s="315"/>
      <c r="J115" s="315"/>
      <c r="K115" s="315"/>
      <c r="L115" s="315"/>
      <c r="M115" s="315"/>
      <c r="N115" s="9"/>
      <c r="O115" s="9"/>
      <c r="P115" s="9"/>
      <c r="Q115" s="9"/>
    </row>
    <row r="116" ht="15.75" customHeight="1">
      <c r="A116" s="206" t="s">
        <v>320</v>
      </c>
      <c r="B116" s="254"/>
      <c r="C116" s="272">
        <f>'Input sheet'!$B$36</f>
        <v>0.100420989928469</v>
      </c>
      <c r="D116" s="272">
        <f t="shared" ref="D116:G116" si="44">C116</f>
        <v>0.100420989928469</v>
      </c>
      <c r="E116" s="272">
        <f t="shared" si="44"/>
        <v>0.100420989928469</v>
      </c>
      <c r="F116" s="272">
        <f t="shared" si="44"/>
        <v>0.100420989928469</v>
      </c>
      <c r="G116" s="272">
        <f t="shared" si="44"/>
        <v>0.100420989928469</v>
      </c>
      <c r="H116" s="272">
        <f t="shared" ref="H116:L116" si="45">G116-($G116-$M116)/5</f>
        <v>0.0987167919427754</v>
      </c>
      <c r="I116" s="272">
        <f t="shared" si="45"/>
        <v>0.0970125939570816</v>
      </c>
      <c r="J116" s="272">
        <f t="shared" si="45"/>
        <v>0.0953083959713877</v>
      </c>
      <c r="K116" s="272">
        <f t="shared" si="45"/>
        <v>0.0936041979856939</v>
      </c>
      <c r="L116" s="272">
        <f t="shared" si="45"/>
        <v>0.0919</v>
      </c>
      <c r="M116" s="272">
        <f>IF('Input sheet'!$B$46="Yes",'Input sheet'!$B$47,IF('Input sheet'!$B$65="Yes",'Input sheet'!$B$66+'Country equity risk premiums'!$B$2,'Input sheet'!$B$35+'Country equity risk premiums'!$B$2))</f>
        <v>0.0919</v>
      </c>
      <c r="N116" s="9"/>
      <c r="O116" s="9"/>
      <c r="P116" s="9"/>
      <c r="Q116" s="9"/>
    </row>
    <row r="117" ht="15.75" customHeight="1">
      <c r="A117" s="206" t="s">
        <v>321</v>
      </c>
      <c r="B117" s="208"/>
      <c r="C117" s="316">
        <f>1/(1+C116)</f>
        <v>0.908743116636664</v>
      </c>
      <c r="D117" s="316">
        <f t="shared" ref="D117:L117" si="46">C117*(1/(1+D116))</f>
        <v>0.825814052034517</v>
      </c>
      <c r="E117" s="316">
        <f t="shared" si="46"/>
        <v>0.7504528354082</v>
      </c>
      <c r="F117" s="316">
        <f t="shared" si="46"/>
        <v>0.681968848537669</v>
      </c>
      <c r="G117" s="316">
        <f t="shared" si="46"/>
        <v>0.619734496869238</v>
      </c>
      <c r="H117" s="316">
        <f t="shared" si="46"/>
        <v>0.564052994742539</v>
      </c>
      <c r="I117" s="316">
        <f t="shared" si="46"/>
        <v>0.514171849848979</v>
      </c>
      <c r="J117" s="316">
        <f t="shared" si="46"/>
        <v>0.469431122540588</v>
      </c>
      <c r="K117" s="316">
        <f t="shared" si="46"/>
        <v>0.429251390407271</v>
      </c>
      <c r="L117" s="316">
        <f t="shared" si="46"/>
        <v>0.39312335415997</v>
      </c>
      <c r="M117" s="315"/>
      <c r="N117" s="9"/>
      <c r="O117" s="9"/>
      <c r="P117" s="9"/>
      <c r="Q117" s="9"/>
    </row>
    <row r="118" ht="15.75" customHeight="1">
      <c r="A118" s="206" t="s">
        <v>322</v>
      </c>
      <c r="B118" s="208"/>
      <c r="C118" s="270">
        <f t="shared" ref="C118:L118" si="47">C113*C117</f>
        <v>18105.3832204919</v>
      </c>
      <c r="D118" s="270">
        <f t="shared" si="47"/>
        <v>15878.1005152519</v>
      </c>
      <c r="E118" s="270">
        <f t="shared" si="47"/>
        <v>13799.6336301017</v>
      </c>
      <c r="F118" s="270">
        <f t="shared" si="47"/>
        <v>11992.3215953335</v>
      </c>
      <c r="G118" s="270">
        <f t="shared" si="47"/>
        <v>9851.38937434641</v>
      </c>
      <c r="H118" s="270">
        <f t="shared" si="47"/>
        <v>8070.97187369597</v>
      </c>
      <c r="I118" s="270">
        <f t="shared" si="47"/>
        <v>6900.64540166999</v>
      </c>
      <c r="J118" s="270">
        <f t="shared" si="47"/>
        <v>6013.03569690117</v>
      </c>
      <c r="K118" s="270">
        <f t="shared" si="47"/>
        <v>5335.96887530843</v>
      </c>
      <c r="L118" s="270">
        <f t="shared" si="47"/>
        <v>5100.31214891774</v>
      </c>
      <c r="M118" s="315"/>
      <c r="N118" s="9"/>
      <c r="O118" s="9"/>
      <c r="P118" s="9"/>
      <c r="Q118" s="9"/>
    </row>
    <row r="119" ht="15.75" customHeight="1">
      <c r="A119" s="206"/>
      <c r="B119" s="206"/>
      <c r="C119" s="249"/>
      <c r="D119" s="249"/>
      <c r="E119" s="249"/>
      <c r="F119" s="249"/>
      <c r="G119" s="249"/>
      <c r="H119" s="249"/>
      <c r="I119" s="249"/>
      <c r="J119" s="249"/>
      <c r="K119" s="249"/>
      <c r="L119" s="249"/>
      <c r="M119" s="249"/>
      <c r="N119" s="9"/>
      <c r="O119" s="9"/>
      <c r="P119" s="9"/>
      <c r="Q119" s="9"/>
    </row>
    <row r="120" ht="15.75" customHeight="1">
      <c r="A120" s="227" t="s">
        <v>323</v>
      </c>
      <c r="B120" s="268">
        <f>M113</f>
        <v>7113.49208785976</v>
      </c>
      <c r="C120" s="249"/>
      <c r="D120" s="249"/>
      <c r="E120" s="249"/>
      <c r="F120" s="249"/>
      <c r="G120" s="249"/>
      <c r="H120" s="249"/>
      <c r="I120" s="249"/>
      <c r="J120" s="249"/>
      <c r="K120" s="249"/>
      <c r="L120" s="249"/>
      <c r="M120" s="249"/>
      <c r="N120" s="9"/>
      <c r="O120" s="9"/>
      <c r="P120" s="9"/>
      <c r="Q120" s="9"/>
    </row>
    <row r="121" ht="15.75" customHeight="1">
      <c r="A121" s="227" t="s">
        <v>324</v>
      </c>
      <c r="B121" s="254">
        <f>M116</f>
        <v>0.0919</v>
      </c>
      <c r="C121" s="249"/>
      <c r="D121" s="266"/>
      <c r="E121" s="249"/>
      <c r="F121" s="249"/>
      <c r="G121" s="249"/>
      <c r="H121" s="249"/>
      <c r="I121" s="249"/>
      <c r="J121" s="249"/>
      <c r="K121" s="249"/>
      <c r="L121" s="249"/>
      <c r="M121" s="249"/>
      <c r="N121" s="9"/>
      <c r="O121" s="9"/>
      <c r="P121" s="9"/>
      <c r="Q121" s="9"/>
    </row>
    <row r="122" ht="15.75" customHeight="1">
      <c r="A122" s="227" t="s">
        <v>325</v>
      </c>
      <c r="B122" s="268">
        <f>B120/(B121-M106)</f>
        <v>168167.661651531</v>
      </c>
      <c r="C122" s="249"/>
      <c r="D122" s="317"/>
      <c r="E122" s="249"/>
      <c r="F122" s="249"/>
      <c r="G122" s="249"/>
      <c r="H122" s="249"/>
      <c r="I122" s="249"/>
      <c r="J122" s="249"/>
      <c r="K122" s="249"/>
      <c r="L122" s="249"/>
      <c r="M122" s="266"/>
      <c r="N122" s="9"/>
      <c r="O122" s="9"/>
      <c r="P122" s="9"/>
      <c r="Q122" s="9"/>
    </row>
    <row r="123" ht="15.75" customHeight="1">
      <c r="A123" s="227" t="s">
        <v>326</v>
      </c>
      <c r="B123" s="268">
        <f>B122*L117</f>
        <v>66110.6352096888</v>
      </c>
      <c r="C123" s="249"/>
      <c r="D123" s="266"/>
      <c r="E123" s="249"/>
      <c r="F123" s="249"/>
      <c r="G123" s="249"/>
      <c r="H123" s="249"/>
      <c r="I123" s="249"/>
      <c r="J123" s="249"/>
      <c r="K123" s="249"/>
      <c r="L123" s="249"/>
      <c r="M123" s="249"/>
      <c r="N123" s="9"/>
      <c r="O123" s="9"/>
      <c r="P123" s="9"/>
      <c r="Q123" s="9"/>
    </row>
    <row r="124" ht="15.75" customHeight="1">
      <c r="A124" s="227" t="s">
        <v>327</v>
      </c>
      <c r="B124" s="268">
        <f>SUM(C118:L118)</f>
        <v>101047.762332019</v>
      </c>
      <c r="C124" s="249"/>
      <c r="D124" s="249"/>
      <c r="E124" s="249"/>
      <c r="F124" s="249"/>
      <c r="G124" s="249"/>
      <c r="H124" s="249"/>
      <c r="I124" s="249"/>
      <c r="J124" s="249"/>
      <c r="K124" s="249"/>
      <c r="L124" s="249"/>
      <c r="M124" s="249"/>
      <c r="N124" s="9"/>
      <c r="O124" s="9"/>
      <c r="P124" s="9"/>
      <c r="Q124" s="9"/>
    </row>
    <row r="125" ht="15.75" customHeight="1">
      <c r="A125" s="227" t="s">
        <v>328</v>
      </c>
      <c r="B125" s="268">
        <f>B123+B124</f>
        <v>167158.397541708</v>
      </c>
      <c r="C125" s="249"/>
      <c r="D125" s="249"/>
      <c r="E125" s="249"/>
      <c r="F125" s="249"/>
      <c r="G125" s="249"/>
      <c r="H125" s="249"/>
      <c r="I125" s="249"/>
      <c r="J125" s="249"/>
      <c r="K125" s="249"/>
      <c r="L125" s="249"/>
      <c r="M125" s="249"/>
      <c r="N125" s="9"/>
      <c r="O125" s="9"/>
      <c r="P125" s="9"/>
      <c r="Q125" s="9"/>
    </row>
    <row r="126" ht="15.75" customHeight="1">
      <c r="A126" s="227" t="s">
        <v>329</v>
      </c>
      <c r="B126" s="254">
        <f>IF('Input sheet'!$B$52="Yes",'Input sheet'!$B$53,0)</f>
        <v>0.0</v>
      </c>
      <c r="C126" s="249"/>
      <c r="D126" s="249"/>
      <c r="E126" s="266"/>
      <c r="F126" s="249"/>
      <c r="G126" s="249"/>
      <c r="H126" s="249"/>
      <c r="I126" s="249"/>
      <c r="J126" s="249"/>
      <c r="K126" s="249"/>
      <c r="L126" s="249"/>
      <c r="M126" s="249"/>
      <c r="N126" s="9"/>
      <c r="O126" s="9"/>
      <c r="P126" s="9"/>
      <c r="Q126" s="9"/>
    </row>
    <row r="127" ht="15.75" customHeight="1">
      <c r="A127" s="227" t="s">
        <v>330</v>
      </c>
      <c r="B127" s="318">
        <f>IF('Input sheet'!$B$54="B",('Input sheet'!$B$15+'Input sheet'!$B$16)*'Input sheet'!$B$55,'Valuation output'!B125*'Input sheet'!$B$55)</f>
        <v>83579.1987708538</v>
      </c>
      <c r="C127" s="249"/>
      <c r="D127" s="249"/>
      <c r="E127" s="249"/>
      <c r="F127" s="249"/>
      <c r="G127" s="249"/>
      <c r="H127" s="249"/>
      <c r="I127" s="249"/>
      <c r="J127" s="249"/>
      <c r="K127" s="249"/>
      <c r="L127" s="249"/>
      <c r="M127" s="249"/>
      <c r="N127" s="9"/>
      <c r="O127" s="9"/>
      <c r="P127" s="9"/>
      <c r="Q127" s="9"/>
    </row>
    <row r="128" ht="15.75" customHeight="1">
      <c r="A128" s="227" t="s">
        <v>331</v>
      </c>
      <c r="B128" s="268">
        <f>B125*(1-B126)+B127*B126</f>
        <v>167158.397541708</v>
      </c>
      <c r="C128" s="249"/>
      <c r="D128" s="249"/>
      <c r="E128" s="249"/>
      <c r="F128" s="249"/>
      <c r="G128" s="249"/>
      <c r="H128" s="249"/>
      <c r="I128" s="249"/>
      <c r="J128" s="249"/>
      <c r="K128" s="249"/>
      <c r="L128" s="249"/>
      <c r="M128" s="249"/>
      <c r="N128" s="9"/>
      <c r="O128" s="9"/>
      <c r="P128" s="9"/>
      <c r="Q128" s="9"/>
    </row>
    <row r="129" ht="15.75" customHeight="1">
      <c r="A129" s="227" t="s">
        <v>333</v>
      </c>
      <c r="B129" s="268">
        <f>IF('Input sheet'!$B$18="Yes",'Input sheet'!$B$16+'Operating lease converter'!$C$29,'Input sheet'!$B$16)</f>
        <v>21361.0</v>
      </c>
      <c r="C129" s="249"/>
      <c r="D129" s="249"/>
      <c r="E129" s="249"/>
      <c r="F129" s="249"/>
      <c r="G129" s="249"/>
      <c r="H129" s="249"/>
      <c r="I129" s="249"/>
      <c r="J129" s="249"/>
      <c r="K129" s="249"/>
      <c r="L129" s="249"/>
      <c r="M129" s="249"/>
      <c r="N129" s="9"/>
      <c r="O129" s="9"/>
      <c r="P129" s="9"/>
      <c r="Q129" s="9"/>
    </row>
    <row r="130" ht="15.75" customHeight="1">
      <c r="A130" s="227" t="s">
        <v>336</v>
      </c>
      <c r="B130" s="268">
        <f>'Input sheet'!$B$21</f>
        <v>0.0</v>
      </c>
      <c r="C130" s="249"/>
      <c r="D130" s="249"/>
      <c r="E130" s="249"/>
      <c r="F130" s="249"/>
      <c r="G130" s="249"/>
      <c r="H130" s="249"/>
      <c r="I130" s="249"/>
      <c r="J130" s="249"/>
      <c r="K130" s="249"/>
      <c r="L130" s="249"/>
      <c r="M130" s="249"/>
      <c r="N130" s="9"/>
      <c r="O130" s="9"/>
      <c r="P130" s="9"/>
      <c r="Q130" s="9"/>
    </row>
    <row r="131" ht="15.75" customHeight="1">
      <c r="A131" s="227" t="s">
        <v>339</v>
      </c>
      <c r="B131" s="268">
        <f>IF('Input sheet'!$B$71="YES",'Input sheet'!$B$19-'Input sheet'!$B$72*('Input sheet'!$B$25-'Input sheet'!$B$73),'Input sheet'!$B$19)</f>
        <v>6857.1</v>
      </c>
      <c r="C131" s="249"/>
      <c r="D131" s="329" t="s">
        <v>343</v>
      </c>
      <c r="E131" s="27"/>
      <c r="F131" s="27"/>
      <c r="G131" s="249"/>
      <c r="H131" s="249"/>
      <c r="I131" s="249"/>
      <c r="J131" s="249"/>
      <c r="K131" s="249"/>
      <c r="L131" s="249"/>
      <c r="M131" s="249"/>
      <c r="N131" s="9"/>
      <c r="O131" s="9"/>
      <c r="P131" s="9"/>
      <c r="Q131" s="9"/>
    </row>
    <row r="132" ht="15.75" customHeight="1">
      <c r="A132" s="227" t="s">
        <v>345</v>
      </c>
      <c r="B132" s="268">
        <f>'Input sheet'!$B$20</f>
        <v>4943.7</v>
      </c>
      <c r="C132" s="249"/>
      <c r="D132" s="28"/>
      <c r="G132" s="249"/>
      <c r="H132" s="249"/>
      <c r="I132" s="249"/>
      <c r="J132" s="249"/>
      <c r="K132" s="249"/>
      <c r="L132" s="249"/>
      <c r="M132" s="249"/>
      <c r="N132" s="9"/>
      <c r="O132" s="9"/>
      <c r="P132" s="9"/>
      <c r="Q132" s="9"/>
    </row>
    <row r="133" ht="15.75" customHeight="1">
      <c r="A133" s="227" t="s">
        <v>347</v>
      </c>
      <c r="B133" s="268">
        <f>B128-B129-B130+B131+B132</f>
        <v>157598.197541708</v>
      </c>
      <c r="C133" s="249"/>
      <c r="D133" s="28"/>
      <c r="G133" s="249"/>
      <c r="H133" s="249"/>
      <c r="I133" s="249"/>
      <c r="J133" s="249"/>
      <c r="K133" s="249"/>
      <c r="L133" s="249"/>
      <c r="M133" s="249"/>
      <c r="N133" s="9"/>
      <c r="O133" s="9"/>
      <c r="P133" s="9"/>
      <c r="Q133" s="9"/>
    </row>
    <row r="134" ht="15.75" customHeight="1">
      <c r="A134" s="227" t="s">
        <v>350</v>
      </c>
      <c r="B134" s="337">
        <f>IF('Input sheet'!$B$38="No",0,'Option value'!$B$30)</f>
        <v>0.0</v>
      </c>
      <c r="C134" s="249"/>
      <c r="D134" s="28"/>
      <c r="G134" s="249"/>
      <c r="H134" s="249"/>
      <c r="I134" s="249"/>
      <c r="J134" s="249"/>
      <c r="K134" s="249"/>
      <c r="L134" s="249"/>
      <c r="M134" s="249"/>
      <c r="N134" s="9"/>
      <c r="O134" s="9"/>
      <c r="P134" s="9"/>
      <c r="Q134" s="9"/>
    </row>
    <row r="135" ht="15.75" customHeight="1">
      <c r="A135" s="227" t="s">
        <v>354</v>
      </c>
      <c r="B135" s="268">
        <f>B133-B134</f>
        <v>157598.197541708</v>
      </c>
      <c r="C135" s="249"/>
      <c r="D135" s="28"/>
      <c r="G135" s="249"/>
      <c r="H135" s="249"/>
      <c r="I135" s="249"/>
      <c r="J135" s="249"/>
      <c r="K135" s="249"/>
      <c r="L135" s="249"/>
      <c r="M135" s="249"/>
      <c r="N135" s="9"/>
      <c r="O135" s="9"/>
      <c r="P135" s="9"/>
      <c r="Q135" s="9"/>
    </row>
    <row r="136" ht="15.75" customHeight="1">
      <c r="A136" s="227" t="s">
        <v>356</v>
      </c>
      <c r="B136" s="342">
        <f>'Input sheet'!$B$22</f>
        <v>4416.8</v>
      </c>
      <c r="C136" s="249"/>
      <c r="D136" s="28"/>
      <c r="G136" s="249"/>
      <c r="H136" s="249"/>
      <c r="I136" s="249"/>
      <c r="J136" s="249"/>
      <c r="K136" s="249"/>
      <c r="L136" s="249"/>
      <c r="M136" s="249"/>
      <c r="N136" s="9"/>
      <c r="O136" s="9"/>
      <c r="P136" s="9"/>
      <c r="Q136" s="9"/>
    </row>
    <row r="137" ht="15.75" customHeight="1">
      <c r="A137" s="227" t="s">
        <v>358</v>
      </c>
      <c r="B137" s="344">
        <f>B135/B136</f>
        <v>35.6815335857878</v>
      </c>
      <c r="C137" s="249"/>
      <c r="D137" s="249"/>
      <c r="E137" s="249"/>
      <c r="F137" s="249"/>
      <c r="G137" s="249"/>
      <c r="H137" s="249"/>
      <c r="I137" s="249"/>
      <c r="J137" s="249"/>
      <c r="K137" s="249"/>
      <c r="L137" s="249"/>
      <c r="M137" s="249"/>
      <c r="N137" s="9"/>
      <c r="O137" s="9"/>
      <c r="P137" s="9"/>
      <c r="Q137" s="9"/>
    </row>
    <row r="138" ht="15.75" customHeight="1">
      <c r="A138" s="227" t="s">
        <v>360</v>
      </c>
      <c r="B138" s="268">
        <f>'Input sheet'!$B$23</f>
        <v>39.4</v>
      </c>
      <c r="C138" s="249"/>
      <c r="D138" s="249"/>
      <c r="E138" s="249"/>
      <c r="F138" s="249"/>
      <c r="G138" s="249"/>
      <c r="H138" s="249"/>
      <c r="I138" s="249"/>
      <c r="J138" s="249"/>
      <c r="K138" s="249"/>
      <c r="L138" s="249"/>
      <c r="M138" s="249"/>
      <c r="N138" s="9"/>
      <c r="O138" s="9"/>
      <c r="P138" s="9"/>
      <c r="Q138" s="9"/>
    </row>
    <row r="139" ht="15.75" customHeight="1">
      <c r="A139" s="227" t="s">
        <v>362</v>
      </c>
      <c r="B139" s="254">
        <f>B138/B137</f>
        <v>1.1042126287894</v>
      </c>
      <c r="C139" s="249"/>
      <c r="D139" s="249"/>
      <c r="E139" s="249"/>
      <c r="F139" s="249"/>
      <c r="G139" s="249"/>
      <c r="H139" s="249"/>
      <c r="I139" s="249"/>
      <c r="J139" s="249"/>
      <c r="K139" s="249"/>
      <c r="L139" s="249"/>
      <c r="M139" s="249"/>
      <c r="N139" s="9"/>
      <c r="O139" s="9"/>
      <c r="P139" s="9"/>
      <c r="Q139" s="9"/>
    </row>
    <row r="140" ht="15.75" customHeight="1">
      <c r="A140" s="206"/>
      <c r="B140" s="206"/>
      <c r="C140" s="249"/>
      <c r="D140" s="249"/>
      <c r="E140" s="249"/>
      <c r="F140" s="249"/>
      <c r="G140" s="249"/>
      <c r="H140" s="249"/>
      <c r="I140" s="249"/>
      <c r="J140" s="249"/>
      <c r="K140" s="249"/>
      <c r="L140" s="249"/>
      <c r="M140" s="249"/>
      <c r="N140" s="9"/>
      <c r="O140" s="9"/>
      <c r="P140" s="9"/>
      <c r="Q140" s="9"/>
    </row>
    <row r="141" ht="15.75" customHeight="1">
      <c r="A141" s="350" t="s">
        <v>365</v>
      </c>
      <c r="B141" s="208"/>
      <c r="C141" s="315"/>
      <c r="D141" s="315"/>
      <c r="E141" s="315"/>
      <c r="F141" s="315"/>
      <c r="G141" s="315"/>
      <c r="H141" s="315"/>
      <c r="I141" s="315"/>
      <c r="J141" s="315"/>
      <c r="K141" s="315"/>
      <c r="L141" s="315"/>
      <c r="M141" s="315" t="s">
        <v>367</v>
      </c>
      <c r="N141" s="9"/>
      <c r="O141" s="9"/>
      <c r="P141" s="9"/>
      <c r="Q141" s="9"/>
    </row>
    <row r="142" ht="15.75" customHeight="1">
      <c r="A142" s="227" t="s">
        <v>368</v>
      </c>
      <c r="B142" s="208"/>
      <c r="C142" s="282">
        <f>'Input sheet'!$B$32</f>
        <v>0.8</v>
      </c>
      <c r="D142" s="282">
        <f>'Input sheet'!$B$32</f>
        <v>0.8</v>
      </c>
      <c r="E142" s="282">
        <f t="shared" ref="E142:G142" si="48">D142</f>
        <v>0.8</v>
      </c>
      <c r="F142" s="282">
        <f t="shared" si="48"/>
        <v>0.8</v>
      </c>
      <c r="G142" s="282">
        <f t="shared" si="48"/>
        <v>0.8</v>
      </c>
      <c r="H142" s="282">
        <f>'Input sheet'!$B$33</f>
        <v>1.06978985539705</v>
      </c>
      <c r="I142" s="282">
        <f t="shared" ref="I142:L142" si="49">H142</f>
        <v>1.06978985539705</v>
      </c>
      <c r="J142" s="282">
        <f t="shared" si="49"/>
        <v>1.06978985539705</v>
      </c>
      <c r="K142" s="282">
        <f t="shared" si="49"/>
        <v>1.06978985539705</v>
      </c>
      <c r="L142" s="282">
        <f t="shared" si="49"/>
        <v>1.06978985539705</v>
      </c>
      <c r="M142" s="315"/>
      <c r="N142" s="9"/>
      <c r="O142" s="9"/>
      <c r="P142" s="9"/>
      <c r="Q142" s="9"/>
    </row>
    <row r="143" ht="15.75" customHeight="1">
      <c r="A143" s="227" t="s">
        <v>374</v>
      </c>
      <c r="B143" s="299">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77987.21</v>
      </c>
      <c r="C143" s="364">
        <f t="shared" ref="C143:L143" si="50">B143+C112</f>
        <v>75075.412358</v>
      </c>
      <c r="D143" s="364">
        <f t="shared" si="50"/>
        <v>72315.028193384</v>
      </c>
      <c r="E143" s="364">
        <f t="shared" si="50"/>
        <v>69698.184005328</v>
      </c>
      <c r="F143" s="364">
        <f t="shared" si="50"/>
        <v>67217.415715051</v>
      </c>
      <c r="G143" s="364">
        <f t="shared" si="50"/>
        <v>65784.6460807182</v>
      </c>
      <c r="H143" s="364">
        <f t="shared" si="50"/>
        <v>65412.6143857627</v>
      </c>
      <c r="I143" s="364">
        <f t="shared" si="50"/>
        <v>65702.7144313182</v>
      </c>
      <c r="J143" s="364">
        <f t="shared" si="50"/>
        <v>66659.214066664</v>
      </c>
      <c r="K143" s="364">
        <f t="shared" si="50"/>
        <v>68326.9563773051</v>
      </c>
      <c r="L143" s="364">
        <f t="shared" si="50"/>
        <v>70077.4187065539</v>
      </c>
      <c r="M143" s="315"/>
      <c r="N143" s="9"/>
      <c r="O143" s="9"/>
      <c r="P143" s="9"/>
      <c r="Q143" s="9"/>
    </row>
    <row r="144" ht="15.75" customHeight="1">
      <c r="A144" s="227" t="s">
        <v>382</v>
      </c>
      <c r="B144" s="254">
        <f>B111/B143</f>
        <v>0.239788971742931</v>
      </c>
      <c r="C144" s="272">
        <f t="shared" ref="C144:L144" si="51">C111/B143</f>
        <v>0.218135077335476</v>
      </c>
      <c r="D144" s="272">
        <f t="shared" si="51"/>
        <v>0.219337139825649</v>
      </c>
      <c r="E144" s="272">
        <f t="shared" si="51"/>
        <v>0.218095258332891</v>
      </c>
      <c r="F144" s="272">
        <f t="shared" si="51"/>
        <v>0.216706997493732</v>
      </c>
      <c r="G144" s="272">
        <f t="shared" si="51"/>
        <v>0.2151730341328</v>
      </c>
      <c r="H144" s="272">
        <f t="shared" si="51"/>
        <v>0.211855781822815</v>
      </c>
      <c r="I144" s="272">
        <f t="shared" si="51"/>
        <v>0.209607783079816</v>
      </c>
      <c r="J144" s="272">
        <f t="shared" si="51"/>
        <v>0.209514883689761</v>
      </c>
      <c r="K144" s="272">
        <f t="shared" si="51"/>
        <v>0.211502850850396</v>
      </c>
      <c r="L144" s="272">
        <f t="shared" si="51"/>
        <v>0.215497432024547</v>
      </c>
      <c r="M144" s="272">
        <f>IF('Input sheet'!$B$49="Yes",'Input sheet'!$B$50,'Valuation output'!L116)</f>
        <v>0.0919</v>
      </c>
      <c r="N144" s="9"/>
      <c r="O144" s="9"/>
      <c r="P144" s="9"/>
      <c r="Q144" s="9"/>
    </row>
    <row r="145" ht="15.75" customHeight="1">
      <c r="A145" s="206"/>
      <c r="B145" s="206"/>
      <c r="C145" s="249"/>
      <c r="D145" s="249"/>
      <c r="E145" s="249"/>
      <c r="F145" s="249"/>
      <c r="G145" s="249"/>
      <c r="H145" s="249"/>
      <c r="I145" s="249"/>
      <c r="J145" s="249"/>
      <c r="K145" s="249"/>
      <c r="L145" s="249"/>
      <c r="M145" s="249"/>
      <c r="N145" s="9"/>
      <c r="O145" s="9"/>
      <c r="P145" s="9"/>
      <c r="Q145" s="9"/>
    </row>
    <row r="146" ht="15.75" customHeight="1">
      <c r="A146" s="206"/>
      <c r="B146" s="206" t="s">
        <v>385</v>
      </c>
      <c r="C146" s="249" t="s">
        <v>386</v>
      </c>
      <c r="D146" s="249"/>
      <c r="E146" s="249"/>
      <c r="F146" s="249"/>
      <c r="G146" s="249"/>
      <c r="H146" s="249"/>
      <c r="I146" s="249"/>
      <c r="J146" s="249"/>
      <c r="K146" s="249"/>
      <c r="L146" s="249"/>
      <c r="M146" s="249"/>
      <c r="N146" s="9"/>
      <c r="O146" s="9"/>
      <c r="P146" s="9"/>
      <c r="Q146" s="9"/>
    </row>
    <row r="147" ht="15.75" customHeight="1">
      <c r="A147" s="206" t="s">
        <v>16</v>
      </c>
      <c r="B147" s="297">
        <f t="shared" ref="B147:C147" si="52">MIN(B151:B153)</f>
        <v>0.0487</v>
      </c>
      <c r="C147" s="297">
        <f t="shared" si="52"/>
        <v>0.402</v>
      </c>
      <c r="D147" s="249"/>
      <c r="E147" s="249"/>
      <c r="F147" s="249"/>
      <c r="G147" s="249"/>
      <c r="H147" s="249"/>
      <c r="I147" s="249"/>
      <c r="J147" s="249"/>
      <c r="K147" s="249"/>
      <c r="L147" s="249"/>
      <c r="M147" s="249"/>
      <c r="N147" s="9"/>
      <c r="O147" s="9"/>
      <c r="P147" s="9"/>
      <c r="Q147" s="9"/>
    </row>
    <row r="148" ht="15.75" customHeight="1">
      <c r="A148" s="206" t="s">
        <v>17</v>
      </c>
      <c r="B148" s="297">
        <f t="shared" ref="B148:C148" si="53">MEDIAN(B151:B153)</f>
        <v>0.19522</v>
      </c>
      <c r="C148" s="297">
        <f t="shared" si="53"/>
        <v>0.42716</v>
      </c>
      <c r="D148" s="249"/>
      <c r="E148" s="249"/>
      <c r="F148" s="249"/>
      <c r="G148" s="249"/>
      <c r="H148" s="249"/>
      <c r="I148" s="249"/>
      <c r="J148" s="249"/>
      <c r="K148" s="249"/>
      <c r="L148" s="249"/>
      <c r="M148" s="249"/>
      <c r="N148" s="9"/>
      <c r="O148" s="9"/>
      <c r="P148" s="9"/>
      <c r="Q148" s="9"/>
    </row>
    <row r="149" ht="15.75" customHeight="1">
      <c r="A149" s="206" t="s">
        <v>18</v>
      </c>
      <c r="B149" s="297">
        <f t="shared" ref="B149:C149" si="54">MAX(B151:B153)</f>
        <v>0.2357</v>
      </c>
      <c r="C149" s="297">
        <f t="shared" si="54"/>
        <v>0.432166666666667</v>
      </c>
      <c r="D149" s="249"/>
      <c r="E149" s="249"/>
      <c r="F149" s="249"/>
      <c r="G149" s="249"/>
      <c r="H149" s="249"/>
      <c r="I149" s="249"/>
      <c r="J149" s="249"/>
      <c r="K149" s="249"/>
      <c r="L149" s="249"/>
      <c r="M149" s="249"/>
      <c r="N149" s="9"/>
      <c r="O149" s="9"/>
      <c r="P149" s="9"/>
      <c r="Q149" s="9"/>
    </row>
    <row r="150" ht="15.75" customHeight="1">
      <c r="A150" s="206"/>
      <c r="B150" s="206"/>
      <c r="C150" s="249"/>
      <c r="D150" s="249"/>
      <c r="E150" s="249"/>
      <c r="F150" s="249"/>
      <c r="G150" s="249"/>
      <c r="H150" s="249"/>
      <c r="I150" s="249"/>
      <c r="J150" s="249"/>
      <c r="K150" s="249"/>
      <c r="L150" s="249"/>
      <c r="M150" s="249"/>
      <c r="N150" s="9"/>
      <c r="O150" s="9"/>
      <c r="P150" s="9"/>
      <c r="Q150" s="9"/>
    </row>
    <row r="151" ht="15.75" customHeight="1">
      <c r="A151" s="206" t="s">
        <v>391</v>
      </c>
      <c r="B151" s="297">
        <f>'Income Statement'!$L$4</f>
        <v>0.0487</v>
      </c>
      <c r="C151" s="375">
        <f>'Income Statement'!$L$13</f>
        <v>0.402</v>
      </c>
      <c r="D151" s="249"/>
      <c r="E151" s="249"/>
      <c r="F151" s="249"/>
      <c r="G151" s="249"/>
      <c r="H151" s="249"/>
      <c r="I151" s="249"/>
      <c r="J151" s="249"/>
      <c r="K151" s="249"/>
      <c r="L151" s="249"/>
      <c r="M151" s="249"/>
      <c r="N151" s="9"/>
      <c r="O151" s="9"/>
      <c r="P151" s="9"/>
      <c r="Q151" s="9"/>
    </row>
    <row r="152" ht="15.75" customHeight="1">
      <c r="A152" s="206" t="s">
        <v>394</v>
      </c>
      <c r="B152" s="297">
        <f>AVERAGE('Income Statement'!$I$4:$K$4)</f>
        <v>0.2357</v>
      </c>
      <c r="C152" s="375">
        <f>AVERAGE('Income Statement'!$I$13:$K$13)</f>
        <v>0.432166666666667</v>
      </c>
      <c r="D152" s="249"/>
      <c r="E152" s="249"/>
      <c r="F152" s="249"/>
      <c r="G152" s="249"/>
      <c r="H152" s="249"/>
      <c r="I152" s="249"/>
      <c r="J152" s="249"/>
      <c r="K152" s="249"/>
      <c r="L152" s="249"/>
      <c r="M152" s="249"/>
      <c r="N152" s="9"/>
      <c r="O152" s="9"/>
      <c r="P152" s="9"/>
      <c r="Q152" s="9"/>
    </row>
    <row r="153" ht="15.75" customHeight="1">
      <c r="A153" s="206" t="s">
        <v>395</v>
      </c>
      <c r="B153" s="297">
        <f>AVERAGE('Income Statement'!$G$4:$K$4)</f>
        <v>0.19522</v>
      </c>
      <c r="C153" s="375">
        <f>AVERAGE('Income Statement'!$G$13:$K$13)</f>
        <v>0.42716</v>
      </c>
      <c r="D153" s="249"/>
      <c r="E153" s="249"/>
      <c r="F153" s="249"/>
      <c r="G153" s="249"/>
      <c r="H153" s="249"/>
      <c r="I153" s="249"/>
      <c r="J153" s="249"/>
      <c r="K153" s="249"/>
      <c r="L153" s="249"/>
      <c r="M153" s="249"/>
      <c r="N153" s="9"/>
      <c r="O153" s="9"/>
      <c r="P153" s="9"/>
      <c r="Q153" s="9"/>
    </row>
    <row r="154" ht="15.75" customHeight="1">
      <c r="A154" s="206"/>
      <c r="B154" s="206"/>
      <c r="C154" s="249"/>
      <c r="D154" s="249"/>
      <c r="E154" s="249"/>
      <c r="F154" s="249"/>
      <c r="G154" s="249"/>
      <c r="H154" s="249"/>
      <c r="I154" s="249"/>
      <c r="J154" s="249"/>
      <c r="K154" s="249"/>
      <c r="L154" s="249"/>
      <c r="M154" s="249"/>
      <c r="N154" s="9"/>
      <c r="O154" s="9"/>
      <c r="P154" s="9"/>
      <c r="Q154" s="9"/>
    </row>
    <row r="155" ht="15.75" customHeight="1">
      <c r="A155" s="206"/>
      <c r="B155" s="206"/>
      <c r="C155" s="249"/>
      <c r="D155" s="249"/>
      <c r="E155" s="249"/>
      <c r="F155" s="249"/>
      <c r="G155" s="249"/>
      <c r="H155" s="249"/>
      <c r="I155" s="249"/>
      <c r="J155" s="249"/>
      <c r="K155" s="249"/>
      <c r="L155" s="249"/>
      <c r="M155" s="249"/>
      <c r="N155" s="9"/>
      <c r="O155" s="9"/>
      <c r="P155" s="9"/>
      <c r="Q155" s="9"/>
    </row>
    <row r="156" ht="15.75" customHeight="1">
      <c r="A156" s="206"/>
      <c r="B156" s="206"/>
      <c r="C156" s="249"/>
      <c r="D156" s="249"/>
      <c r="E156" s="249"/>
      <c r="F156" s="249"/>
      <c r="G156" s="249"/>
      <c r="H156" s="249"/>
      <c r="I156" s="249"/>
      <c r="J156" s="249"/>
      <c r="K156" s="249"/>
      <c r="L156" s="249"/>
      <c r="M156" s="249"/>
      <c r="N156" s="9"/>
      <c r="O156" s="9"/>
      <c r="P156" s="9"/>
      <c r="Q156" s="9"/>
    </row>
    <row r="157" ht="15.75" customHeight="1">
      <c r="A157" s="206"/>
      <c r="B157" s="206"/>
      <c r="C157" s="249"/>
      <c r="D157" s="249"/>
      <c r="E157" s="249"/>
      <c r="F157" s="249"/>
      <c r="G157" s="249"/>
      <c r="H157" s="249"/>
      <c r="I157" s="249"/>
      <c r="J157" s="249"/>
      <c r="K157" s="249"/>
      <c r="L157" s="249"/>
      <c r="M157" s="249"/>
      <c r="N157" s="9"/>
      <c r="O157" s="9"/>
      <c r="P157" s="9"/>
      <c r="Q157" s="9"/>
    </row>
    <row r="158" ht="15.75" customHeight="1">
      <c r="A158" s="206"/>
      <c r="B158" s="206"/>
      <c r="C158" s="249"/>
      <c r="D158" s="249"/>
      <c r="E158" s="249"/>
      <c r="F158" s="249"/>
      <c r="G158" s="249"/>
      <c r="H158" s="249"/>
      <c r="I158" s="249"/>
      <c r="J158" s="249"/>
      <c r="K158" s="249"/>
      <c r="L158" s="249"/>
      <c r="M158" s="249"/>
      <c r="N158" s="9"/>
      <c r="O158" s="9"/>
      <c r="P158" s="9"/>
      <c r="Q158" s="9"/>
    </row>
    <row r="159" ht="15.75" customHeight="1">
      <c r="A159" s="206"/>
      <c r="B159" s="206"/>
      <c r="C159" s="249"/>
      <c r="D159" s="249"/>
      <c r="E159" s="249"/>
      <c r="F159" s="249"/>
      <c r="G159" s="249"/>
      <c r="H159" s="249"/>
      <c r="I159" s="249"/>
      <c r="J159" s="249"/>
      <c r="K159" s="249"/>
      <c r="L159" s="249"/>
      <c r="M159" s="249"/>
      <c r="N159" s="9"/>
      <c r="O159" s="9"/>
      <c r="P159" s="9"/>
      <c r="Q159" s="9"/>
    </row>
    <row r="160" ht="15.75" customHeight="1">
      <c r="A160" s="206"/>
      <c r="B160" s="206"/>
      <c r="C160" s="249"/>
      <c r="D160" s="249"/>
      <c r="E160" s="249"/>
      <c r="F160" s="249"/>
      <c r="G160" s="249"/>
      <c r="H160" s="249"/>
      <c r="I160" s="249"/>
      <c r="J160" s="249"/>
      <c r="K160" s="249"/>
      <c r="L160" s="249"/>
      <c r="M160" s="249"/>
      <c r="N160" s="9"/>
      <c r="O160" s="9"/>
      <c r="P160" s="9"/>
      <c r="Q160" s="9"/>
    </row>
    <row r="161" ht="15.75" customHeight="1">
      <c r="A161" s="206"/>
      <c r="B161" s="206"/>
      <c r="C161" s="249"/>
      <c r="D161" s="249"/>
      <c r="E161" s="249"/>
      <c r="F161" s="249"/>
      <c r="G161" s="249"/>
      <c r="H161" s="249"/>
      <c r="I161" s="249"/>
      <c r="J161" s="249"/>
      <c r="K161" s="249"/>
      <c r="L161" s="249"/>
      <c r="M161" s="249"/>
      <c r="N161" s="9"/>
      <c r="O161" s="9"/>
      <c r="P161" s="9"/>
      <c r="Q161" s="9"/>
    </row>
    <row r="162" ht="15.75" customHeight="1">
      <c r="A162" s="206"/>
      <c r="B162" s="206"/>
      <c r="C162" s="249"/>
      <c r="D162" s="249"/>
      <c r="E162" s="249"/>
      <c r="F162" s="249"/>
      <c r="G162" s="249"/>
      <c r="H162" s="249"/>
      <c r="I162" s="249"/>
      <c r="J162" s="249"/>
      <c r="K162" s="249"/>
      <c r="L162" s="249"/>
      <c r="M162" s="249"/>
      <c r="N162" s="9"/>
      <c r="O162" s="9"/>
      <c r="P162" s="9"/>
      <c r="Q162" s="9"/>
    </row>
    <row r="163" ht="15.75" customHeight="1">
      <c r="A163" s="206"/>
      <c r="B163" s="206"/>
      <c r="C163" s="249"/>
      <c r="D163" s="249"/>
      <c r="E163" s="249"/>
      <c r="F163" s="249"/>
      <c r="G163" s="249"/>
      <c r="H163" s="249"/>
      <c r="I163" s="249"/>
      <c r="J163" s="249"/>
      <c r="K163" s="249"/>
      <c r="L163" s="249"/>
      <c r="M163" s="249"/>
      <c r="N163" s="9"/>
      <c r="O163" s="9"/>
      <c r="P163" s="9"/>
      <c r="Q163" s="9"/>
    </row>
    <row r="164" ht="15.75" customHeight="1">
      <c r="A164" s="206"/>
      <c r="B164" s="206"/>
      <c r="C164" s="249"/>
      <c r="D164" s="249"/>
      <c r="E164" s="249"/>
      <c r="F164" s="249"/>
      <c r="G164" s="249"/>
      <c r="H164" s="249"/>
      <c r="I164" s="249"/>
      <c r="J164" s="249"/>
      <c r="K164" s="249"/>
      <c r="L164" s="249"/>
      <c r="M164" s="249"/>
      <c r="N164" s="9"/>
      <c r="O164" s="9"/>
      <c r="P164" s="9"/>
      <c r="Q164" s="9"/>
    </row>
    <row r="165" ht="15.75" customHeight="1">
      <c r="A165" s="206"/>
      <c r="B165" s="206"/>
      <c r="C165" s="249"/>
      <c r="D165" s="249"/>
      <c r="E165" s="249"/>
      <c r="F165" s="249"/>
      <c r="G165" s="249"/>
      <c r="H165" s="249"/>
      <c r="I165" s="249"/>
      <c r="J165" s="249"/>
      <c r="K165" s="249"/>
      <c r="L165" s="249"/>
      <c r="M165" s="249"/>
      <c r="N165" s="9"/>
      <c r="O165" s="9"/>
      <c r="P165" s="9"/>
      <c r="Q165" s="9"/>
    </row>
    <row r="166" ht="15.75" customHeight="1">
      <c r="A166" s="206"/>
      <c r="B166" s="206"/>
      <c r="C166" s="249"/>
      <c r="D166" s="249"/>
      <c r="E166" s="249"/>
      <c r="F166" s="249"/>
      <c r="G166" s="249"/>
      <c r="H166" s="249"/>
      <c r="I166" s="249"/>
      <c r="J166" s="249"/>
      <c r="K166" s="249"/>
      <c r="L166" s="249"/>
      <c r="M166" s="249"/>
      <c r="N166" s="9"/>
      <c r="O166" s="9"/>
      <c r="P166" s="9"/>
      <c r="Q166" s="9"/>
    </row>
    <row r="167" ht="15.75" customHeight="1">
      <c r="A167" s="206"/>
      <c r="B167" s="206"/>
      <c r="C167" s="249"/>
      <c r="D167" s="249"/>
      <c r="E167" s="249"/>
      <c r="F167" s="249"/>
      <c r="G167" s="249"/>
      <c r="H167" s="249"/>
      <c r="I167" s="249"/>
      <c r="J167" s="249"/>
      <c r="K167" s="249"/>
      <c r="L167" s="249"/>
      <c r="M167" s="249"/>
      <c r="N167" s="9"/>
      <c r="O167" s="9"/>
      <c r="P167" s="9"/>
      <c r="Q167" s="9"/>
    </row>
    <row r="168" ht="15.75" customHeight="1">
      <c r="A168" s="206"/>
      <c r="B168" s="206"/>
      <c r="C168" s="249"/>
      <c r="D168" s="249"/>
      <c r="E168" s="249"/>
      <c r="F168" s="249"/>
      <c r="G168" s="249"/>
      <c r="H168" s="249"/>
      <c r="I168" s="249"/>
      <c r="J168" s="249"/>
      <c r="K168" s="249"/>
      <c r="L168" s="249"/>
      <c r="M168" s="249"/>
      <c r="N168" s="9"/>
      <c r="O168" s="9"/>
      <c r="P168" s="9"/>
      <c r="Q168" s="9"/>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29:F34"/>
    <mergeCell ref="D80:F85"/>
    <mergeCell ref="D131:F136"/>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outlinePr summaryBelow="0" summaryRight="0"/>
    <pageSetUpPr/>
  </sheetPr>
  <sheetViews>
    <sheetView workbookViewId="0"/>
  </sheetViews>
  <sheetFormatPr customHeight="1" defaultColWidth="12.63" defaultRowHeight="15.0"/>
  <cols>
    <col customWidth="1" min="1" max="1" width="66.38"/>
    <col customWidth="1" min="2" max="2" width="27.88"/>
    <col customWidth="1" min="3" max="3" width="48.38"/>
    <col customWidth="1" min="4" max="4" width="9.25"/>
    <col customWidth="1" min="5" max="6" width="27.88"/>
    <col customWidth="1" min="7" max="26" width="11.25"/>
  </cols>
  <sheetData>
    <row r="1" ht="14.25" customHeight="1">
      <c r="A1" s="319"/>
      <c r="B1" s="320"/>
      <c r="C1" s="321"/>
      <c r="D1" s="321"/>
      <c r="E1" s="321"/>
      <c r="F1" s="321"/>
      <c r="G1" s="319"/>
    </row>
    <row r="2" ht="15.0" customHeight="1">
      <c r="A2" s="322" t="s">
        <v>332</v>
      </c>
      <c r="B2" s="321"/>
      <c r="C2" s="321"/>
      <c r="D2" s="77"/>
      <c r="E2" s="77"/>
      <c r="F2" s="77"/>
      <c r="G2" s="77"/>
    </row>
    <row r="3" ht="14.25" customHeight="1">
      <c r="A3" s="77"/>
      <c r="B3" s="77"/>
      <c r="C3" s="77"/>
      <c r="D3" s="77"/>
      <c r="E3" s="77"/>
      <c r="F3" s="77"/>
      <c r="G3" s="77"/>
    </row>
    <row r="4" ht="14.25" customHeight="1">
      <c r="A4" s="323" t="s">
        <v>334</v>
      </c>
      <c r="B4" s="321"/>
      <c r="C4" s="321"/>
      <c r="D4" s="77"/>
      <c r="E4" s="77"/>
      <c r="F4" s="77"/>
      <c r="G4" s="77"/>
    </row>
    <row r="5" ht="14.25" customHeight="1">
      <c r="A5" s="324" t="s">
        <v>335</v>
      </c>
      <c r="B5" s="325" t="inlineStr">
        <is>
          <t xml:space="preserve">Novo Nordisk A/S (CVR 24256790), Bagsværd, Dinamarca. Controlada por la Novo Nordisk Foundation vía Novo Holdings A/S (100% acciones A; 76,02% + 1,26% de los votos al 31-dic-2025).</t>
        </is>
      </c>
      <c r="C5" s="325"/>
      <c r="D5" s="77"/>
      <c r="E5" s="77"/>
      <c r="F5" s="77"/>
      <c r="G5" s="77"/>
    </row>
    <row r="6" ht="14.25" customHeight="1">
      <c r="A6" s="326" t="s">
        <v>337</v>
      </c>
      <c r="B6" s="327" t="inlineStr">
        <is>
          <t xml:space="preserve">Maziar Mike Doustdar (presidente y CEO desde el 7-ago-2025). CFO: Karsten Munk Knudsen. Presidente del Consejo: Lars Rebien Sørensen (desde el 14-nov-2025).</t>
        </is>
      </c>
      <c r="C6" s="327"/>
      <c r="D6" s="77"/>
      <c r="E6" s="77"/>
      <c r="F6" s="77"/>
      <c r="G6" s="77"/>
    </row>
    <row r="7" ht="14.25" customHeight="1">
      <c r="A7" s="324" t="s">
        <v>338</v>
      </c>
      <c r="B7" s="325" t="inlineStr">
        <is>
          <t xml:space="preserve">Salud – Farmacéutica (diabetes, obesidad y enfermedades raras). Damodaran: Drugs (Pharmaceutical).</t>
        </is>
      </c>
      <c r="C7" s="325"/>
      <c r="D7" s="77"/>
      <c r="E7" s="77"/>
      <c r="F7" s="77"/>
      <c r="G7" s="77"/>
    </row>
    <row r="8" ht="14.25" customHeight="1">
      <c r="A8" s="326" t="s">
        <v>340</v>
      </c>
      <c r="B8" s="327" t="inlineStr">
        <is>
          <t xml:space="preserve">https://www.novonordisk.com</t>
        </is>
      </c>
      <c r="C8" s="327"/>
      <c r="D8" s="77"/>
      <c r="E8" s="77"/>
      <c r="F8" s="77"/>
      <c r="G8" s="77"/>
    </row>
    <row r="9" ht="14.25" customHeight="1">
      <c r="A9" s="77" t="s">
        <v>341</v>
      </c>
      <c r="B9" s="77" t="str">
        <f>'Input sheet'!A1</f>
        <v>Novo Nordisk (NYSE:NVO)</v>
      </c>
      <c r="C9" s="328">
        <f>'Input sheet'!D1</f>
        <v>39.4</v>
      </c>
      <c r="D9" s="77"/>
      <c r="E9" s="77"/>
      <c r="F9" s="77"/>
      <c r="G9" s="77"/>
    </row>
    <row r="10" ht="14.25" customHeight="1">
      <c r="A10" s="323" t="s">
        <v>342</v>
      </c>
      <c r="B10" s="321"/>
      <c r="C10" s="321"/>
      <c r="D10" s="77"/>
      <c r="E10" s="77"/>
      <c r="F10" s="77"/>
      <c r="G10" s="77"/>
    </row>
    <row r="11" ht="14.25" customHeight="1">
      <c r="A11" s="330" t="s">
        <v>344</v>
      </c>
      <c r="B11" s="331" t="inlineStr">
        <is>
          <t xml:space="preserve">Descripción (fuente: informe H1 2026 del 4-ago-2026 y 20-F 2025)</t>
        </is>
      </c>
      <c r="C11" s="332"/>
      <c r="D11" s="77"/>
      <c r="E11" s="77"/>
      <c r="F11" s="77"/>
      <c r="G11" s="77"/>
    </row>
    <row r="12" ht="14.25" customHeight="1">
      <c r="A12" s="333" t="inlineStr">
        <is>
          <t xml:space="preserve">Visión General de la Empresa</t>
        </is>
      </c>
      <c r="B12" s="334" t="inlineStr">
        <is>
          <t xml:space="preserve">Empresa farmacéutica fundada en 1923, líder en GLP-1 (semaglutida: Ozempic®, Wegovy®, Rybelsus®/Ozempic® pill) e insulinas. Ventas IFRS 2025: DKK 309.064 M (+6,4% DKK); margen operativo 41,3%; ~66.700 empleados y ventas en ~170 países. Reporta dos segmentos: Obesity &amp; Diabetes care (94% de ventas ajustadas H1 2026) y Rare disease (6%).</t>
        </is>
      </c>
      <c r="C12" s="332"/>
      <c r="D12" s="77"/>
      <c r="E12" s="77"/>
      <c r="F12" s="77"/>
      <c r="G12" s="77"/>
    </row>
    <row r="13" ht="28.5" customHeight="1">
      <c r="A13" s="335" t="inlineStr">
        <is>
          <t xml:space="preserve">Obesity care
(Wegovy®, Wegovy® pill, Saxenda®)</t>
        </is>
      </c>
      <c r="B13" s="336" t="inlineStr">
        <is>
          <t xml:space="preserve">Ventas ajustadas H1 2026 DKK 44.064 M (+19% TCC; 30% del total). Wegovy® inyectable 37.719 M (+7%), Wegovy® pill 5.474 M (lanzado en EE. UU. el 5-ene-2026). EE. UU. +6% TCC con precios a la baja; International Operations +40% TCC. Pacientes con productos de obesidad: 4,9 M (+69%).</t>
        </is>
      </c>
      <c r="C13" s="332"/>
      <c r="D13" s="77"/>
      <c r="E13" s="77"/>
      <c r="F13" s="77"/>
      <c r="G13" s="77"/>
    </row>
    <row r="14" ht="28.5" customHeight="1">
      <c r="A14" s="333" t="inlineStr">
        <is>
          <t xml:space="preserve">Diabetes care
(GLP-1 e insulinas)</t>
        </is>
      </c>
      <c r="B14" s="334" t="inlineStr">
        <is>
          <t xml:space="preserve">Ventas ajustadas H1 2026 DKK 95.365 M (-5% TCC; 64% del total). GLP-1 diabetes 69.515 M (-5%; Ozempic® 59.200 M, -2%); insulinas 24.586 M (-7%) con pérdida de cuota en EE. UU. Patente de compuesto de semaglutida en EE. UU. hasta 2032; ANDAs de genéricos presentadas y litigadas.</t>
        </is>
      </c>
      <c r="C14" s="332"/>
      <c r="D14" s="77"/>
      <c r="E14" s="77"/>
      <c r="F14" s="77"/>
      <c r="G14" s="77"/>
    </row>
    <row r="15" ht="28.5" customHeight="1">
      <c r="A15" s="335" t="inlineStr">
        <is>
          <t xml:space="preserve">Rare disease
(hemofilia, hormona de crecimiento)</t>
        </is>
      </c>
      <c r="B15" s="336" t="inlineStr">
        <is>
          <t xml:space="preserve">Ventas ajustadas H1 2026 DKK 9.122 M (+2% TCC). NovoSeven®, Alhemo®, Norditropin®, Sogroya®. Margen operativo del segmento H1 2026: 3,1% (afectado por deterioros de pipeline). Catalizadores: CHMP positivo para FREHEMGO® (denecimig) el 17-sep-2026; decisiones EE. UU./UE de denecimig en Q4 2026.</t>
        </is>
      </c>
      <c r="C15" s="332"/>
      <c r="D15" s="77"/>
      <c r="E15" s="77"/>
      <c r="F15" s="77"/>
      <c r="G15" s="77"/>
    </row>
    <row r="16" ht="28.5" customHeight="1">
      <c r="A16" s="333" t="inlineStr">
        <is>
          <t xml:space="preserve">Estrategia de Distribución
y Comercialización</t>
        </is>
      </c>
      <c r="B16" s="334" t="inlineStr">
        <is>
          <t xml:space="preserve">Dos unidades: US Operations (51% de ventas ajustadas H1 2026) e International Operations (EUCAN, Emerging Markets, APAC, Region China). En EE. UU. amplía el canal de autopago (NovoCare® Pharmacy, telemedicina), Medicare Part D vía programa Bridge (desde 1-jul-2026) y acuerdo MFN con la Administración; precio de lista de Wegovy®/Ozempic® a USD 675 desde 1-ene-2027.</t>
        </is>
      </c>
      <c r="C16" s="332"/>
      <c r="D16" s="77"/>
      <c r="E16" s="77"/>
      <c r="F16" s="77"/>
      <c r="G16" s="77"/>
    </row>
    <row r="17" ht="14.25" customHeight="1">
      <c r="A17" s="77"/>
      <c r="B17" s="77"/>
      <c r="C17" s="77"/>
      <c r="D17" s="77"/>
      <c r="E17" s="77"/>
      <c r="F17" s="77"/>
      <c r="G17" s="77"/>
    </row>
    <row r="18" ht="15.0" customHeight="1">
      <c r="A18" s="338" t="s">
        <v>353</v>
      </c>
      <c r="B18" s="321"/>
      <c r="C18" s="321"/>
      <c r="D18" s="77"/>
      <c r="E18" s="77"/>
      <c r="F18" s="77"/>
      <c r="G18" s="77"/>
    </row>
    <row r="19" ht="14.25" customHeight="1">
      <c r="A19" s="339"/>
      <c r="B19" s="339"/>
      <c r="C19" s="339"/>
      <c r="D19" s="77"/>
      <c r="E19" s="77"/>
      <c r="F19" s="77"/>
      <c r="G19" s="77"/>
    </row>
    <row r="20" ht="15.0" customHeight="1">
      <c r="A20" s="340" t="s">
        <v>355</v>
      </c>
      <c r="B20" s="321"/>
      <c r="C20" s="321"/>
      <c r="D20" s="77"/>
      <c r="E20" s="77"/>
      <c r="F20" s="77"/>
      <c r="G20" s="77"/>
    </row>
    <row r="21" ht="15.0" customHeight="1">
      <c r="A21" s="341" t="s">
        <v>357</v>
      </c>
      <c r="B21" s="343"/>
      <c r="C21" s="332"/>
      <c r="D21" s="77"/>
      <c r="E21" s="77"/>
      <c r="F21" s="77"/>
      <c r="G21" s="77"/>
    </row>
    <row r="22" ht="16.5" customHeight="1">
      <c r="A22" s="345" t="inlineStr">
        <is>
          <t xml:space="preserve">Liderazgo en volumen de GLP-1 y nuevo formato oral</t>
        </is>
      </c>
      <c r="B22" s="346" t="inlineStr">
        <is>
          <t xml:space="preserve">Wegovy® sigue siendo líder en nuevos pacientes entre medicamentos de marca para obesidad en EE. UU.; Wegovy® pill superó 265.000 recetas semanales y 5 M de recetas acumuladas; aprobado por la EMA en julio de 2026 y lanzado en Reino Unido y EAU (informe H1 2026).</t>
        </is>
      </c>
      <c r="C22" s="332"/>
      <c r="D22" s="77"/>
      <c r="E22" s="77"/>
      <c r="F22" s="77"/>
      <c r="G22" s="77"/>
    </row>
    <row r="23" ht="16.5" customHeight="1">
      <c r="A23" s="347" t="inlineStr">
        <is>
          <t xml:space="preserve">Escala de manufactura, balance y caja</t>
        </is>
      </c>
      <c r="B23" s="348" t="inlineStr">
        <is>
          <t xml:space="preserve">Capacidad de API y llenado ampliada (capex 2025 DKK 60,1 mil M; plantas de Catalent); FCF H1 2026 DKK 55,3 mil M y guía 2026 DKK 45-55 mil M; ratings Aa3/AA; deuda neta DKK 86,5 mil M (≈0,6x EBITDA LTM ajustado).</t>
        </is>
      </c>
      <c r="C23" s="332"/>
      <c r="D23" s="77"/>
      <c r="E23" s="77"/>
      <c r="F23" s="77"/>
      <c r="G23" s="77"/>
    </row>
    <row r="24" ht="16.5" customHeight="1">
      <c r="A24" s="345" t="inlineStr">
        <is>
          <t xml:space="preserve">Opcionalidad de pipeline y mercado subpenetrado</t>
        </is>
      </c>
      <c r="B24" s="346" t="inlineStr">
        <is>
          <t xml:space="preserve">Mercado global de obesidad de marca creció 81% en volumen (MAT mayo-2026, IQVIA citado por la compañía). Pipeline: CagriSema (decisión EE. UU. Q4 2026), zenagamtide (fase 3), Wegovy® HD; objetivo CMD de &gt;5 multi-blockbusters a 2030 y &gt;DKK 150 mil M de ventas de pipeline en 2035 (ajustado por riesgo).</t>
        </is>
      </c>
      <c r="C24" s="332"/>
      <c r="D24" s="77"/>
      <c r="E24" s="77"/>
      <c r="F24" s="77"/>
      <c r="G24" s="77"/>
    </row>
    <row r="25" ht="14.25" customHeight="1">
      <c r="A25" s="339"/>
      <c r="B25" s="339"/>
      <c r="C25" s="339"/>
      <c r="D25" s="77"/>
      <c r="E25" s="77"/>
      <c r="F25" s="77"/>
      <c r="G25" s="77"/>
    </row>
    <row r="26" ht="15.0" customHeight="1">
      <c r="A26" s="349" t="s">
        <v>364</v>
      </c>
      <c r="B26" s="321"/>
      <c r="C26" s="321"/>
      <c r="D26" s="77"/>
      <c r="E26" s="77"/>
      <c r="F26" s="77"/>
      <c r="G26" s="77"/>
    </row>
    <row r="27" ht="15.0" customHeight="1">
      <c r="A27" s="351" t="s">
        <v>366</v>
      </c>
      <c r="B27" s="352"/>
      <c r="C27" s="332"/>
      <c r="D27" s="77"/>
      <c r="E27" s="77"/>
      <c r="F27" s="77"/>
      <c r="G27" s="77"/>
    </row>
    <row r="28" ht="16.5" customHeight="1">
      <c r="A28" s="353" t="inlineStr">
        <is>
          <t xml:space="preserve">Precio neto en EE. UU. en caída estructural</t>
        </is>
      </c>
      <c r="B28" s="354" t="inlineStr">
        <is>
          <t xml:space="preserve">Ventas ajustadas en EE. UU. -4% TCC en H1 2026 por menores precios realizados; acuerdo MFN, cobertura Medicaid reducida y precio de lista de USD 675 desde 2027 (≈-50% Wegovy®, -35% Ozempic®).</t>
        </is>
      </c>
      <c r="C28" s="332"/>
      <c r="D28" s="77"/>
      <c r="E28" s="77"/>
      <c r="F28" s="77"/>
      <c r="G28" s="77"/>
    </row>
    <row r="29" ht="16.5" customHeight="1">
      <c r="A29" s="347" t="inlineStr">
        <is>
          <t xml:space="preserve">Competencia de Eli Lilly y ejecución del pipeline</t>
        </is>
      </c>
      <c r="B29" s="348" t="inlineStr">
        <is>
          <t xml:space="preserve">Tirzepatida superó a CagriSema en HbA1c (REIMAGINE 4); ZEUS falló su objetivo primario (31-jul-2026); monlunabant terminado (deterioro DKK 4,0 mil M). Novo demandó a Lilly por publicidad comparativa (21-jul-2026).</t>
        </is>
      </c>
      <c r="C29" s="332"/>
      <c r="D29" s="77"/>
      <c r="E29" s="77"/>
      <c r="F29" s="77"/>
      <c r="G29" s="77"/>
    </row>
    <row r="30" ht="16.5" customHeight="1">
      <c r="A30" s="353" t="inlineStr">
        <is>
          <t xml:space="preserve">Genéricos de semaglutida y retornos decrecientes sobre capital</t>
        </is>
      </c>
      <c r="B30" s="354" t="inlineStr">
        <is>
          <t xml:space="preserve">Expiración de la patente de semaglutida en algunos mercados de International Operations desde 2026 y en EE. UU. en 2032; demanda de Sandoz en el UPC contra la patente de la dosis de 1 mg (30-jun-2026). ROIC reportado 88,5% (2023) → 39,3% (2025) por capex y adquisiciones.</t>
        </is>
      </c>
      <c r="C30" s="332"/>
      <c r="D30" s="77"/>
      <c r="E30" s="77"/>
      <c r="F30" s="77"/>
      <c r="G30" s="77"/>
    </row>
    <row r="31" ht="14.25" customHeight="1">
      <c r="A31" s="339"/>
      <c r="B31" s="339"/>
      <c r="C31" s="339"/>
      <c r="D31" s="77"/>
      <c r="E31" s="77"/>
      <c r="F31" s="77"/>
      <c r="G31" s="77"/>
    </row>
    <row r="32" ht="15.0" customHeight="1">
      <c r="A32" s="355" t="inlineStr">
        <is>
          <t xml:space="preserve">Fuente: elaboración propia con documentos primarios de Novo Nordisk (informe H1 2026 del 4-ago-2026, 20-F 2025, Five-year overview AR2025, anuncios 6-K jul-sep 2026). No se usó informe de terceros para esta tabla.</t>
        </is>
      </c>
      <c r="B32" s="356"/>
      <c r="C32" s="332"/>
      <c r="D32" s="77"/>
      <c r="E32" s="77"/>
      <c r="F32" s="77"/>
      <c r="G32" s="77"/>
    </row>
    <row r="33" ht="14.25" customHeight="1">
      <c r="A33" s="77"/>
      <c r="B33" s="77"/>
      <c r="C33" s="77"/>
      <c r="D33" s="77"/>
      <c r="E33" s="77"/>
      <c r="F33" s="77"/>
      <c r="G33" s="77"/>
    </row>
    <row r="34" ht="15.0" customHeight="1">
      <c r="A34" s="338" t="s">
        <v>373</v>
      </c>
      <c r="B34" s="321"/>
      <c r="C34" s="321"/>
      <c r="D34" s="321"/>
      <c r="E34" s="77"/>
      <c r="F34" s="77"/>
      <c r="G34" s="77"/>
    </row>
    <row r="35" ht="15.0" customHeight="1">
      <c r="A35" s="357" t="inlineStr">
        <is>
          <t xml:space="preserve">Periodo del Reporte: 25 de junio de 2026 – 23 de septiembre de 2026 (90 días previos al corte)</t>
        </is>
      </c>
      <c r="E35" s="77"/>
      <c r="F35" s="77"/>
      <c r="G35" s="77"/>
    </row>
    <row r="36" ht="14.25" customHeight="1">
      <c r="A36" s="339"/>
      <c r="B36" s="339"/>
      <c r="C36" s="339"/>
      <c r="D36" s="339"/>
      <c r="E36" s="77"/>
      <c r="F36" s="77"/>
      <c r="G36" s="77"/>
    </row>
    <row r="37" ht="15.0" customHeight="1">
      <c r="A37" s="358" t="s">
        <v>376</v>
      </c>
      <c r="B37" s="321"/>
      <c r="C37" s="321"/>
      <c r="D37" s="321"/>
      <c r="E37" s="77"/>
      <c r="F37" s="77"/>
      <c r="G37" s="77"/>
    </row>
    <row r="38" ht="33.0" customHeight="1">
      <c r="A38" s="359" t="s">
        <v>377</v>
      </c>
      <c r="B38" s="359" t="inlineStr">
        <is>
          <t xml:space="preserve">Titular</t>
        </is>
      </c>
      <c r="C38" s="359"/>
      <c r="D38" s="359" t="s">
        <v>378</v>
      </c>
      <c r="E38" s="77"/>
      <c r="F38" s="77"/>
      <c r="G38" s="77"/>
    </row>
    <row r="39" ht="50.25" customHeight="1">
      <c r="A39" s="360" t="inlineStr">
        <is>
          <t xml:space="preserve">I+D / Pipeline</t>
        </is>
      </c>
      <c r="B39" s="361" t="inlineStr">
        <is>
          <t xml:space="preserve">ZEUS (ziltivekimab) no cumple el objetivo primario de MACE — 31-jul-2026</t>
        </is>
      </c>
      <c r="C39" s="362"/>
      <c r="D39" s="363" t="inlineStr">
        <is>
          <t xml:space="preserve">Posible deterioro no monetario en Q3 2026; reduce opcionalidad cardiovascular.</t>
        </is>
      </c>
      <c r="E39" s="77"/>
      <c r="F39" s="77"/>
      <c r="G39" s="77"/>
    </row>
    <row r="40" ht="50.25" customHeight="1">
      <c r="A40" s="365" t="inlineStr">
        <is>
          <t xml:space="preserve">Resultados</t>
        </is>
      </c>
      <c r="B40" s="366" t="inlineStr">
        <is>
          <t xml:space="preserve">Resultados H1 2026 y guía elevada — 4-ago-2026</t>
        </is>
      </c>
      <c r="C40" s="367"/>
      <c r="D40" s="368" t="inlineStr">
        <is>
          <t xml:space="preserve">Ventas ajustadas 2026: 0% a -6% TCC (antes -4% a -12%); FCF DKK 45-55 mil M.</t>
        </is>
      </c>
      <c r="E40" s="77"/>
      <c r="F40" s="77"/>
      <c r="G40" s="77"/>
    </row>
    <row r="41" ht="50.25" customHeight="1">
      <c r="A41" s="360" t="inlineStr">
        <is>
          <t xml:space="preserve">Regulatorio</t>
        </is>
      </c>
      <c r="B41" s="361" t="inlineStr">
        <is>
          <t xml:space="preserve">Aprobaciones EMA de Wegovy® pill y Wegovy® 7,2 mg — julio 2026</t>
        </is>
      </c>
      <c r="C41" s="362"/>
      <c r="D41" s="363" t="inlineStr">
        <is>
          <t xml:space="preserve">Amplía el formato oral y la dosis alta fuera de EE. UU.</t>
        </is>
      </c>
      <c r="E41" s="77"/>
      <c r="F41" s="77"/>
      <c r="G41" s="77"/>
    </row>
    <row r="42" ht="50.25" customHeight="1">
      <c r="A42" s="365" t="inlineStr">
        <is>
          <t xml:space="preserve">Estrategia</t>
        </is>
      </c>
      <c r="B42" s="366" t="inlineStr">
        <is>
          <t xml:space="preserve">Capital Markets Day: objetivos 2030 — 21-sep-2026</t>
        </is>
      </c>
      <c r="C42" s="369"/>
      <c r="D42" s="368" t="inlineStr">
        <is>
          <t xml:space="preserve">TCAC 2026-30 "en línea con pares", margen estable; el ADR cayó 7,96% ese día (USD 43,24 → 39,80).</t>
        </is>
      </c>
      <c r="E42" s="77"/>
      <c r="F42" s="77"/>
      <c r="G42" s="77"/>
    </row>
    <row r="43" ht="50.25" customHeight="1">
      <c r="A43" s="360" t="inlineStr">
        <is>
          <t xml:space="preserve">Legal / Patentes</t>
        </is>
      </c>
      <c r="B43" s="361" t="inlineStr">
        <is>
          <t xml:space="preserve">Litigios: Sandoz (UPC, 30-jun), demanda contra Lilly (21-jul), ANDA de Cipla</t>
        </is>
      </c>
      <c r="C43" s="367"/>
      <c r="D43" s="363" t="inlineStr">
        <is>
          <t xml:space="preserve">Defensa de exclusividad de semaglutida y disputa comercial con Lilly.</t>
        </is>
      </c>
      <c r="E43" s="77"/>
      <c r="F43" s="77"/>
      <c r="G43" s="77"/>
    </row>
    <row r="44" ht="14.25" customHeight="1">
      <c r="A44" s="339"/>
      <c r="B44" s="339"/>
      <c r="C44" s="339"/>
      <c r="D44" s="339"/>
      <c r="E44" s="77"/>
      <c r="F44" s="77"/>
      <c r="G44" s="77"/>
    </row>
    <row r="45" ht="15.0" customHeight="1">
      <c r="A45" s="358" t="s">
        <v>387</v>
      </c>
      <c r="B45" s="321"/>
      <c r="C45" s="321"/>
      <c r="D45" s="321"/>
      <c r="E45" s="77"/>
      <c r="F45" s="77"/>
      <c r="G45" s="77"/>
    </row>
    <row r="46" ht="16.5" customHeight="1">
      <c r="A46" s="359" t="s">
        <v>388</v>
      </c>
      <c r="B46" s="370"/>
      <c r="C46" s="356"/>
      <c r="D46" s="332"/>
      <c r="E46" s="77"/>
      <c r="F46" s="77"/>
      <c r="G46" s="77"/>
    </row>
    <row r="47" ht="16.5" customHeight="1">
      <c r="A47" s="371" t="inlineStr">
        <is>
          <t xml:space="preserve">ZEUS y terminación de monlunabant</t>
        </is>
      </c>
      <c r="B47" s="372" t="inlineStr">
        <is>
          <t xml:space="preserve">Ziltivekimab no redujo MACE vs placebo en &gt;6.300 pacientes con ASCVD, ERC e inflamación (anuncio 31-jul-2026). En Q2 2026 se registraron deterioros de DKK 6,3 mil M en activos de pipeline, incluido monlunabant (DKK 4,0 mil M). Impacto negativo: reduce la diversificación fuera de GLP-1.</t>
        </is>
      </c>
      <c r="C47" s="356"/>
      <c r="D47" s="332"/>
      <c r="E47" s="77"/>
      <c r="F47" s="77"/>
      <c r="G47" s="77"/>
    </row>
    <row r="48" ht="16.5" customHeight="1">
      <c r="A48" s="373" t="inlineStr">
        <is>
          <t xml:space="preserve">Guía 2026 elevada (H1 2026)</t>
        </is>
      </c>
      <c r="B48" s="374" t="inlineStr">
        <is>
          <t xml:space="preserve">Ventas ajustadas Q2 2026 +7% TCC y beneficio operativo ajustado +11% TCC. Guía de ventas y beneficio operativo ajustados elevada a 0% a -6% TCC; FCF DKK 45-55 mil M; capex ~DKK 55 mil M; tasa fiscal 21-23%. Dividendo interino DKK 3,75. Impacto positivo moderado.</t>
        </is>
      </c>
      <c r="C48" s="356"/>
      <c r="D48" s="332"/>
      <c r="E48" s="77"/>
      <c r="F48" s="77"/>
      <c r="G48" s="77"/>
    </row>
    <row r="49" ht="16.5" customHeight="1">
      <c r="A49" s="371" t="inlineStr">
        <is>
          <t xml:space="preserve">Capital Markets Day 2026</t>
        </is>
      </c>
      <c r="B49" s="372" t="inlineStr">
        <is>
          <t xml:space="preserve">Metas: &gt;5 multi-blockbusters a 2030, &gt;DKK 150 mil M en ventas de pipeline en 2035 (ajustado por riesgo), atender &gt;60 M de pacientes en 2030, TCAC de ingresos 2026-30 en línea con pares y margen operativo ampliamente estable (GlobeNewswire, 21-sep-2026). El ADR cayó 7,96% ese día (stockanalysis). Impacto: aclara que no se espera expansión de margen.</t>
        </is>
      </c>
      <c r="C49" s="356"/>
      <c r="D49" s="332"/>
      <c r="E49" s="77"/>
      <c r="F49" s="77"/>
      <c r="G49" s="77"/>
    </row>
    <row r="50" ht="16.5" customHeight="1">
      <c r="A50" s="373" t="inlineStr">
        <is>
          <t xml:space="preserve">Recompra de acciones en curso</t>
        </is>
      </c>
      <c r="B50" s="374" t="inlineStr">
        <is>
          <t xml:space="preserve">Programa de hasta DKK 15 mil M (4-feb-2026 a 3-feb-2027): 34,17 M de acciones B recompradas a un promedio de DKK 281,79 hasta el 18-sep-2026; autocartera 48,2 M; 4.465 M de acciones totales (anuncio 21-sep-2026). Reducción neta de acciones ~1% anual.</t>
        </is>
      </c>
      <c r="C50" s="356"/>
      <c r="D50" s="332"/>
      <c r="E50" s="77"/>
      <c r="F50" s="77"/>
      <c r="G50" s="77"/>
    </row>
    <row r="51" ht="14.25" customHeight="1">
      <c r="A51" s="77"/>
      <c r="B51" s="77"/>
      <c r="C51" s="77"/>
      <c r="D51" s="77"/>
      <c r="E51" s="77"/>
      <c r="F51" s="77"/>
      <c r="G51" s="77"/>
    </row>
    <row r="52" ht="14.25" customHeight="1">
      <c r="A52" s="77"/>
      <c r="B52" s="77"/>
      <c r="C52" s="77"/>
      <c r="D52" s="77"/>
      <c r="E52" s="77"/>
      <c r="F52" s="77"/>
      <c r="G52" s="77"/>
    </row>
    <row r="53" ht="14.25" customHeight="1">
      <c r="A53" s="77"/>
      <c r="B53" s="77"/>
      <c r="C53" s="77"/>
      <c r="D53" s="77"/>
      <c r="E53" s="77"/>
      <c r="F53" s="77"/>
      <c r="G53" s="77"/>
    </row>
    <row r="54" ht="14.25" customHeight="1">
      <c r="A54" s="77"/>
      <c r="B54" s="77"/>
      <c r="C54" s="77"/>
      <c r="D54" s="77"/>
      <c r="E54" s="77"/>
      <c r="F54" s="77"/>
      <c r="G54" s="77"/>
    </row>
    <row r="55" ht="14.25" customHeight="1">
      <c r="A55" s="77"/>
      <c r="B55" s="77"/>
      <c r="C55" s="77"/>
      <c r="D55" s="77"/>
      <c r="E55" s="77"/>
      <c r="F55" s="77"/>
      <c r="G55" s="77"/>
    </row>
    <row r="56" ht="14.25" customHeight="1">
      <c r="A56" s="77"/>
      <c r="B56" s="77"/>
      <c r="C56" s="77"/>
      <c r="D56" s="77"/>
      <c r="E56" s="77"/>
      <c r="F56" s="77"/>
      <c r="G56" s="77"/>
    </row>
    <row r="57" ht="14.25" customHeight="1">
      <c r="A57" s="77"/>
      <c r="B57" s="77"/>
      <c r="C57" s="77"/>
      <c r="D57" s="77"/>
      <c r="E57" s="77"/>
      <c r="F57" s="77"/>
      <c r="G57" s="77"/>
    </row>
    <row r="58" ht="14.25" customHeight="1">
      <c r="A58" s="77"/>
      <c r="B58" s="77"/>
      <c r="C58" s="77"/>
      <c r="D58" s="77"/>
      <c r="E58" s="77"/>
      <c r="F58" s="77"/>
      <c r="G58" s="77"/>
    </row>
    <row r="59" ht="14.25" customHeight="1">
      <c r="A59" s="77"/>
      <c r="B59" s="77"/>
      <c r="C59" s="77"/>
      <c r="D59" s="77"/>
      <c r="E59" s="77"/>
      <c r="F59" s="77"/>
      <c r="G59" s="77"/>
    </row>
    <row r="60" ht="14.25" customHeight="1">
      <c r="A60" s="77"/>
      <c r="B60" s="77"/>
      <c r="C60" s="77"/>
      <c r="D60" s="77"/>
      <c r="E60" s="77"/>
      <c r="F60" s="77"/>
      <c r="G60" s="77"/>
    </row>
    <row r="61" ht="14.25" customHeight="1">
      <c r="A61" s="77"/>
      <c r="B61" s="77"/>
      <c r="C61" s="77"/>
      <c r="D61" s="77"/>
      <c r="E61" s="77"/>
      <c r="F61" s="77"/>
      <c r="G61" s="77"/>
    </row>
    <row r="62" ht="14.25" customHeight="1">
      <c r="A62" s="77"/>
      <c r="B62" s="77"/>
      <c r="C62" s="77"/>
      <c r="D62" s="77"/>
      <c r="E62" s="77"/>
      <c r="F62" s="77"/>
      <c r="G62" s="77"/>
    </row>
    <row r="63" ht="14.25" customHeight="1">
      <c r="A63" s="77"/>
      <c r="B63" s="77"/>
      <c r="C63" s="77"/>
      <c r="D63" s="77"/>
      <c r="E63" s="77"/>
      <c r="F63" s="77"/>
      <c r="G63" s="77"/>
    </row>
    <row r="64" ht="14.25" customHeight="1">
      <c r="A64" s="77"/>
      <c r="B64" s="77"/>
      <c r="C64" s="77"/>
      <c r="D64" s="77"/>
      <c r="E64" s="77"/>
      <c r="F64" s="77"/>
      <c r="G64" s="77"/>
    </row>
    <row r="65" ht="14.25" customHeight="1">
      <c r="A65" s="77"/>
      <c r="B65" s="77"/>
      <c r="C65" s="77"/>
      <c r="D65" s="77"/>
      <c r="E65" s="77"/>
      <c r="F65" s="77"/>
      <c r="G65" s="77"/>
    </row>
    <row r="66" ht="15.75" customHeight="1">
      <c r="A66" s="77"/>
      <c r="B66" s="77"/>
      <c r="C66" s="77"/>
      <c r="D66" s="77"/>
      <c r="E66" s="77"/>
      <c r="F66" s="77"/>
    </row>
    <row r="67" ht="15.75" customHeight="1">
      <c r="A67" s="77"/>
      <c r="B67" s="77"/>
      <c r="C67" s="77"/>
      <c r="D67" s="77"/>
      <c r="E67" s="77"/>
      <c r="F67" s="77"/>
    </row>
    <row r="68" ht="15.75" customHeight="1">
      <c r="A68" s="77"/>
      <c r="B68" s="77"/>
      <c r="C68" s="77"/>
      <c r="D68" s="77"/>
      <c r="E68" s="77"/>
      <c r="F68" s="77"/>
    </row>
    <row r="69" ht="15.75" customHeight="1">
      <c r="A69" s="77"/>
      <c r="B69" s="77"/>
      <c r="C69" s="77"/>
      <c r="D69" s="77"/>
      <c r="E69" s="77"/>
      <c r="F69" s="77"/>
    </row>
    <row r="70" ht="15.75" customHeight="1">
      <c r="A70" s="77"/>
      <c r="B70" s="77"/>
      <c r="C70" s="77"/>
      <c r="D70" s="77"/>
      <c r="E70" s="77"/>
      <c r="F70" s="77"/>
    </row>
    <row r="71" ht="15.75" customHeight="1">
      <c r="A71" s="77"/>
      <c r="B71" s="77"/>
      <c r="C71" s="77"/>
      <c r="D71" s="77"/>
      <c r="E71" s="77"/>
      <c r="F71" s="77"/>
    </row>
    <row r="72" ht="15.75" customHeight="1">
      <c r="A72" s="77"/>
      <c r="B72" s="77"/>
      <c r="C72" s="77"/>
      <c r="D72" s="77"/>
      <c r="E72" s="77"/>
      <c r="F72" s="77"/>
    </row>
    <row r="73" ht="15.75" customHeight="1">
      <c r="A73" s="77"/>
      <c r="B73" s="77"/>
      <c r="C73" s="77"/>
      <c r="D73" s="77"/>
      <c r="E73" s="77"/>
      <c r="F73" s="77"/>
    </row>
    <row r="74" ht="15.75" customHeight="1">
      <c r="A74" s="77"/>
      <c r="B74" s="77"/>
      <c r="C74" s="77"/>
      <c r="D74" s="77"/>
      <c r="E74" s="77"/>
      <c r="F74" s="77"/>
    </row>
    <row r="75" ht="15.75" customHeight="1">
      <c r="A75" s="77"/>
      <c r="B75" s="77"/>
      <c r="C75" s="77"/>
      <c r="D75" s="77"/>
      <c r="E75" s="77"/>
      <c r="F75" s="77"/>
    </row>
    <row r="76" ht="15.75" customHeight="1">
      <c r="A76" s="77"/>
      <c r="B76" s="77"/>
      <c r="C76" s="77"/>
      <c r="D76" s="77"/>
      <c r="E76" s="77"/>
      <c r="F76" s="77"/>
    </row>
    <row r="77" ht="15.75" customHeight="1">
      <c r="A77" s="77"/>
      <c r="B77" s="77"/>
      <c r="C77" s="77"/>
      <c r="D77" s="77"/>
      <c r="E77" s="77"/>
      <c r="F77" s="77"/>
    </row>
    <row r="78" ht="15.75" customHeight="1">
      <c r="A78" s="77"/>
      <c r="B78" s="77"/>
      <c r="C78" s="77"/>
      <c r="D78" s="77"/>
      <c r="E78" s="77"/>
      <c r="F78" s="77"/>
    </row>
    <row r="79" ht="15.75" customHeight="1">
      <c r="A79" s="77"/>
      <c r="B79" s="77"/>
      <c r="C79" s="77"/>
      <c r="D79" s="77"/>
      <c r="E79" s="77"/>
      <c r="F79" s="77"/>
    </row>
    <row r="80" ht="15.75" customHeight="1">
      <c r="A80" s="77"/>
      <c r="B80" s="77"/>
      <c r="C80" s="77"/>
      <c r="D80" s="77"/>
      <c r="E80" s="77"/>
      <c r="F80" s="77"/>
    </row>
    <row r="81" ht="15.75" customHeight="1">
      <c r="A81" s="77"/>
      <c r="B81" s="77"/>
      <c r="C81" s="77"/>
      <c r="D81" s="77"/>
      <c r="E81" s="77"/>
      <c r="F81" s="77"/>
    </row>
    <row r="82" ht="15.75" customHeight="1">
      <c r="A82" s="77"/>
      <c r="B82" s="77"/>
      <c r="C82" s="77"/>
      <c r="D82" s="77"/>
      <c r="E82" s="77"/>
      <c r="F82" s="77"/>
    </row>
    <row r="83" ht="15.75" customHeight="1">
      <c r="A83" s="77"/>
      <c r="B83" s="77"/>
      <c r="C83" s="77"/>
      <c r="D83" s="77"/>
      <c r="E83" s="77"/>
      <c r="F83" s="77"/>
    </row>
    <row r="84" ht="15.75" customHeight="1">
      <c r="A84" s="77"/>
      <c r="B84" s="77"/>
      <c r="C84" s="77"/>
      <c r="D84" s="77"/>
      <c r="E84" s="77"/>
      <c r="F84" s="77"/>
    </row>
    <row r="85" ht="15.75" customHeight="1">
      <c r="A85" s="77"/>
      <c r="B85" s="77"/>
      <c r="C85" s="77"/>
      <c r="D85" s="77"/>
      <c r="E85" s="77"/>
      <c r="F85" s="77"/>
    </row>
    <row r="86" ht="15.75" customHeight="1">
      <c r="A86" s="77"/>
      <c r="B86" s="77"/>
      <c r="C86" s="77"/>
      <c r="D86" s="77"/>
      <c r="E86" s="77"/>
      <c r="F86" s="77"/>
    </row>
    <row r="87" ht="15.75" customHeight="1">
      <c r="A87" s="77"/>
      <c r="B87" s="77"/>
      <c r="C87" s="77"/>
      <c r="D87" s="77"/>
      <c r="E87" s="77"/>
      <c r="F87" s="77"/>
    </row>
    <row r="88" ht="15.75" customHeight="1">
      <c r="A88" s="77"/>
      <c r="B88" s="77"/>
      <c r="C88" s="77"/>
      <c r="D88" s="77"/>
      <c r="E88" s="77"/>
      <c r="F88" s="77"/>
    </row>
    <row r="89" ht="15.75" customHeight="1">
      <c r="A89" s="77"/>
      <c r="B89" s="77"/>
      <c r="C89" s="77"/>
      <c r="D89" s="77"/>
      <c r="E89" s="77"/>
      <c r="F89" s="77"/>
    </row>
    <row r="90" ht="15.75" customHeight="1">
      <c r="A90" s="77"/>
      <c r="B90" s="77"/>
      <c r="C90" s="77"/>
      <c r="D90" s="77"/>
      <c r="E90" s="77"/>
      <c r="F90" s="77"/>
    </row>
    <row r="91" ht="15.75" customHeight="1">
      <c r="A91" s="77"/>
      <c r="B91" s="77"/>
      <c r="C91" s="77"/>
      <c r="D91" s="77"/>
      <c r="E91" s="77"/>
      <c r="F91" s="77"/>
    </row>
    <row r="92" ht="15.75" customHeight="1">
      <c r="A92" s="77"/>
      <c r="B92" s="77"/>
      <c r="C92" s="77"/>
      <c r="D92" s="77"/>
      <c r="E92" s="77"/>
      <c r="F92" s="77"/>
    </row>
    <row r="93" ht="15.75" customHeight="1">
      <c r="A93" s="77"/>
      <c r="B93" s="77"/>
      <c r="C93" s="77"/>
      <c r="D93" s="77"/>
      <c r="E93" s="77"/>
      <c r="F93" s="77"/>
    </row>
    <row r="94" ht="15.75" customHeight="1">
      <c r="A94" s="77"/>
      <c r="B94" s="77"/>
      <c r="C94" s="77"/>
      <c r="D94" s="77"/>
      <c r="E94" s="77"/>
      <c r="F94" s="77"/>
    </row>
    <row r="95" ht="15.75" customHeight="1">
      <c r="A95" s="77"/>
      <c r="B95" s="77"/>
      <c r="C95" s="77"/>
      <c r="D95" s="77"/>
      <c r="E95" s="77"/>
      <c r="F95" s="77"/>
    </row>
    <row r="96" ht="15.75" customHeight="1">
      <c r="A96" s="77"/>
      <c r="B96" s="77"/>
      <c r="C96" s="77"/>
      <c r="D96" s="77"/>
      <c r="E96" s="77"/>
      <c r="F96" s="77"/>
    </row>
    <row r="97" ht="15.75" customHeight="1">
      <c r="A97" s="77"/>
      <c r="B97" s="77"/>
      <c r="C97" s="77"/>
      <c r="D97" s="77"/>
      <c r="E97" s="77"/>
      <c r="F97" s="77"/>
    </row>
    <row r="98" ht="15.75" customHeight="1">
      <c r="A98" s="77"/>
      <c r="B98" s="77"/>
      <c r="C98" s="77"/>
      <c r="D98" s="77"/>
      <c r="E98" s="77"/>
      <c r="F98" s="77"/>
    </row>
    <row r="99" ht="15.75" customHeight="1">
      <c r="A99" s="77"/>
      <c r="B99" s="77"/>
      <c r="C99" s="77"/>
      <c r="D99" s="77"/>
      <c r="E99" s="77"/>
      <c r="F99" s="77"/>
    </row>
    <row r="100" ht="15.75" customHeight="1">
      <c r="A100" s="77"/>
      <c r="B100" s="77"/>
      <c r="C100" s="77"/>
      <c r="D100" s="77"/>
      <c r="E100" s="77"/>
      <c r="F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1:F1"/>
    <mergeCell ref="A2:C2"/>
    <mergeCell ref="A4:C4"/>
    <mergeCell ref="A10:C10"/>
    <mergeCell ref="B11:C11"/>
    <mergeCell ref="B12:C12"/>
    <mergeCell ref="B13:C13"/>
    <mergeCell ref="B14:C14"/>
    <mergeCell ref="B15:C15"/>
    <mergeCell ref="B16:C16"/>
    <mergeCell ref="A18:C18"/>
    <mergeCell ref="A20:C20"/>
    <mergeCell ref="B21:C21"/>
    <mergeCell ref="B22:C22"/>
    <mergeCell ref="B23:C23"/>
    <mergeCell ref="B24:C24"/>
    <mergeCell ref="A26:C26"/>
    <mergeCell ref="B27:C27"/>
    <mergeCell ref="B28:C28"/>
    <mergeCell ref="B29:C29"/>
    <mergeCell ref="B30:C30"/>
    <mergeCell ref="B48:D48"/>
    <mergeCell ref="B49:D49"/>
    <mergeCell ref="B50:D50"/>
    <mergeCell ref="A32:C32"/>
    <mergeCell ref="A34:D34"/>
    <mergeCell ref="A35:D35"/>
    <mergeCell ref="A37:D37"/>
    <mergeCell ref="A45:D45"/>
    <mergeCell ref="B46:D46"/>
    <mergeCell ref="B47:D47"/>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workbookViewId="0"/>
  </sheetViews>
  <sheetFormatPr customHeight="1" defaultColWidth="12.63" defaultRowHeight="15.0"/>
  <cols>
    <col customWidth="1" min="1" max="1" width="64.38"/>
    <col customWidth="1" min="2" max="3" width="11.25"/>
    <col customWidth="1" min="4" max="4" width="38.25"/>
    <col customWidth="1" min="5" max="6" width="11.25"/>
    <col customWidth="1" min="7" max="7" width="41.75"/>
    <col customWidth="1" min="8" max="26" width="11.25"/>
  </cols>
  <sheetData>
    <row r="1" ht="15.0" customHeight="1">
      <c r="A1" s="376" t="str">
        <f>UPPER('Input sheet'!A1)&amp;" | ESTADÍSTICAS Y MÉTRICAS FINANCIERAS (USD)"</f>
        <v>NOVO NORDISK (NYSE:NVO) | ESTADÍSTICAS Y MÉTRICAS FINANCIERAS (USD)</v>
      </c>
      <c r="B1" s="321"/>
      <c r="C1" s="321"/>
      <c r="D1" s="321"/>
      <c r="E1" s="321"/>
      <c r="F1" s="321"/>
      <c r="G1" s="321"/>
      <c r="H1" s="377"/>
    </row>
    <row r="2" ht="14.25" customHeight="1">
      <c r="A2" s="377"/>
      <c r="B2" s="377"/>
      <c r="C2" s="377"/>
      <c r="D2" s="377"/>
      <c r="E2" s="377"/>
      <c r="F2" s="377"/>
      <c r="G2" s="377"/>
      <c r="H2" s="377"/>
    </row>
    <row r="3" ht="15.0" customHeight="1">
      <c r="A3" s="378" t="s">
        <v>396</v>
      </c>
      <c r="B3" s="332"/>
      <c r="C3" s="377"/>
      <c r="D3" s="378" t="s">
        <v>397</v>
      </c>
      <c r="E3" s="332"/>
      <c r="F3" s="377"/>
      <c r="G3" s="378" t="s">
        <v>398</v>
      </c>
      <c r="H3" s="332"/>
    </row>
    <row r="4" ht="15.0" customHeight="1">
      <c r="A4" s="379" t="s">
        <v>400</v>
      </c>
      <c r="B4" s="380">
        <f>'Trailing Valuation'!L5</f>
        <v>174021.92</v>
      </c>
      <c r="C4" s="377"/>
      <c r="D4" s="379" t="s">
        <v>401</v>
      </c>
      <c r="E4" s="380">
        <f>'Trailing Valuation'!L13</f>
        <v>11.1614730878187</v>
      </c>
      <c r="F4" s="377"/>
      <c r="G4" s="379" t="s">
        <v>402</v>
      </c>
      <c r="H4" s="381">
        <v>0.2317</v>
      </c>
    </row>
    <row r="5" ht="15.0" customHeight="1">
      <c r="A5" s="382" t="s">
        <v>403</v>
      </c>
      <c r="B5" s="383">
        <f>'Trailing Valuation'!L6</f>
        <v>188525.82</v>
      </c>
      <c r="C5" s="377"/>
      <c r="D5" s="382" t="s">
        <v>405</v>
      </c>
      <c r="E5" s="384">
        <f>'Trailing Valuation'!L18</f>
        <v>5.15903295139558</v>
      </c>
      <c r="F5" s="377"/>
      <c r="G5" s="382" t="s">
        <v>406</v>
      </c>
      <c r="H5" s="385">
        <v>0.1918</v>
      </c>
    </row>
    <row r="6" ht="15.0" customHeight="1">
      <c r="A6" s="379" t="s">
        <v>407</v>
      </c>
      <c r="B6" s="380">
        <f>'Income Statement'!L27</f>
        <v>4416.8</v>
      </c>
      <c r="C6" s="377"/>
      <c r="D6" s="379" t="s">
        <v>408</v>
      </c>
      <c r="E6" s="380">
        <f>'Trailing Valuation'!L19</f>
        <v>3.98961825534716</v>
      </c>
      <c r="F6" s="377"/>
      <c r="G6" s="379" t="s">
        <v>409</v>
      </c>
      <c r="H6" s="381">
        <v>0.1128</v>
      </c>
    </row>
    <row r="7" ht="15.0" customHeight="1">
      <c r="A7" s="382" t="s">
        <v>410</v>
      </c>
      <c r="B7" s="383">
        <f>'Income Statement'!L3</f>
        <v>47254.1</v>
      </c>
      <c r="C7" s="377"/>
      <c r="D7" s="382" t="s">
        <v>201</v>
      </c>
      <c r="E7" s="383">
        <f>'Trailing Valuation'!L21</f>
        <v>8.47421315233515</v>
      </c>
      <c r="F7" s="377"/>
      <c r="G7" s="382" t="s">
        <v>411</v>
      </c>
      <c r="H7" s="385">
        <v>0.2634</v>
      </c>
    </row>
    <row r="8" ht="15.0" customHeight="1">
      <c r="A8" s="379" t="s">
        <v>412</v>
      </c>
      <c r="B8" s="386">
        <v>66700</v>
      </c>
      <c r="C8" s="377"/>
      <c r="D8" s="379" t="s">
        <v>413</v>
      </c>
      <c r="E8" s="380">
        <f>'Trailing Valuation'!L16</f>
        <v>14.6976731615442</v>
      </c>
      <c r="F8" s="377"/>
      <c r="G8" s="379" t="s">
        <v>414</v>
      </c>
      <c r="H8" s="381">
        <v>0.2036</v>
      </c>
    </row>
    <row r="9" ht="15.0" customHeight="1">
      <c r="A9" s="377"/>
      <c r="B9" s="377"/>
      <c r="C9" s="377"/>
      <c r="D9" s="382" t="s">
        <v>415</v>
      </c>
      <c r="E9" s="383">
        <f>'Trailing Valuation'!L20</f>
        <v>5.05414892818462</v>
      </c>
      <c r="F9" s="377"/>
      <c r="G9" s="382" t="s">
        <v>416</v>
      </c>
      <c r="H9" s="385">
        <v>0.1323</v>
      </c>
    </row>
    <row r="10" ht="15.0" customHeight="1">
      <c r="A10" s="378" t="s">
        <v>417</v>
      </c>
      <c r="B10" s="332"/>
      <c r="C10" s="377"/>
      <c r="D10" s="377"/>
      <c r="E10" s="377"/>
      <c r="F10" s="377"/>
      <c r="G10" s="379" t="s">
        <v>418</v>
      </c>
      <c r="H10" s="381">
        <v>0.0477</v>
      </c>
    </row>
    <row r="11" ht="15.0" customHeight="1">
      <c r="A11" s="379" t="s">
        <v>419</v>
      </c>
      <c r="B11" s="381">
        <f>'Income Statement'!L7</f>
        <v>0.7894</v>
      </c>
      <c r="C11" s="377"/>
      <c r="D11" s="378" t="s">
        <v>420</v>
      </c>
      <c r="E11" s="332"/>
      <c r="F11" s="377"/>
      <c r="G11" s="382" t="s">
        <v>421</v>
      </c>
      <c r="H11" s="385">
        <v>-0.0101</v>
      </c>
    </row>
    <row r="12" ht="15.0" customHeight="1">
      <c r="A12" s="382" t="s">
        <v>422</v>
      </c>
      <c r="B12" s="385">
        <f>'Income Statement'!L30</f>
        <v>0.470795126772069</v>
      </c>
      <c r="C12" s="377"/>
      <c r="D12" s="379" t="s">
        <v>423</v>
      </c>
      <c r="E12" s="387">
        <f>'Resumen de Valoración'!D12</f>
        <v>58.1644252932236</v>
      </c>
      <c r="F12" s="377"/>
      <c r="G12" s="379" t="s">
        <v>424</v>
      </c>
      <c r="H12" s="381">
        <v>-0.0086</v>
      </c>
    </row>
    <row r="13" ht="15.0" customHeight="1">
      <c r="A13" s="379" t="s">
        <v>425</v>
      </c>
      <c r="B13" s="381">
        <f>'Income Statement'!L13</f>
        <v>0.402</v>
      </c>
      <c r="C13" s="377"/>
      <c r="D13" s="382" t="s">
        <v>426</v>
      </c>
      <c r="E13" s="383">
        <f>'Input sheet'!D1/'Financials Multiples'!E72</f>
        <v>10.164196376977</v>
      </c>
      <c r="F13" s="377"/>
      <c r="G13" s="382" t="s">
        <v>427</v>
      </c>
      <c r="H13" s="385" t="inlineStr">
        <is>
          <t xml:space="preserve">n.d.</t>
        </is>
      </c>
    </row>
    <row r="14" ht="15.0" customHeight="1">
      <c r="A14" s="382" t="s">
        <v>428</v>
      </c>
      <c r="B14" s="385">
        <f>'Income Statement'!L19/'Income Statement'!L3</f>
        <v>0.423948398128416</v>
      </c>
      <c r="C14" s="377"/>
      <c r="D14" s="379" t="s">
        <v>429</v>
      </c>
      <c r="E14" s="380" t="inlineStr">
        <is>
          <t xml:space="preserve">n.d. (crecimiento de BPA proyectado negativo)</t>
        </is>
      </c>
      <c r="F14" s="377"/>
      <c r="G14" s="379" t="s">
        <v>430</v>
      </c>
      <c r="H14" s="381">
        <v>-0.0269</v>
      </c>
    </row>
    <row r="15" ht="15.0" customHeight="1">
      <c r="A15" s="379" t="s">
        <v>431</v>
      </c>
      <c r="B15" s="381">
        <f>'Income Statement'!L21/'Income Statement'!L3</f>
        <v>0.331873847983561</v>
      </c>
      <c r="C15" s="377"/>
      <c r="D15" s="382" t="s">
        <v>432</v>
      </c>
      <c r="E15" s="384">
        <f>IFERROR('Trailing Valuation'!L6/'Financials Multiples'!E43,"")</f>
        <v>4.20494583790126</v>
      </c>
      <c r="F15" s="377"/>
      <c r="G15" s="382" t="s">
        <v>433</v>
      </c>
      <c r="H15" s="385" t="inlineStr">
        <is>
          <t xml:space="preserve">n.d.</t>
        </is>
      </c>
    </row>
    <row r="16" ht="15.0" customHeight="1">
      <c r="A16" s="382" t="s">
        <v>434</v>
      </c>
      <c r="B16" s="385">
        <f>'Cash Flow Statement'!L36/'Income Statement'!L3</f>
        <v>0.250562385062884</v>
      </c>
      <c r="C16" s="377"/>
      <c r="D16" s="379" t="s">
        <v>435</v>
      </c>
      <c r="E16" s="380">
        <f>'Trailing Valuation'!L6/'Financials Multiples'!E57</f>
        <v>7.87241288539273</v>
      </c>
      <c r="F16" s="377"/>
      <c r="G16" s="377"/>
      <c r="H16" s="377"/>
    </row>
    <row r="17" ht="15.0" customHeight="1">
      <c r="A17" s="377"/>
      <c r="B17" s="377"/>
      <c r="C17" s="377"/>
      <c r="D17" s="382" t="s">
        <v>436</v>
      </c>
      <c r="E17" s="384">
        <f>IFERROR('Trailing Valuation'!L5/('Financials Multiples'!E65-'Financials Multiples'!E60),"")</f>
        <v>6.50443787402395</v>
      </c>
      <c r="F17" s="377"/>
      <c r="G17" s="378" t="s">
        <v>437</v>
      </c>
      <c r="H17" s="332"/>
    </row>
    <row r="18" ht="15.0" customHeight="1">
      <c r="A18" s="378" t="s">
        <v>438</v>
      </c>
      <c r="B18" s="332"/>
      <c r="C18" s="377"/>
      <c r="D18" s="377"/>
      <c r="E18" s="377"/>
      <c r="F18" s="377"/>
      <c r="G18" s="379" t="s">
        <v>439</v>
      </c>
      <c r="H18" s="380">
        <f>Dividendos!K3</f>
        <v>0.0463604060913706</v>
      </c>
    </row>
    <row r="19" ht="15.0" customHeight="1">
      <c r="A19" s="379" t="s">
        <v>441</v>
      </c>
      <c r="B19" s="381">
        <f>'Eficiencia de capital'!L4</f>
        <v>0.178106072737473</v>
      </c>
      <c r="C19" s="377"/>
      <c r="D19" s="378" t="s">
        <v>442</v>
      </c>
      <c r="E19" s="332"/>
      <c r="F19" s="377"/>
      <c r="G19" s="382" t="s">
        <v>443</v>
      </c>
      <c r="H19" s="383">
        <f>Dividendos!K5</f>
        <v>0.5174</v>
      </c>
    </row>
    <row r="20" ht="15.0" customHeight="1">
      <c r="A20" s="382" t="s">
        <v>444</v>
      </c>
      <c r="B20" s="385">
        <f>IFERROR(('Income Statement'!L12*(1-'Income Statement'!L29))/(('Balance Sheet'!L16+'Balance Sheet'!K16)/2),"")</f>
        <v>0.168869704227895</v>
      </c>
      <c r="C20" s="377"/>
      <c r="D20" s="379" t="s">
        <v>445</v>
      </c>
      <c r="E20" s="380">
        <f>'Balance Sheet'!L5</f>
        <v>6857.1</v>
      </c>
      <c r="F20" s="377"/>
      <c r="G20" s="379" t="s">
        <v>446</v>
      </c>
      <c r="H20" s="380">
        <f>Dividendos!K4</f>
        <v>1.8266</v>
      </c>
    </row>
    <row r="21" ht="15.0" customHeight="1">
      <c r="A21" s="379" t="s">
        <v>447</v>
      </c>
      <c r="B21" s="381">
        <f>'Income Statement'!L22/AVERAGE('Balance Sheet'!L35,'Balance Sheet'!K35)</f>
        <v>0.48810124060829</v>
      </c>
      <c r="C21" s="377"/>
      <c r="D21" s="382" t="s">
        <v>448</v>
      </c>
      <c r="E21" s="388">
        <f>'Balance Sheet'!L20+'Balance Sheet'!L21+'Balance Sheet'!L25+'Balance Sheet'!L26-'Balance Sheet'!L5</f>
        <v>14503.9</v>
      </c>
      <c r="F21" s="377"/>
      <c r="G21" s="382" t="s">
        <v>449</v>
      </c>
      <c r="H21" s="383">
        <v>0.2639</v>
      </c>
    </row>
    <row r="22" ht="15.0" customHeight="1">
      <c r="A22" s="382" t="s">
        <v>450</v>
      </c>
      <c r="B22" s="385">
        <f>'Eficiencia de capital'!L7</f>
        <v>0.359313447771316</v>
      </c>
      <c r="C22" s="377"/>
      <c r="D22" s="379" t="s">
        <v>451</v>
      </c>
      <c r="E22" s="389">
        <f>IFERROR(('Balance Sheet'!L20+'Balance Sheet'!L21+'Balance Sheet'!L25+'Balance Sheet'!L26)/'Balance Sheet'!L35,"")</f>
        <v>0.633265641907416</v>
      </c>
      <c r="F22" s="377"/>
      <c r="G22" s="379" t="s">
        <v>452</v>
      </c>
      <c r="H22" s="380">
        <v>0.2049</v>
      </c>
    </row>
    <row r="23" ht="15.0" customHeight="1">
      <c r="A23" s="379" t="s">
        <v>453</v>
      </c>
      <c r="B23" s="381">
        <f>'Cash Flow Statement'!L37/('Balance Sheet'!L35+'Balance Sheet'!L20+'Balance Sheet'!L21+'Balance Sheet'!L25+'Balance Sheet'!L26-'Balance Sheet'!L5)</f>
        <v>0.308267372096013</v>
      </c>
      <c r="C23" s="377"/>
      <c r="D23" s="382" t="s">
        <v>454</v>
      </c>
      <c r="E23" s="383">
        <f>'Income Statement'!L12/'Income Statement'!L15</f>
        <v>24.2652018395503</v>
      </c>
      <c r="F23" s="377"/>
      <c r="G23" s="382" t="s">
        <v>455</v>
      </c>
      <c r="H23" s="383">
        <v>0.1403</v>
      </c>
    </row>
    <row r="24" ht="15.0" customHeight="1">
      <c r="A24" s="377"/>
      <c r="B24" s="377"/>
      <c r="C24" s="377"/>
      <c r="D24" s="377"/>
      <c r="E24" s="377"/>
      <c r="F24" s="377"/>
      <c r="G24" s="379" t="s">
        <v>456</v>
      </c>
      <c r="H24" s="381">
        <v>-0.0343</v>
      </c>
    </row>
    <row r="25" ht="15.75" customHeight="1">
      <c r="A25" s="77"/>
      <c r="D25" s="77"/>
      <c r="G25" s="77"/>
    </row>
    <row r="26" ht="15.75" customHeight="1">
      <c r="A26" s="77" t="inlineStr">
        <is>
          <t xml:space="preserve">Notas: LTM jun-26 ajustado (excluye reversión 340B y deterioros mayores). Empleados ≈66.700 (informe H1 2026). Tasas H: USD; 10 años = 2015-2025. Proyecciones = consenso stockanalysis (23-sep-2026) en DKK; n.d. = no disponible en la fuente.</t>
        </is>
      </c>
      <c r="D26" s="77"/>
      <c r="G26" s="77"/>
    </row>
    <row r="27" ht="15.75" customHeight="1">
      <c r="A27" s="77"/>
      <c r="D27" s="77"/>
      <c r="G27" s="77"/>
    </row>
    <row r="28" ht="15.75" customHeight="1">
      <c r="A28" s="77"/>
      <c r="D28" s="77"/>
      <c r="G28" s="77"/>
    </row>
    <row r="29" ht="15.75" customHeight="1">
      <c r="A29" s="77"/>
      <c r="D29" s="77"/>
      <c r="G29" s="77"/>
    </row>
    <row r="30" ht="15.75" customHeight="1">
      <c r="A30" s="77"/>
      <c r="D30" s="77"/>
      <c r="G30" s="77"/>
    </row>
    <row r="31" ht="15.75" customHeight="1">
      <c r="A31" s="77"/>
      <c r="D31" s="77"/>
      <c r="G31" s="77"/>
    </row>
    <row r="32" ht="15.75" customHeight="1">
      <c r="A32" s="77"/>
      <c r="D32" s="77"/>
      <c r="G32" s="77"/>
    </row>
    <row r="33" ht="15.75" customHeight="1">
      <c r="A33" s="77"/>
      <c r="D33" s="77"/>
      <c r="G33" s="77"/>
    </row>
    <row r="34" ht="15.75" customHeight="1">
      <c r="A34" s="77"/>
      <c r="D34" s="77"/>
      <c r="G34" s="77"/>
    </row>
    <row r="35" ht="15.75" customHeight="1">
      <c r="A35" s="77"/>
      <c r="D35" s="77"/>
      <c r="G35" s="77"/>
    </row>
    <row r="36" ht="15.75" customHeight="1">
      <c r="A36" s="77"/>
      <c r="D36" s="77"/>
      <c r="G36" s="77"/>
    </row>
    <row r="37" ht="15.75" customHeight="1">
      <c r="A37" s="77"/>
      <c r="D37" s="77"/>
      <c r="G37" s="77"/>
    </row>
    <row r="38" ht="15.75" customHeight="1">
      <c r="A38" s="77"/>
      <c r="D38" s="77"/>
      <c r="G38" s="77"/>
    </row>
    <row r="39" ht="15.75" customHeight="1">
      <c r="A39" s="77"/>
      <c r="D39" s="77"/>
      <c r="G39" s="77"/>
    </row>
    <row r="40" ht="15.75" customHeight="1">
      <c r="A40" s="77"/>
      <c r="D40" s="77"/>
      <c r="G40" s="77"/>
    </row>
    <row r="41" ht="15.75" customHeight="1">
      <c r="A41" s="77"/>
      <c r="D41" s="77"/>
      <c r="G41" s="77"/>
    </row>
    <row r="42" ht="15.75" customHeight="1">
      <c r="A42" s="77"/>
      <c r="D42" s="77"/>
      <c r="G42" s="77"/>
    </row>
    <row r="43" ht="15.75" customHeight="1">
      <c r="A43" s="77"/>
      <c r="D43" s="77"/>
      <c r="G43" s="77"/>
    </row>
    <row r="44" ht="15.75" customHeight="1">
      <c r="A44" s="77"/>
      <c r="D44" s="77"/>
      <c r="G44" s="77"/>
    </row>
    <row r="45" ht="15.75" customHeight="1">
      <c r="A45" s="77"/>
      <c r="D45" s="77"/>
      <c r="G45" s="77"/>
    </row>
    <row r="46" ht="15.75" customHeight="1">
      <c r="A46" s="77"/>
      <c r="D46" s="77"/>
      <c r="G46" s="77"/>
    </row>
    <row r="47" ht="15.75" customHeight="1">
      <c r="A47" s="77"/>
      <c r="D47" s="77"/>
      <c r="G47" s="77"/>
    </row>
    <row r="48" ht="15.75" customHeight="1">
      <c r="A48" s="77"/>
      <c r="D48" s="77"/>
      <c r="G48" s="77"/>
    </row>
    <row r="49" ht="15.75" customHeight="1">
      <c r="A49" s="77"/>
      <c r="D49" s="77"/>
      <c r="G49" s="77"/>
    </row>
    <row r="50" ht="15.75" customHeight="1">
      <c r="A50" s="77"/>
      <c r="D50" s="77"/>
      <c r="G50" s="77"/>
    </row>
    <row r="51" ht="15.75" customHeight="1">
      <c r="A51" s="77"/>
      <c r="D51" s="77"/>
      <c r="G51" s="77"/>
    </row>
    <row r="52" ht="15.75" customHeight="1">
      <c r="A52" s="77"/>
      <c r="D52" s="77"/>
      <c r="G52" s="77"/>
    </row>
    <row r="53" ht="15.75" customHeight="1">
      <c r="A53" s="77"/>
      <c r="D53" s="77"/>
      <c r="G53" s="77"/>
    </row>
    <row r="54" ht="15.75" customHeight="1">
      <c r="A54" s="77"/>
      <c r="D54" s="77"/>
      <c r="G54" s="77"/>
    </row>
    <row r="55" ht="15.75" customHeight="1">
      <c r="A55" s="77"/>
      <c r="D55" s="77"/>
      <c r="G55" s="77"/>
    </row>
    <row r="56" ht="15.75" customHeight="1">
      <c r="A56" s="77"/>
      <c r="D56" s="77"/>
      <c r="G56" s="77"/>
    </row>
    <row r="57" ht="15.75" customHeight="1">
      <c r="A57" s="77"/>
      <c r="D57" s="77"/>
      <c r="G57" s="77"/>
    </row>
    <row r="58" ht="15.75" customHeight="1">
      <c r="A58" s="77"/>
      <c r="D58" s="77"/>
      <c r="G58" s="77"/>
    </row>
    <row r="59" ht="15.75" customHeight="1">
      <c r="A59" s="77"/>
      <c r="D59" s="77"/>
      <c r="G59" s="77"/>
    </row>
    <row r="60" ht="15.75" customHeight="1">
      <c r="A60" s="77"/>
      <c r="D60" s="77"/>
      <c r="G60" s="77"/>
    </row>
    <row r="61" ht="15.75" customHeight="1">
      <c r="A61" s="77"/>
      <c r="D61" s="77"/>
      <c r="G61" s="77"/>
    </row>
    <row r="62" ht="15.75" customHeight="1">
      <c r="A62" s="77"/>
      <c r="D62" s="77"/>
      <c r="G62" s="77"/>
    </row>
    <row r="63" ht="15.75" customHeight="1">
      <c r="A63" s="77"/>
      <c r="D63" s="77"/>
      <c r="G63" s="77"/>
    </row>
    <row r="64" ht="15.75" customHeight="1">
      <c r="A64" s="77"/>
      <c r="D64" s="77"/>
      <c r="G64" s="77"/>
    </row>
    <row r="65" ht="15.75" customHeight="1">
      <c r="A65" s="77"/>
      <c r="D65" s="77"/>
      <c r="G65" s="77"/>
    </row>
    <row r="66" ht="15.75" customHeight="1">
      <c r="A66" s="77"/>
      <c r="D66" s="77"/>
      <c r="G66" s="77"/>
    </row>
    <row r="67" ht="15.75" customHeight="1">
      <c r="A67" s="77"/>
      <c r="D67" s="77"/>
      <c r="G67" s="77"/>
    </row>
    <row r="68" ht="15.75" customHeight="1">
      <c r="A68" s="77"/>
      <c r="D68" s="77"/>
      <c r="G68" s="77"/>
    </row>
    <row r="69" ht="15.75" customHeight="1">
      <c r="A69" s="77"/>
      <c r="D69" s="77"/>
      <c r="G69" s="77"/>
    </row>
    <row r="70" ht="15.75" customHeight="1">
      <c r="A70" s="77"/>
      <c r="D70" s="77"/>
      <c r="G70" s="77"/>
    </row>
    <row r="71" ht="15.75" customHeight="1">
      <c r="A71" s="77"/>
      <c r="D71" s="77"/>
      <c r="G71" s="77"/>
    </row>
    <row r="72" ht="15.75" customHeight="1">
      <c r="A72" s="77"/>
      <c r="D72" s="77"/>
      <c r="G72" s="77"/>
    </row>
    <row r="73" ht="15.75" customHeight="1">
      <c r="A73" s="77"/>
      <c r="D73" s="77"/>
      <c r="G73" s="77"/>
    </row>
    <row r="74" ht="15.75" customHeight="1">
      <c r="A74" s="77"/>
      <c r="D74" s="77"/>
      <c r="G74" s="77"/>
    </row>
    <row r="75" ht="15.75" customHeight="1">
      <c r="A75" s="77"/>
      <c r="D75" s="77"/>
      <c r="G75" s="77"/>
    </row>
    <row r="76" ht="15.75" customHeight="1">
      <c r="A76" s="77"/>
      <c r="D76" s="77"/>
      <c r="G76" s="77"/>
    </row>
    <row r="77" ht="15.75" customHeight="1">
      <c r="A77" s="77"/>
      <c r="D77" s="77"/>
      <c r="G77" s="77"/>
    </row>
    <row r="78" ht="15.75" customHeight="1">
      <c r="A78" s="77"/>
      <c r="D78" s="77"/>
      <c r="G78" s="77"/>
    </row>
    <row r="79" ht="15.75" customHeight="1">
      <c r="A79" s="77"/>
      <c r="D79" s="77"/>
      <c r="G79" s="77"/>
    </row>
    <row r="80" ht="15.75" customHeight="1">
      <c r="A80" s="77"/>
      <c r="D80" s="77"/>
      <c r="G80" s="77"/>
    </row>
    <row r="81" ht="15.75" customHeight="1">
      <c r="A81" s="77"/>
      <c r="D81" s="77"/>
      <c r="G81" s="77"/>
    </row>
    <row r="82" ht="15.75" customHeight="1">
      <c r="A82" s="77"/>
      <c r="D82" s="77"/>
      <c r="G82" s="77"/>
    </row>
    <row r="83" ht="15.75" customHeight="1">
      <c r="A83" s="77"/>
      <c r="D83" s="77"/>
      <c r="G83" s="77"/>
    </row>
    <row r="84" ht="15.75" customHeight="1">
      <c r="A84" s="77"/>
      <c r="D84" s="77"/>
      <c r="G84" s="77"/>
    </row>
    <row r="85" ht="15.75" customHeight="1">
      <c r="A85" s="77"/>
      <c r="D85" s="77"/>
      <c r="G85" s="77"/>
    </row>
    <row r="86" ht="15.75" customHeight="1">
      <c r="A86" s="77"/>
      <c r="D86" s="77"/>
      <c r="G86" s="77"/>
    </row>
    <row r="87" ht="15.75" customHeight="1">
      <c r="A87" s="77"/>
      <c r="D87" s="77"/>
      <c r="G87" s="77"/>
    </row>
    <row r="88" ht="15.75" customHeight="1">
      <c r="A88" s="77"/>
      <c r="D88" s="77"/>
      <c r="G88" s="77"/>
    </row>
    <row r="89" ht="15.75" customHeight="1">
      <c r="A89" s="77"/>
      <c r="D89" s="77"/>
      <c r="G89" s="77"/>
    </row>
    <row r="90" ht="15.75" customHeight="1">
      <c r="A90" s="77"/>
      <c r="D90" s="77"/>
      <c r="G90" s="77"/>
    </row>
    <row r="91" ht="15.75" customHeight="1">
      <c r="A91" s="77"/>
      <c r="D91" s="77"/>
      <c r="G91" s="77"/>
    </row>
    <row r="92" ht="15.75" customHeight="1">
      <c r="A92" s="77"/>
      <c r="D92" s="77"/>
      <c r="G92" s="77"/>
    </row>
    <row r="93" ht="15.75" customHeight="1">
      <c r="A93" s="77"/>
      <c r="D93" s="77"/>
      <c r="G93" s="77"/>
    </row>
    <row r="94" ht="15.75" customHeight="1">
      <c r="A94" s="77"/>
      <c r="D94" s="77"/>
      <c r="G94" s="77"/>
    </row>
    <row r="95" ht="15.75" customHeight="1">
      <c r="A95" s="77"/>
      <c r="D95" s="77"/>
      <c r="G95" s="77"/>
    </row>
    <row r="96" ht="15.75" customHeight="1">
      <c r="A96" s="77"/>
      <c r="D96" s="77"/>
      <c r="G96" s="77"/>
    </row>
    <row r="97" ht="15.75" customHeight="1">
      <c r="A97" s="77"/>
      <c r="D97" s="77"/>
      <c r="G97" s="77"/>
    </row>
    <row r="98" ht="15.75" customHeight="1">
      <c r="A98" s="77"/>
      <c r="D98" s="77"/>
      <c r="G98" s="77"/>
    </row>
    <row r="99" ht="15.75" customHeight="1">
      <c r="A99" s="77"/>
      <c r="D99" s="77"/>
      <c r="G99" s="77"/>
    </row>
    <row r="100" ht="15.75" customHeight="1">
      <c r="A100" s="77"/>
      <c r="D100" s="77"/>
      <c r="G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8:B18"/>
    <mergeCell ref="D19:E19"/>
    <mergeCell ref="A1:G1"/>
    <mergeCell ref="A3:B3"/>
    <mergeCell ref="D3:E3"/>
    <mergeCell ref="G3:H3"/>
    <mergeCell ref="A10:B10"/>
    <mergeCell ref="D11:E11"/>
    <mergeCell ref="G17:H17"/>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75"/>
    <col customWidth="1" min="2" max="16" width="8.88"/>
    <col customWidth="1" min="17" max="26" width="11.25"/>
  </cols>
  <sheetData>
    <row r="1" ht="37.5" customHeight="1">
      <c r="A1" s="2" t="str">
        <f>'Input sheet'!A1</f>
        <v>Novo Nordisk (NYSE:NVO)</v>
      </c>
      <c r="B1" s="2"/>
      <c r="C1" s="2" t="s">
        <v>57</v>
      </c>
      <c r="D1" s="2">
        <f>'Input sheet'!D1</f>
        <v>39.4</v>
      </c>
      <c r="E1" s="7"/>
      <c r="F1" s="7"/>
      <c r="G1" s="7"/>
      <c r="H1" s="7"/>
      <c r="I1" s="7"/>
      <c r="J1" s="7"/>
      <c r="K1" s="7"/>
      <c r="L1" s="7"/>
      <c r="M1" s="7"/>
      <c r="N1" s="7"/>
      <c r="O1" s="7"/>
      <c r="P1" s="7"/>
    </row>
    <row r="2" ht="14.25" customHeight="1">
      <c r="A2" s="392" t="s">
        <v>462</v>
      </c>
      <c r="B2" s="392" t="inlineStr">
        <is>
          <t xml:space="preserve">Dec '16</t>
        </is>
      </c>
      <c r="C2" s="392" t="inlineStr">
        <is>
          <t xml:space="preserve">Dec '17</t>
        </is>
      </c>
      <c r="D2" s="392" t="inlineStr">
        <is>
          <t xml:space="preserve">Dec '18</t>
        </is>
      </c>
      <c r="E2" s="392" t="inlineStr">
        <is>
          <t xml:space="preserve">Dec '19</t>
        </is>
      </c>
      <c r="F2" s="392" t="inlineStr">
        <is>
          <t xml:space="preserve">Dec '20</t>
        </is>
      </c>
      <c r="G2" s="392" t="inlineStr">
        <is>
          <t xml:space="preserve">Dec '21</t>
        </is>
      </c>
      <c r="H2" s="392" t="inlineStr">
        <is>
          <t xml:space="preserve">Dec '22</t>
        </is>
      </c>
      <c r="I2" s="392" t="inlineStr">
        <is>
          <t xml:space="preserve">Dec '23</t>
        </is>
      </c>
      <c r="J2" s="392" t="inlineStr">
        <is>
          <t xml:space="preserve">Dec '24</t>
        </is>
      </c>
      <c r="K2" s="392" t="inlineStr">
        <is>
          <t xml:space="preserve">Dec '25</t>
        </is>
      </c>
      <c r="L2" s="392" t="inlineStr">
        <is>
          <t xml:space="preserve">LTM jun-26 (aj.)</t>
        </is>
      </c>
      <c r="M2" s="392" t="inlineStr">
        <is>
          <t xml:space="preserve">Dec '26 (E)</t>
        </is>
      </c>
      <c r="N2" s="9"/>
      <c r="O2" s="9"/>
      <c r="P2" s="9"/>
    </row>
    <row r="3" ht="14.25" customHeight="1">
      <c r="A3" s="401" t="s">
        <v>473</v>
      </c>
      <c r="B3" s="402">
        <v>16610.1</v>
      </c>
      <c r="C3" s="402">
        <v>16928.1</v>
      </c>
      <c r="D3" s="402">
        <v>17702.3</v>
      </c>
      <c r="E3" s="402">
        <v>18293.3</v>
      </c>
      <c r="F3" s="402">
        <v>19421.4</v>
      </c>
      <c r="G3" s="402">
        <v>22379.1</v>
      </c>
      <c r="H3" s="402">
        <v>24990.8</v>
      </c>
      <c r="I3" s="402">
        <v>33697.5</v>
      </c>
      <c r="J3" s="402">
        <v>42130.2</v>
      </c>
      <c r="K3" s="402">
        <v>46702.4</v>
      </c>
      <c r="L3" s="402">
        <v>47254.1</v>
      </c>
      <c r="M3" s="406"/>
      <c r="N3" s="9"/>
      <c r="O3" s="9"/>
      <c r="P3" s="9"/>
    </row>
    <row r="4" ht="14.25" customHeight="1">
      <c r="A4" s="401" t="s">
        <v>478</v>
      </c>
      <c r="B4" s="407">
        <v>0.0354</v>
      </c>
      <c r="C4" s="407">
        <v>0.0191</v>
      </c>
      <c r="D4" s="407">
        <v>0.0457</v>
      </c>
      <c r="E4" s="407">
        <v>0.0334</v>
      </c>
      <c r="F4" s="407">
        <v>0.0617</v>
      </c>
      <c r="G4" s="407">
        <v>0.1523</v>
      </c>
      <c r="H4" s="407">
        <v>0.1167</v>
      </c>
      <c r="I4" s="407">
        <v>0.3484</v>
      </c>
      <c r="J4" s="407">
        <v>0.2502</v>
      </c>
      <c r="K4" s="407">
        <v>0.1085</v>
      </c>
      <c r="L4" s="407">
        <v>0.0487</v>
      </c>
      <c r="M4" s="411"/>
      <c r="N4" s="9"/>
      <c r="O4" s="9"/>
      <c r="P4" s="9"/>
    </row>
    <row r="5" ht="14.25" customHeight="1">
      <c r="A5" s="401" t="s">
        <v>482</v>
      </c>
      <c r="B5" s="402">
        <v>2553.3</v>
      </c>
      <c r="C5" s="402">
        <v>2672.2</v>
      </c>
      <c r="D5" s="402">
        <v>2788.7</v>
      </c>
      <c r="E5" s="402">
        <v>3011.6</v>
      </c>
      <c r="F5" s="402">
        <v>3202.4</v>
      </c>
      <c r="G5" s="402">
        <v>3760.3</v>
      </c>
      <c r="H5" s="402">
        <v>4017.6</v>
      </c>
      <c r="I5" s="402">
        <v>5189.0</v>
      </c>
      <c r="J5" s="402">
        <v>6459.0</v>
      </c>
      <c r="K5" s="402">
        <v>8883.4</v>
      </c>
      <c r="L5" s="402">
        <v>9952.9</v>
      </c>
      <c r="M5" s="406"/>
      <c r="N5" s="9"/>
      <c r="O5" s="9"/>
      <c r="P5" s="9"/>
    </row>
    <row r="6" ht="14.25" customHeight="1">
      <c r="A6" s="412" t="s">
        <v>486</v>
      </c>
      <c r="B6" s="413">
        <v>14056.8</v>
      </c>
      <c r="C6" s="413">
        <v>14255.9</v>
      </c>
      <c r="D6" s="413">
        <v>14913.6</v>
      </c>
      <c r="E6" s="413">
        <v>15281.7</v>
      </c>
      <c r="F6" s="413">
        <v>16219.0</v>
      </c>
      <c r="G6" s="413">
        <v>18618.8</v>
      </c>
      <c r="H6" s="413">
        <v>20973.2</v>
      </c>
      <c r="I6" s="413">
        <v>28508.6</v>
      </c>
      <c r="J6" s="413">
        <v>35671.2</v>
      </c>
      <c r="K6" s="413">
        <v>37819.0</v>
      </c>
      <c r="L6" s="413">
        <v>37301.2</v>
      </c>
      <c r="M6" s="414"/>
      <c r="N6" s="9"/>
      <c r="O6" s="9"/>
      <c r="P6" s="9"/>
    </row>
    <row r="7" ht="14.25" customHeight="1">
      <c r="A7" s="401" t="s">
        <v>490</v>
      </c>
      <c r="B7" s="407">
        <v>0.8463</v>
      </c>
      <c r="C7" s="407">
        <v>0.8421</v>
      </c>
      <c r="D7" s="407">
        <v>0.8425</v>
      </c>
      <c r="E7" s="407">
        <v>0.8354</v>
      </c>
      <c r="F7" s="407">
        <v>0.8351</v>
      </c>
      <c r="G7" s="407">
        <v>0.832</v>
      </c>
      <c r="H7" s="407">
        <v>0.8392</v>
      </c>
      <c r="I7" s="407">
        <v>0.846</v>
      </c>
      <c r="J7" s="407">
        <v>0.8467</v>
      </c>
      <c r="K7" s="407">
        <v>0.8098</v>
      </c>
      <c r="L7" s="407">
        <v>0.7894</v>
      </c>
      <c r="M7" s="415"/>
      <c r="N7" s="9"/>
      <c r="O7" s="9"/>
      <c r="P7" s="9"/>
    </row>
    <row r="8" ht="14.25" customHeight="1">
      <c r="A8" s="401" t="s">
        <v>494</v>
      </c>
      <c r="B8" s="402">
        <v>4805.5</v>
      </c>
      <c r="C8" s="402">
        <v>4868.6</v>
      </c>
      <c r="D8" s="402">
        <v>5273.3</v>
      </c>
      <c r="E8" s="402">
        <v>5371.6</v>
      </c>
      <c r="F8" s="402">
        <v>5643.2</v>
      </c>
      <c r="G8" s="402">
        <v>6525.8</v>
      </c>
      <c r="H8" s="402">
        <v>7158.0</v>
      </c>
      <c r="I8" s="402">
        <v>8936.9</v>
      </c>
      <c r="J8" s="402">
        <v>9774.7</v>
      </c>
      <c r="K8" s="402">
        <v>10619.8</v>
      </c>
      <c r="L8" s="402">
        <v>10123.2</v>
      </c>
      <c r="M8" s="406"/>
      <c r="N8" s="9"/>
      <c r="O8" s="9"/>
      <c r="P8" s="9"/>
    </row>
    <row r="9" ht="14.25" customHeight="1">
      <c r="A9" s="401" t="s">
        <v>498</v>
      </c>
      <c r="B9" s="402">
        <v>0</v>
      </c>
      <c r="C9" s="402">
        <v>0</v>
      </c>
      <c r="D9" s="402">
        <v>0</v>
      </c>
      <c r="E9" s="402">
        <v>0</v>
      </c>
      <c r="F9" s="402">
        <v>0</v>
      </c>
      <c r="G9" s="402">
        <v>0</v>
      </c>
      <c r="H9" s="402">
        <v>0</v>
      </c>
      <c r="I9" s="402">
        <v>0</v>
      </c>
      <c r="J9" s="402">
        <v>0</v>
      </c>
      <c r="K9" s="402">
        <v>0</v>
      </c>
      <c r="L9" s="402">
        <v>0</v>
      </c>
      <c r="M9" s="406"/>
      <c r="N9" s="9"/>
      <c r="O9" s="9"/>
      <c r="P9" s="9"/>
    </row>
    <row r="10" ht="14.25" customHeight="1">
      <c r="A10" s="401" t="s">
        <v>502</v>
      </c>
      <c r="B10" s="402">
        <v>2164.0</v>
      </c>
      <c r="C10" s="402">
        <v>2123.9</v>
      </c>
      <c r="D10" s="402">
        <v>2343.6</v>
      </c>
      <c r="E10" s="402">
        <v>2131.9</v>
      </c>
      <c r="F10" s="402">
        <v>2365.5</v>
      </c>
      <c r="G10" s="402">
        <v>2824.7</v>
      </c>
      <c r="H10" s="402">
        <v>3396.1</v>
      </c>
      <c r="I10" s="402">
        <v>4707.0</v>
      </c>
      <c r="J10" s="402">
        <v>6972.6</v>
      </c>
      <c r="K10" s="402">
        <v>7863.6</v>
      </c>
      <c r="L10" s="402">
        <v>8084.7</v>
      </c>
      <c r="M10" s="406"/>
      <c r="N10" s="9"/>
      <c r="O10" s="9"/>
      <c r="P10" s="9"/>
    </row>
    <row r="11" ht="14.25" customHeight="1">
      <c r="A11" s="401" t="s">
        <v>507</v>
      </c>
      <c r="B11" s="402">
        <v>-109.5</v>
      </c>
      <c r="C11" s="402">
        <v>-157.8</v>
      </c>
      <c r="D11" s="402">
        <v>-182.4</v>
      </c>
      <c r="E11" s="402">
        <v>-90.0</v>
      </c>
      <c r="F11" s="402">
        <v>-70.4</v>
      </c>
      <c r="G11" s="402">
        <v>-52.8</v>
      </c>
      <c r="H11" s="402">
        <v>-146.0</v>
      </c>
      <c r="I11" s="402">
        <v>-17.3</v>
      </c>
      <c r="J11" s="402">
        <v>305.1</v>
      </c>
      <c r="K11" s="402">
        <v>45.3</v>
      </c>
      <c r="L11" s="402">
        <v>98.5</v>
      </c>
      <c r="M11" s="418"/>
      <c r="N11" s="9"/>
      <c r="O11" s="9"/>
      <c r="P11" s="9"/>
    </row>
    <row r="12" ht="14.25" customHeight="1">
      <c r="A12" s="412" t="s">
        <v>512</v>
      </c>
      <c r="B12" s="413">
        <v>7196.8</v>
      </c>
      <c r="C12" s="413">
        <v>7421.2</v>
      </c>
      <c r="D12" s="413">
        <v>7479.1</v>
      </c>
      <c r="E12" s="413">
        <v>7868.2</v>
      </c>
      <c r="F12" s="413">
        <v>8280.7</v>
      </c>
      <c r="G12" s="413">
        <v>9321.0</v>
      </c>
      <c r="H12" s="413">
        <v>10565.1</v>
      </c>
      <c r="I12" s="413">
        <v>14881.9</v>
      </c>
      <c r="J12" s="413">
        <v>18618.8</v>
      </c>
      <c r="K12" s="413">
        <v>19290.3</v>
      </c>
      <c r="L12" s="413">
        <v>18994.8</v>
      </c>
      <c r="M12" s="414"/>
      <c r="N12" s="9"/>
      <c r="O12" s="9"/>
      <c r="P12" s="9"/>
    </row>
    <row r="13" ht="14.25" customHeight="1">
      <c r="A13" s="401" t="s">
        <v>521</v>
      </c>
      <c r="B13" s="407">
        <v>0.4333</v>
      </c>
      <c r="C13" s="407">
        <v>0.4384</v>
      </c>
      <c r="D13" s="407">
        <v>0.4225</v>
      </c>
      <c r="E13" s="407">
        <v>0.4301</v>
      </c>
      <c r="F13" s="407">
        <v>0.4264</v>
      </c>
      <c r="G13" s="407">
        <v>0.4165</v>
      </c>
      <c r="H13" s="407">
        <v>0.4228</v>
      </c>
      <c r="I13" s="407">
        <v>0.4416</v>
      </c>
      <c r="J13" s="407">
        <v>0.4419</v>
      </c>
      <c r="K13" s="407">
        <v>0.413</v>
      </c>
      <c r="L13" s="407">
        <v>0.402</v>
      </c>
      <c r="M13" s="415"/>
      <c r="N13" s="9"/>
      <c r="O13" s="9"/>
      <c r="P13" s="9"/>
    </row>
    <row r="14" ht="14.25" customHeight="1">
      <c r="A14" s="421" t="s">
        <v>527</v>
      </c>
      <c r="B14" s="402">
        <v>16.9</v>
      </c>
      <c r="C14" s="402">
        <v>15.3</v>
      </c>
      <c r="D14" s="402">
        <v>8.1</v>
      </c>
      <c r="E14" s="402">
        <v>9.7</v>
      </c>
      <c r="F14" s="402">
        <v>51.6</v>
      </c>
      <c r="G14" s="402">
        <v>36.7</v>
      </c>
      <c r="H14" s="402">
        <v>33.8</v>
      </c>
      <c r="I14" s="402">
        <v>155.1</v>
      </c>
      <c r="J14" s="402">
        <v>266.6</v>
      </c>
      <c r="K14" s="402">
        <v>191.8</v>
      </c>
      <c r="L14" s="402">
        <v>122.9</v>
      </c>
      <c r="M14" s="406"/>
      <c r="N14" s="9"/>
      <c r="O14" s="9"/>
      <c r="P14" s="9"/>
    </row>
    <row r="15" ht="14.25" customHeight="1">
      <c r="A15" s="424" t="s">
        <v>530</v>
      </c>
      <c r="B15" s="402">
        <v>9.8</v>
      </c>
      <c r="C15" s="402">
        <v>13.2</v>
      </c>
      <c r="D15" s="402">
        <v>14.1</v>
      </c>
      <c r="E15" s="402">
        <v>33.0</v>
      </c>
      <c r="F15" s="402">
        <v>59.7</v>
      </c>
      <c r="G15" s="402">
        <v>45.9</v>
      </c>
      <c r="H15" s="402">
        <v>53.4</v>
      </c>
      <c r="I15" s="402">
        <v>78.6</v>
      </c>
      <c r="J15" s="402">
        <v>237.9</v>
      </c>
      <c r="K15" s="402">
        <v>635.7</v>
      </c>
      <c r="L15" s="402">
        <v>782.8</v>
      </c>
      <c r="M15" s="406"/>
      <c r="N15" s="9"/>
      <c r="O15" s="9"/>
      <c r="P15" s="9"/>
    </row>
    <row r="16" ht="14.25" customHeight="1">
      <c r="A16" s="424" t="s">
        <v>534</v>
      </c>
      <c r="B16" s="402">
        <f t="shared" ref="B16:M16" si="1">B14-B15</f>
        <v>7.1</v>
      </c>
      <c r="C16" s="402">
        <f t="shared" si="1"/>
        <v>2.1</v>
      </c>
      <c r="D16" s="402">
        <f t="shared" si="1"/>
        <v>-6.0</v>
      </c>
      <c r="E16" s="402">
        <f t="shared" si="1"/>
        <v>-23.3</v>
      </c>
      <c r="F16" s="402">
        <f t="shared" si="1"/>
        <v>-8.1</v>
      </c>
      <c r="G16" s="402">
        <f t="shared" si="1"/>
        <v>-9.2</v>
      </c>
      <c r="H16" s="402">
        <f t="shared" si="1"/>
        <v>-19.6</v>
      </c>
      <c r="I16" s="402">
        <f t="shared" si="1"/>
        <v>76.5</v>
      </c>
      <c r="J16" s="402">
        <f t="shared" si="1"/>
        <v>28.7</v>
      </c>
      <c r="K16" s="402">
        <f t="shared" si="1"/>
        <v>-443.9</v>
      </c>
      <c r="L16" s="402">
        <f t="shared" si="1"/>
        <v>-659.9</v>
      </c>
      <c r="M16" s="402">
        <f t="shared" si="1"/>
        <v>0.0</v>
      </c>
      <c r="N16" s="9"/>
      <c r="O16" s="9"/>
      <c r="P16" s="9"/>
    </row>
    <row r="17" ht="14.25" customHeight="1">
      <c r="A17" s="401" t="s">
        <v>542</v>
      </c>
      <c r="B17" s="402">
        <v>-101.3</v>
      </c>
      <c r="C17" s="402">
        <v>-45.6</v>
      </c>
      <c r="D17" s="402">
        <v>64.1</v>
      </c>
      <c r="E17" s="402">
        <v>-565.9</v>
      </c>
      <c r="F17" s="402">
        <v>-144.3</v>
      </c>
      <c r="G17" s="402">
        <v>78.5</v>
      </c>
      <c r="H17" s="402">
        <v>-792.0</v>
      </c>
      <c r="I17" s="402">
        <v>228.2</v>
      </c>
      <c r="J17" s="402">
        <v>-195.3</v>
      </c>
      <c r="K17" s="402">
        <v>879.5</v>
      </c>
      <c r="L17" s="402">
        <v>1698.5</v>
      </c>
      <c r="M17" s="406"/>
      <c r="N17" s="9"/>
      <c r="O17" s="9"/>
      <c r="P17" s="9"/>
    </row>
    <row r="18" ht="14.25" customHeight="1">
      <c r="A18" s="427" t="s">
        <v>545</v>
      </c>
      <c r="B18" s="428">
        <v>-94.2</v>
      </c>
      <c r="C18" s="428">
        <v>-43.5</v>
      </c>
      <c r="D18" s="428">
        <v>58.1</v>
      </c>
      <c r="E18" s="428">
        <v>-589.2</v>
      </c>
      <c r="F18" s="428">
        <v>-152.4</v>
      </c>
      <c r="G18" s="428">
        <v>69.3</v>
      </c>
      <c r="H18" s="428">
        <v>-811.6</v>
      </c>
      <c r="I18" s="428">
        <v>304.7</v>
      </c>
      <c r="J18" s="428">
        <v>-166.5</v>
      </c>
      <c r="K18" s="428">
        <v>435.5</v>
      </c>
      <c r="L18" s="428">
        <v>1038.5</v>
      </c>
      <c r="M18" s="429"/>
      <c r="N18" s="9"/>
      <c r="O18" s="9"/>
      <c r="P18" s="9"/>
    </row>
    <row r="19" ht="14.25" customHeight="1">
      <c r="A19" s="427" t="s">
        <v>551</v>
      </c>
      <c r="B19" s="428">
        <v>7102.6</v>
      </c>
      <c r="C19" s="428">
        <v>7377.7</v>
      </c>
      <c r="D19" s="428">
        <v>7537.2</v>
      </c>
      <c r="E19" s="428">
        <v>7279.0</v>
      </c>
      <c r="F19" s="428">
        <v>8128.3</v>
      </c>
      <c r="G19" s="428">
        <v>9390.3</v>
      </c>
      <c r="H19" s="428">
        <v>9753.5</v>
      </c>
      <c r="I19" s="428">
        <v>15186.6</v>
      </c>
      <c r="J19" s="428">
        <v>18452.2</v>
      </c>
      <c r="K19" s="428">
        <v>19725.8</v>
      </c>
      <c r="L19" s="428">
        <v>20033.3</v>
      </c>
      <c r="M19" s="429"/>
      <c r="N19" s="9"/>
      <c r="O19" s="9"/>
      <c r="P19" s="9"/>
    </row>
    <row r="20" ht="14.25" customHeight="1">
      <c r="A20" s="401" t="s">
        <v>556</v>
      </c>
      <c r="B20" s="402">
        <v>1467.1</v>
      </c>
      <c r="C20" s="402">
        <v>1598.9</v>
      </c>
      <c r="D20" s="402">
        <v>1422.6</v>
      </c>
      <c r="E20" s="402">
        <v>1439.5</v>
      </c>
      <c r="F20" s="402">
        <v>1681.7</v>
      </c>
      <c r="G20" s="402">
        <v>1799.7</v>
      </c>
      <c r="H20" s="402">
        <v>1911.8</v>
      </c>
      <c r="I20" s="402">
        <v>3045.5</v>
      </c>
      <c r="J20" s="402">
        <v>3801.4</v>
      </c>
      <c r="K20" s="402">
        <v>4247.1</v>
      </c>
      <c r="L20" s="402">
        <v>4350.9</v>
      </c>
      <c r="M20" s="406"/>
      <c r="N20" s="9"/>
      <c r="O20" s="9"/>
      <c r="P20" s="9"/>
    </row>
    <row r="21" ht="14.25" customHeight="1">
      <c r="A21" s="412" t="s">
        <v>560</v>
      </c>
      <c r="B21" s="413">
        <v>5635.5</v>
      </c>
      <c r="C21" s="413">
        <v>5778.8</v>
      </c>
      <c r="D21" s="413">
        <v>6114.6</v>
      </c>
      <c r="E21" s="413">
        <v>5839.5</v>
      </c>
      <c r="F21" s="413">
        <v>6446.7</v>
      </c>
      <c r="G21" s="413">
        <v>7590.6</v>
      </c>
      <c r="H21" s="413">
        <v>7841.7</v>
      </c>
      <c r="I21" s="413">
        <v>12141.1</v>
      </c>
      <c r="J21" s="413">
        <v>14650.8</v>
      </c>
      <c r="K21" s="413">
        <v>15478.7</v>
      </c>
      <c r="L21" s="413">
        <v>15682.4</v>
      </c>
      <c r="M21" s="414"/>
      <c r="N21" s="9"/>
      <c r="O21" s="9"/>
      <c r="P21" s="9"/>
    </row>
    <row r="22" ht="14.25" customHeight="1">
      <c r="A22" s="427" t="s">
        <v>562</v>
      </c>
      <c r="B22" s="428">
        <v>5635.5</v>
      </c>
      <c r="C22" s="428">
        <v>5778.8</v>
      </c>
      <c r="D22" s="428">
        <v>6114.6</v>
      </c>
      <c r="E22" s="428">
        <v>5839.5</v>
      </c>
      <c r="F22" s="428">
        <v>6446.7</v>
      </c>
      <c r="G22" s="428">
        <v>7590.6</v>
      </c>
      <c r="H22" s="428">
        <v>7841.7</v>
      </c>
      <c r="I22" s="428">
        <v>12141.1</v>
      </c>
      <c r="J22" s="428">
        <v>14650.8</v>
      </c>
      <c r="K22" s="428">
        <v>15478.7</v>
      </c>
      <c r="L22" s="428">
        <v>15682.4</v>
      </c>
      <c r="M22" s="429"/>
      <c r="N22" s="9"/>
      <c r="O22" s="9"/>
      <c r="P22" s="9"/>
    </row>
    <row r="23" ht="14.25" customHeight="1">
      <c r="A23" s="401" t="s">
        <v>563</v>
      </c>
      <c r="B23" s="435">
        <v>1.114</v>
      </c>
      <c r="C23" s="435">
        <v>1.168</v>
      </c>
      <c r="D23" s="435">
        <v>1.263</v>
      </c>
      <c r="E23" s="435">
        <v>1.23</v>
      </c>
      <c r="F23" s="435">
        <v>1.381</v>
      </c>
      <c r="G23" s="435">
        <v>1.653</v>
      </c>
      <c r="H23" s="435">
        <v>1.731</v>
      </c>
      <c r="I23" s="435">
        <v>2.709</v>
      </c>
      <c r="J23" s="435">
        <v>3.289</v>
      </c>
      <c r="K23" s="435">
        <v>3.485</v>
      </c>
      <c r="L23" s="435">
        <v>3.534</v>
      </c>
      <c r="M23" s="436"/>
      <c r="N23" s="9"/>
      <c r="O23" s="9"/>
      <c r="P23" s="9"/>
    </row>
    <row r="24" ht="14.25" customHeight="1">
      <c r="A24" s="401" t="s">
        <v>564</v>
      </c>
      <c r="B24" s="435">
        <v>1.112</v>
      </c>
      <c r="C24" s="435">
        <v>1.166</v>
      </c>
      <c r="D24" s="435">
        <v>1.261</v>
      </c>
      <c r="E24" s="435">
        <v>1.228</v>
      </c>
      <c r="F24" s="435">
        <v>1.378</v>
      </c>
      <c r="G24" s="435">
        <v>1.648</v>
      </c>
      <c r="H24" s="435">
        <v>1.726</v>
      </c>
      <c r="I24" s="435">
        <v>2.701</v>
      </c>
      <c r="J24" s="435">
        <v>3.283</v>
      </c>
      <c r="K24" s="435">
        <v>3.48</v>
      </c>
      <c r="L24" s="435">
        <v>3.53</v>
      </c>
      <c r="M24" s="436"/>
      <c r="N24" s="9"/>
      <c r="O24" s="9"/>
      <c r="P24" s="9"/>
    </row>
    <row r="25" ht="14.25" customHeight="1">
      <c r="A25" s="401" t="s">
        <v>565</v>
      </c>
      <c r="B25" s="435">
        <v>5060.0</v>
      </c>
      <c r="C25" s="435">
        <v>4945.5</v>
      </c>
      <c r="D25" s="435">
        <v>4840.6</v>
      </c>
      <c r="E25" s="435">
        <v>4748.6</v>
      </c>
      <c r="F25" s="435">
        <v>4667.8</v>
      </c>
      <c r="G25" s="435">
        <v>4593.2</v>
      </c>
      <c r="H25" s="435">
        <v>4530.6</v>
      </c>
      <c r="I25" s="435">
        <v>4482.8</v>
      </c>
      <c r="J25" s="435">
        <v>4453.9</v>
      </c>
      <c r="K25" s="435">
        <v>4443.0</v>
      </c>
      <c r="L25" s="435">
        <v>4438.2</v>
      </c>
      <c r="M25" s="436"/>
      <c r="N25" s="9"/>
      <c r="O25" s="9"/>
      <c r="P25" s="9"/>
    </row>
    <row r="26" ht="14.25" customHeight="1">
      <c r="A26" s="401" t="s">
        <v>566</v>
      </c>
      <c r="B26" s="435">
        <v>5070.2</v>
      </c>
      <c r="C26" s="435">
        <v>4955.2</v>
      </c>
      <c r="D26" s="435">
        <v>4849.7</v>
      </c>
      <c r="E26" s="435">
        <v>4757.4</v>
      </c>
      <c r="F26" s="435">
        <v>4680.0</v>
      </c>
      <c r="G26" s="435">
        <v>4606.2</v>
      </c>
      <c r="H26" s="435">
        <v>4544.6</v>
      </c>
      <c r="I26" s="435">
        <v>4494.8</v>
      </c>
      <c r="J26" s="435">
        <v>4463.0</v>
      </c>
      <c r="K26" s="435">
        <v>4447.7</v>
      </c>
      <c r="L26" s="435">
        <v>4442.2</v>
      </c>
      <c r="M26" s="436"/>
      <c r="N26" s="9"/>
      <c r="O26" s="9"/>
      <c r="P26" s="9"/>
    </row>
    <row r="27" ht="14.25" customHeight="1">
      <c r="A27" s="401" t="s">
        <v>567</v>
      </c>
      <c r="B27" s="435">
        <v>5060.0</v>
      </c>
      <c r="C27" s="435">
        <v>4945.5</v>
      </c>
      <c r="D27" s="435">
        <v>4840.6</v>
      </c>
      <c r="E27" s="435">
        <v>4748.6</v>
      </c>
      <c r="F27" s="435">
        <v>4667.8</v>
      </c>
      <c r="G27" s="435">
        <v>4593.2</v>
      </c>
      <c r="H27" s="435">
        <v>4530.6</v>
      </c>
      <c r="I27" s="435">
        <v>4482.8</v>
      </c>
      <c r="J27" s="435">
        <v>4453.9</v>
      </c>
      <c r="K27" s="435">
        <v>4443.0</v>
      </c>
      <c r="L27" s="435">
        <v>4416.8</v>
      </c>
      <c r="M27" s="436"/>
      <c r="N27" s="9"/>
      <c r="O27" s="9"/>
      <c r="P27" s="9"/>
    </row>
    <row r="28" ht="14.25" customHeight="1">
      <c r="A28" s="412" t="s">
        <v>147</v>
      </c>
      <c r="B28" s="413">
        <v>7671.3</v>
      </c>
      <c r="C28" s="413">
        <v>7903.4</v>
      </c>
      <c r="D28" s="413">
        <v>8100.4</v>
      </c>
      <c r="E28" s="413">
        <v>8716.9</v>
      </c>
      <c r="F28" s="413">
        <v>9160.9</v>
      </c>
      <c r="G28" s="413">
        <v>10278.6</v>
      </c>
      <c r="H28" s="413">
        <v>11604.8</v>
      </c>
      <c r="I28" s="413">
        <v>16247.6</v>
      </c>
      <c r="J28" s="413">
        <v>21390.7</v>
      </c>
      <c r="K28" s="413">
        <v>22612.0</v>
      </c>
      <c r="L28" s="413">
        <v>22247.0</v>
      </c>
      <c r="M28" s="437"/>
      <c r="N28" s="9"/>
      <c r="O28" s="9"/>
      <c r="P28" s="9"/>
    </row>
    <row r="29" ht="14.25" customHeight="1">
      <c r="A29" s="401" t="s">
        <v>568</v>
      </c>
      <c r="B29" s="438">
        <v>0.2066</v>
      </c>
      <c r="C29" s="438">
        <v>0.2167</v>
      </c>
      <c r="D29" s="438">
        <v>0.1887</v>
      </c>
      <c r="E29" s="438">
        <v>0.1978</v>
      </c>
      <c r="F29" s="438">
        <v>0.2069</v>
      </c>
      <c r="G29" s="438">
        <v>0.1917</v>
      </c>
      <c r="H29" s="438">
        <v>0.196</v>
      </c>
      <c r="I29" s="438">
        <v>0.2005</v>
      </c>
      <c r="J29" s="438">
        <v>0.206</v>
      </c>
      <c r="K29" s="438">
        <v>0.2153</v>
      </c>
      <c r="L29" s="438">
        <v>0.2172</v>
      </c>
      <c r="M29" s="439"/>
      <c r="N29" s="9"/>
      <c r="O29" s="9"/>
      <c r="P29" s="9"/>
    </row>
    <row r="30" ht="14.25" customHeight="1">
      <c r="A30" s="440" t="s">
        <v>458</v>
      </c>
      <c r="B30" s="441">
        <f t="shared" ref="B30:L30" si="2">B28/B3</f>
        <v>0.461845503639352</v>
      </c>
      <c r="C30" s="441">
        <f t="shared" si="2"/>
        <v>0.466880512284308</v>
      </c>
      <c r="D30" s="441">
        <f t="shared" si="2"/>
        <v>0.457590256633319</v>
      </c>
      <c r="E30" s="441">
        <f t="shared" si="2"/>
        <v>0.476507792470467</v>
      </c>
      <c r="F30" s="441">
        <f t="shared" si="2"/>
        <v>0.471691021244606</v>
      </c>
      <c r="G30" s="441">
        <f t="shared" si="2"/>
        <v>0.459294609702803</v>
      </c>
      <c r="H30" s="441">
        <f t="shared" si="2"/>
        <v>0.464362885541879</v>
      </c>
      <c r="I30" s="441">
        <f t="shared" si="2"/>
        <v>0.482160397655612</v>
      </c>
      <c r="J30" s="441">
        <f t="shared" si="2"/>
        <v>0.507728422841572</v>
      </c>
      <c r="K30" s="441">
        <f t="shared" si="2"/>
        <v>0.484172119634109</v>
      </c>
      <c r="L30" s="441">
        <f t="shared" si="2"/>
        <v>0.470795126772069</v>
      </c>
      <c r="M30" s="441"/>
      <c r="N30" s="9"/>
      <c r="O30" s="9"/>
      <c r="P30" s="9"/>
    </row>
    <row r="31" ht="14.25" customHeight="1">
      <c r="A31" s="9"/>
      <c r="B31" s="9"/>
      <c r="C31" s="9"/>
      <c r="D31" s="9"/>
      <c r="E31" s="9"/>
      <c r="F31" s="9"/>
      <c r="G31" s="9"/>
      <c r="H31" s="9"/>
      <c r="I31" s="9"/>
      <c r="J31" s="9"/>
      <c r="K31" s="9"/>
      <c r="L31" s="9"/>
      <c r="M31" s="9"/>
      <c r="N31" s="9"/>
      <c r="O31" s="9"/>
      <c r="P31" s="9"/>
    </row>
    <row r="32" ht="14.25" customHeight="1">
      <c r="A32" s="9"/>
      <c r="B32" s="9"/>
      <c r="C32" s="9"/>
      <c r="D32" s="9"/>
      <c r="E32" s="9"/>
      <c r="F32" s="9"/>
      <c r="G32" s="9"/>
      <c r="H32" s="9"/>
      <c r="I32" s="9"/>
      <c r="J32" s="9"/>
      <c r="K32" s="9"/>
      <c r="L32" s="9"/>
      <c r="M32" s="9"/>
      <c r="N32" s="9"/>
      <c r="O32" s="9"/>
      <c r="P32" s="9"/>
    </row>
    <row r="33" ht="14.25" customHeight="1">
      <c r="A33" s="9"/>
      <c r="B33" s="9"/>
      <c r="C33" s="9"/>
      <c r="D33" s="9"/>
      <c r="E33" s="9"/>
      <c r="F33" s="9"/>
      <c r="G33" s="9"/>
      <c r="H33" s="9"/>
      <c r="I33" s="9"/>
      <c r="J33" s="9"/>
      <c r="K33" s="9"/>
      <c r="L33" s="9"/>
      <c r="M33" s="9"/>
      <c r="N33" s="9"/>
      <c r="O33" s="9"/>
      <c r="P33" s="9"/>
    </row>
    <row r="34" ht="14.25" customHeight="1">
      <c r="A34" s="9"/>
      <c r="B34" s="9"/>
      <c r="C34" s="9"/>
      <c r="D34" s="9"/>
      <c r="E34" s="9"/>
      <c r="F34" s="9"/>
      <c r="G34" s="9"/>
      <c r="H34" s="9"/>
      <c r="I34" s="9"/>
      <c r="J34" s="9"/>
      <c r="K34" s="9"/>
      <c r="L34" s="9"/>
      <c r="M34" s="9"/>
      <c r="N34" s="9"/>
      <c r="O34" s="9"/>
      <c r="P34" s="9"/>
    </row>
    <row r="35" ht="14.25" customHeight="1">
      <c r="A35" s="9"/>
      <c r="B35" s="9"/>
      <c r="C35" s="9"/>
      <c r="D35" s="9"/>
      <c r="E35" s="9"/>
      <c r="F35" s="9"/>
      <c r="G35" s="9"/>
      <c r="H35" s="9"/>
      <c r="I35" s="9"/>
      <c r="J35" s="9"/>
      <c r="K35" s="9"/>
      <c r="L35" s="9"/>
      <c r="M35" s="9"/>
      <c r="N35" s="9"/>
      <c r="O35" s="9"/>
      <c r="P35" s="9"/>
    </row>
    <row r="36" ht="14.25" customHeight="1">
      <c r="A36" s="9"/>
      <c r="B36" s="9"/>
      <c r="C36" s="9"/>
      <c r="D36" s="9"/>
      <c r="E36" s="9"/>
      <c r="F36" s="9"/>
      <c r="G36" s="9"/>
      <c r="H36" s="9"/>
      <c r="I36" s="9"/>
      <c r="J36" s="9"/>
      <c r="K36" s="9"/>
      <c r="L36" s="9"/>
      <c r="M36" s="9"/>
      <c r="N36" s="9"/>
      <c r="O36" s="9"/>
      <c r="P36" s="9"/>
    </row>
    <row r="37" ht="14.25" customHeight="1">
      <c r="A37" s="9"/>
      <c r="B37" s="9"/>
      <c r="C37" s="9"/>
      <c r="D37" s="9"/>
      <c r="E37" s="9"/>
      <c r="F37" s="9"/>
      <c r="G37" s="9"/>
      <c r="H37" s="9"/>
      <c r="I37" s="9"/>
      <c r="J37" s="9"/>
      <c r="K37" s="9"/>
      <c r="L37" s="9"/>
      <c r="M37" s="9"/>
      <c r="N37" s="9"/>
      <c r="O37" s="9"/>
      <c r="P37" s="9"/>
    </row>
    <row r="38" ht="14.25" customHeight="1">
      <c r="A38" s="9"/>
      <c r="B38" s="9"/>
      <c r="C38" s="9"/>
      <c r="D38" s="9"/>
      <c r="E38" s="9"/>
      <c r="F38" s="9"/>
      <c r="G38" s="9"/>
      <c r="H38" s="9"/>
      <c r="I38" s="9"/>
      <c r="J38" s="9"/>
      <c r="K38" s="9"/>
      <c r="L38" s="9"/>
      <c r="M38" s="9"/>
      <c r="N38" s="9"/>
      <c r="O38" s="9"/>
      <c r="P38" s="9"/>
    </row>
    <row r="39" ht="14.25" customHeight="1">
      <c r="A39" s="9"/>
      <c r="B39" s="9"/>
      <c r="C39" s="9"/>
      <c r="D39" s="9"/>
      <c r="E39" s="9"/>
      <c r="F39" s="9"/>
      <c r="G39" s="9"/>
      <c r="H39" s="9"/>
      <c r="I39" s="9"/>
      <c r="J39" s="9"/>
      <c r="K39" s="9"/>
      <c r="L39" s="9"/>
      <c r="M39" s="9"/>
      <c r="N39" s="9"/>
      <c r="O39" s="9"/>
      <c r="P39" s="9"/>
    </row>
    <row r="40" ht="14.25" customHeight="1">
      <c r="A40" s="9"/>
      <c r="B40" s="9"/>
      <c r="C40" s="9"/>
      <c r="D40" s="9"/>
      <c r="E40" s="9"/>
      <c r="F40" s="9"/>
      <c r="G40" s="9"/>
      <c r="H40" s="9"/>
      <c r="I40" s="9"/>
      <c r="J40" s="9"/>
      <c r="K40" s="9"/>
      <c r="L40" s="9"/>
      <c r="M40" s="9"/>
      <c r="N40" s="9"/>
      <c r="O40" s="9"/>
      <c r="P40" s="9"/>
    </row>
    <row r="41" ht="14.25" customHeight="1">
      <c r="A41" s="9"/>
      <c r="B41" s="9"/>
      <c r="C41" s="9"/>
      <c r="D41" s="9"/>
      <c r="E41" s="9"/>
      <c r="F41" s="9"/>
      <c r="G41" s="9"/>
      <c r="H41" s="9"/>
      <c r="I41" s="9"/>
      <c r="J41" s="9"/>
      <c r="K41" s="9"/>
      <c r="L41" s="9"/>
      <c r="M41" s="9"/>
      <c r="N41" s="9"/>
      <c r="O41" s="9"/>
      <c r="P41" s="9"/>
    </row>
    <row r="42" ht="14.25" customHeight="1">
      <c r="A42" s="9"/>
      <c r="B42" s="9"/>
      <c r="C42" s="9"/>
      <c r="D42" s="9"/>
      <c r="E42" s="9"/>
      <c r="F42" s="9"/>
      <c r="G42" s="9"/>
      <c r="H42" s="9"/>
      <c r="I42" s="9"/>
      <c r="J42" s="9"/>
      <c r="K42" s="9"/>
      <c r="L42" s="9"/>
      <c r="M42" s="9"/>
      <c r="N42" s="9"/>
      <c r="O42" s="9"/>
      <c r="P42" s="9"/>
    </row>
    <row r="43" ht="14.25" customHeight="1">
      <c r="A43" s="9"/>
      <c r="B43" s="9"/>
      <c r="C43" s="9"/>
      <c r="D43" s="9"/>
      <c r="E43" s="9"/>
      <c r="F43" s="9"/>
      <c r="G43" s="9"/>
      <c r="H43" s="9"/>
      <c r="I43" s="9"/>
      <c r="J43" s="9"/>
      <c r="K43" s="9"/>
      <c r="L43" s="9"/>
      <c r="M43" s="9"/>
      <c r="N43" s="9"/>
      <c r="O43" s="9"/>
      <c r="P43" s="9"/>
    </row>
    <row r="44" ht="14.25" customHeight="1">
      <c r="A44" s="9"/>
      <c r="B44" s="9"/>
      <c r="C44" s="9"/>
      <c r="D44" s="9"/>
      <c r="E44" s="9"/>
      <c r="F44" s="9"/>
      <c r="G44" s="9"/>
      <c r="H44" s="9"/>
      <c r="I44" s="9"/>
      <c r="J44" s="9"/>
      <c r="K44" s="9"/>
      <c r="L44" s="9"/>
      <c r="M44" s="9"/>
      <c r="N44" s="9"/>
      <c r="O44" s="9"/>
      <c r="P44" s="9"/>
    </row>
    <row r="45" ht="14.25" customHeight="1">
      <c r="A45" s="9"/>
      <c r="B45" s="9"/>
      <c r="C45" s="9"/>
      <c r="D45" s="9"/>
      <c r="E45" s="9"/>
      <c r="F45" s="9"/>
      <c r="G45" s="9"/>
      <c r="H45" s="9"/>
      <c r="I45" s="9"/>
      <c r="J45" s="9"/>
      <c r="K45" s="9"/>
      <c r="L45" s="9"/>
      <c r="M45" s="9"/>
      <c r="N45" s="9"/>
      <c r="O45" s="9"/>
      <c r="P45" s="9"/>
    </row>
    <row r="46" ht="15.75" customHeight="1">
      <c r="A46" s="77"/>
      <c r="B46" s="77"/>
      <c r="C46" s="77"/>
      <c r="D46" s="77"/>
      <c r="E46" s="77"/>
      <c r="F46" s="77"/>
      <c r="G46" s="77"/>
      <c r="H46" s="77"/>
      <c r="I46" s="77"/>
      <c r="J46" s="77"/>
      <c r="K46" s="77"/>
      <c r="L46" s="77"/>
      <c r="M46" s="77"/>
      <c r="N46" s="77"/>
      <c r="O46" s="77"/>
      <c r="P46" s="77"/>
    </row>
    <row r="47" ht="15.75" customHeight="1">
      <c r="A47" s="77"/>
      <c r="B47" s="77"/>
      <c r="C47" s="77"/>
      <c r="D47" s="77"/>
      <c r="E47" s="77"/>
      <c r="F47" s="77"/>
      <c r="G47" s="77"/>
      <c r="H47" s="77"/>
      <c r="I47" s="77"/>
      <c r="J47" s="77"/>
      <c r="K47" s="77"/>
      <c r="L47" s="77"/>
      <c r="M47" s="77"/>
      <c r="N47" s="77"/>
      <c r="O47" s="77"/>
      <c r="P47" s="77"/>
    </row>
    <row r="48" ht="15.75" customHeight="1">
      <c r="A48" s="77"/>
      <c r="B48" s="77"/>
      <c r="C48" s="77"/>
      <c r="D48" s="77"/>
      <c r="E48" s="77"/>
      <c r="F48" s="77"/>
      <c r="G48" s="77"/>
      <c r="H48" s="77"/>
      <c r="I48" s="77"/>
      <c r="J48" s="77"/>
      <c r="K48" s="77"/>
      <c r="L48" s="77"/>
      <c r="M48" s="77"/>
      <c r="N48" s="77"/>
      <c r="O48" s="77"/>
      <c r="P48" s="77"/>
    </row>
    <row r="49" ht="15.75" customHeight="1">
      <c r="A49" s="77"/>
      <c r="B49" s="77"/>
      <c r="C49" s="77"/>
      <c r="D49" s="77"/>
      <c r="E49" s="77"/>
      <c r="F49" s="77"/>
      <c r="G49" s="77"/>
      <c r="H49" s="77"/>
      <c r="I49" s="77"/>
      <c r="J49" s="77"/>
      <c r="K49" s="77"/>
      <c r="L49" s="77"/>
      <c r="M49" s="77"/>
      <c r="N49" s="77"/>
      <c r="O49" s="77"/>
      <c r="P49" s="77"/>
    </row>
    <row r="50" ht="15.75" customHeight="1">
      <c r="A50" s="77"/>
      <c r="B50" s="77"/>
      <c r="C50" s="77"/>
      <c r="D50" s="77"/>
      <c r="E50" s="77"/>
      <c r="F50" s="77"/>
      <c r="G50" s="77"/>
      <c r="H50" s="77"/>
      <c r="I50" s="77"/>
      <c r="J50" s="77"/>
      <c r="K50" s="77"/>
      <c r="L50" s="77"/>
      <c r="M50" s="77"/>
      <c r="N50" s="77"/>
      <c r="O50" s="77"/>
      <c r="P50" s="77"/>
    </row>
    <row r="51" ht="15.75" customHeight="1">
      <c r="A51" s="77"/>
      <c r="B51" s="77"/>
      <c r="C51" s="77"/>
      <c r="D51" s="77"/>
      <c r="E51" s="77"/>
      <c r="F51" s="77"/>
      <c r="G51" s="77"/>
      <c r="H51" s="77"/>
      <c r="I51" s="77"/>
      <c r="J51" s="77"/>
      <c r="K51" s="77"/>
      <c r="L51" s="77"/>
      <c r="M51" s="77"/>
      <c r="N51" s="77"/>
      <c r="O51" s="77"/>
      <c r="P51" s="77"/>
    </row>
    <row r="52" ht="15.75" customHeight="1">
      <c r="A52" s="77"/>
      <c r="B52" s="77"/>
      <c r="C52" s="77"/>
      <c r="D52" s="77"/>
      <c r="E52" s="77"/>
      <c r="F52" s="77"/>
      <c r="G52" s="77"/>
      <c r="H52" s="77"/>
      <c r="I52" s="77"/>
      <c r="J52" s="77"/>
      <c r="K52" s="77"/>
      <c r="L52" s="77"/>
      <c r="M52" s="77"/>
      <c r="N52" s="77"/>
      <c r="O52" s="77"/>
      <c r="P52" s="77"/>
    </row>
    <row r="53" ht="15.75" customHeight="1">
      <c r="A53" s="77"/>
      <c r="B53" s="77"/>
      <c r="C53" s="77"/>
      <c r="D53" s="77"/>
      <c r="E53" s="77"/>
      <c r="F53" s="77"/>
      <c r="G53" s="77"/>
      <c r="H53" s="77"/>
      <c r="I53" s="77"/>
      <c r="J53" s="77"/>
      <c r="K53" s="77"/>
      <c r="L53" s="77"/>
      <c r="M53" s="77"/>
      <c r="N53" s="77"/>
      <c r="O53" s="77"/>
      <c r="P53" s="77"/>
    </row>
    <row r="54" ht="15.75" customHeight="1">
      <c r="A54" s="77"/>
      <c r="B54" s="77"/>
      <c r="C54" s="77"/>
      <c r="D54" s="77"/>
      <c r="E54" s="77"/>
      <c r="F54" s="77"/>
      <c r="G54" s="77"/>
      <c r="H54" s="77"/>
      <c r="I54" s="77"/>
      <c r="J54" s="77"/>
      <c r="K54" s="77"/>
      <c r="L54" s="77"/>
      <c r="M54" s="77"/>
      <c r="N54" s="77"/>
      <c r="O54" s="77"/>
      <c r="P54" s="77"/>
    </row>
    <row r="55" ht="15.75" customHeight="1">
      <c r="A55" s="77"/>
      <c r="B55" s="77"/>
      <c r="C55" s="77"/>
      <c r="D55" s="77"/>
      <c r="E55" s="77"/>
      <c r="F55" s="77"/>
      <c r="G55" s="77"/>
      <c r="H55" s="77"/>
      <c r="I55" s="77"/>
      <c r="J55" s="77"/>
      <c r="K55" s="77"/>
      <c r="L55" s="77"/>
      <c r="M55" s="77"/>
      <c r="N55" s="77"/>
      <c r="O55" s="77"/>
      <c r="P55" s="77"/>
    </row>
    <row r="56" ht="15.75" customHeight="1">
      <c r="A56" s="77"/>
      <c r="B56" s="77"/>
      <c r="C56" s="77"/>
      <c r="D56" s="77"/>
      <c r="E56" s="77"/>
      <c r="F56" s="77"/>
      <c r="G56" s="77"/>
      <c r="H56" s="77"/>
      <c r="I56" s="77"/>
      <c r="J56" s="77"/>
      <c r="K56" s="77"/>
      <c r="L56" s="77"/>
      <c r="M56" s="77"/>
      <c r="N56" s="77"/>
      <c r="O56" s="77"/>
      <c r="P56" s="77"/>
    </row>
    <row r="57" ht="15.75" customHeight="1">
      <c r="A57" s="77"/>
      <c r="B57" s="77"/>
      <c r="C57" s="77"/>
      <c r="D57" s="77"/>
      <c r="E57" s="77"/>
      <c r="F57" s="77"/>
      <c r="G57" s="77"/>
      <c r="H57" s="77"/>
      <c r="I57" s="77"/>
      <c r="J57" s="77"/>
      <c r="K57" s="77"/>
      <c r="L57" s="77"/>
      <c r="M57" s="77"/>
      <c r="N57" s="77"/>
      <c r="O57" s="77"/>
      <c r="P57" s="77"/>
    </row>
    <row r="58" ht="15.75" customHeight="1">
      <c r="A58" s="77"/>
      <c r="B58" s="77"/>
      <c r="C58" s="77"/>
      <c r="D58" s="77"/>
      <c r="E58" s="77"/>
      <c r="F58" s="77"/>
      <c r="G58" s="77"/>
      <c r="H58" s="77"/>
      <c r="I58" s="77"/>
      <c r="J58" s="77"/>
      <c r="K58" s="77"/>
      <c r="L58" s="77"/>
      <c r="M58" s="77"/>
      <c r="N58" s="77"/>
      <c r="O58" s="77"/>
      <c r="P58" s="77"/>
    </row>
    <row r="59" ht="15.75" customHeight="1">
      <c r="A59" s="77"/>
      <c r="B59" s="77"/>
      <c r="C59" s="77"/>
      <c r="D59" s="77"/>
      <c r="E59" s="77"/>
      <c r="F59" s="77"/>
      <c r="G59" s="77"/>
      <c r="H59" s="77"/>
      <c r="I59" s="77"/>
      <c r="J59" s="77"/>
      <c r="K59" s="77"/>
      <c r="L59" s="77"/>
      <c r="M59" s="77"/>
      <c r="N59" s="77"/>
      <c r="O59" s="77"/>
      <c r="P59" s="77"/>
    </row>
    <row r="60" ht="15.75" customHeight="1">
      <c r="A60" s="77"/>
      <c r="B60" s="77"/>
      <c r="C60" s="77"/>
      <c r="D60" s="77"/>
      <c r="E60" s="77"/>
      <c r="F60" s="77"/>
      <c r="G60" s="77"/>
      <c r="H60" s="77"/>
      <c r="I60" s="77"/>
      <c r="J60" s="77"/>
      <c r="K60" s="77"/>
      <c r="L60" s="77"/>
      <c r="M60" s="77"/>
      <c r="N60" s="77"/>
      <c r="O60" s="77"/>
      <c r="P60" s="77"/>
    </row>
    <row r="61" ht="15.75" customHeight="1">
      <c r="A61" s="77"/>
      <c r="B61" s="77"/>
      <c r="C61" s="77"/>
      <c r="D61" s="77"/>
      <c r="E61" s="77"/>
      <c r="F61" s="77"/>
      <c r="G61" s="77"/>
      <c r="H61" s="77"/>
      <c r="I61" s="77"/>
      <c r="J61" s="77"/>
      <c r="K61" s="77"/>
      <c r="L61" s="77"/>
      <c r="M61" s="77"/>
      <c r="N61" s="77"/>
      <c r="O61" s="77"/>
      <c r="P61" s="77"/>
    </row>
    <row r="62" ht="15.75" customHeight="1">
      <c r="A62" s="77"/>
      <c r="B62" s="77"/>
      <c r="C62" s="77"/>
      <c r="D62" s="77"/>
      <c r="E62" s="77"/>
      <c r="F62" s="77"/>
      <c r="G62" s="77"/>
      <c r="H62" s="77"/>
      <c r="I62" s="77"/>
      <c r="J62" s="77"/>
      <c r="K62" s="77"/>
      <c r="L62" s="77"/>
      <c r="M62" s="77"/>
      <c r="N62" s="77"/>
      <c r="O62" s="77"/>
      <c r="P62" s="77"/>
    </row>
    <row r="63" ht="15.75" customHeight="1">
      <c r="A63" s="77"/>
      <c r="B63" s="77"/>
      <c r="C63" s="77"/>
      <c r="D63" s="77"/>
      <c r="E63" s="77"/>
      <c r="F63" s="77"/>
      <c r="G63" s="77"/>
      <c r="H63" s="77"/>
      <c r="I63" s="77"/>
      <c r="J63" s="77"/>
      <c r="K63" s="77"/>
      <c r="L63" s="77"/>
      <c r="M63" s="77"/>
      <c r="N63" s="77"/>
      <c r="O63" s="77"/>
      <c r="P63" s="77"/>
    </row>
    <row r="64" ht="15.75" customHeight="1">
      <c r="A64" s="77"/>
      <c r="B64" s="77"/>
      <c r="C64" s="77"/>
      <c r="D64" s="77"/>
      <c r="E64" s="77"/>
      <c r="F64" s="77"/>
      <c r="G64" s="77"/>
      <c r="H64" s="77"/>
      <c r="I64" s="77"/>
      <c r="J64" s="77"/>
      <c r="K64" s="77"/>
      <c r="L64" s="77"/>
      <c r="M64" s="77"/>
      <c r="N64" s="77"/>
      <c r="O64" s="77"/>
      <c r="P64" s="77"/>
    </row>
    <row r="65" ht="15.75" customHeight="1">
      <c r="A65" s="77"/>
      <c r="B65" s="77"/>
      <c r="C65" s="77"/>
      <c r="D65" s="77"/>
      <c r="E65" s="77"/>
      <c r="F65" s="77"/>
      <c r="G65" s="77"/>
      <c r="H65" s="77"/>
      <c r="I65" s="77"/>
      <c r="J65" s="77"/>
      <c r="K65" s="77"/>
      <c r="L65" s="77"/>
      <c r="M65" s="77"/>
      <c r="N65" s="77"/>
      <c r="O65" s="77"/>
      <c r="P65" s="77"/>
    </row>
    <row r="66" ht="15.75" customHeight="1">
      <c r="A66" s="77"/>
      <c r="B66" s="77"/>
      <c r="C66" s="77"/>
      <c r="D66" s="77"/>
      <c r="E66" s="77"/>
      <c r="F66" s="77"/>
      <c r="G66" s="77"/>
      <c r="H66" s="77"/>
      <c r="I66" s="77"/>
      <c r="J66" s="77"/>
      <c r="K66" s="77"/>
      <c r="L66" s="77"/>
      <c r="M66" s="77"/>
      <c r="N66" s="77"/>
      <c r="O66" s="77"/>
      <c r="P66" s="77"/>
    </row>
    <row r="67" ht="15.75" customHeight="1">
      <c r="A67" s="77"/>
      <c r="B67" s="77"/>
      <c r="C67" s="77"/>
      <c r="D67" s="77"/>
      <c r="E67" s="77"/>
      <c r="F67" s="77"/>
      <c r="G67" s="77"/>
      <c r="H67" s="77"/>
      <c r="I67" s="77"/>
      <c r="J67" s="77"/>
      <c r="K67" s="77"/>
      <c r="L67" s="77"/>
      <c r="M67" s="77"/>
      <c r="N67" s="77"/>
      <c r="O67" s="77"/>
      <c r="P67" s="77"/>
    </row>
    <row r="68" ht="15.75" customHeight="1">
      <c r="A68" s="77"/>
      <c r="B68" s="77"/>
      <c r="C68" s="77"/>
      <c r="D68" s="77"/>
      <c r="E68" s="77"/>
      <c r="F68" s="77"/>
      <c r="G68" s="77"/>
      <c r="H68" s="77"/>
      <c r="I68" s="77"/>
      <c r="J68" s="77"/>
      <c r="K68" s="77"/>
      <c r="L68" s="77"/>
      <c r="M68" s="77"/>
      <c r="N68" s="77"/>
      <c r="O68" s="77"/>
      <c r="P68" s="77"/>
    </row>
    <row r="69" ht="15.75" customHeight="1">
      <c r="A69" s="77"/>
      <c r="B69" s="77"/>
      <c r="C69" s="77"/>
      <c r="D69" s="77"/>
      <c r="E69" s="77"/>
      <c r="F69" s="77"/>
      <c r="G69" s="77"/>
      <c r="H69" s="77"/>
      <c r="I69" s="77"/>
      <c r="J69" s="77"/>
      <c r="K69" s="77"/>
      <c r="L69" s="77"/>
      <c r="M69" s="77"/>
      <c r="N69" s="77"/>
      <c r="O69" s="77"/>
      <c r="P69" s="77"/>
    </row>
    <row r="70" ht="15.75" customHeight="1">
      <c r="A70" s="77"/>
      <c r="B70" s="77"/>
      <c r="C70" s="77"/>
      <c r="D70" s="77"/>
      <c r="E70" s="77"/>
      <c r="F70" s="77"/>
      <c r="G70" s="77"/>
      <c r="H70" s="77"/>
      <c r="I70" s="77"/>
      <c r="J70" s="77"/>
      <c r="K70" s="77"/>
      <c r="L70" s="77"/>
      <c r="M70" s="77"/>
      <c r="N70" s="77"/>
      <c r="O70" s="77"/>
      <c r="P70" s="77"/>
    </row>
    <row r="71" ht="15.75" customHeight="1">
      <c r="A71" s="77"/>
      <c r="B71" s="77"/>
      <c r="C71" s="77"/>
      <c r="D71" s="77"/>
      <c r="E71" s="77"/>
      <c r="F71" s="77"/>
      <c r="G71" s="77"/>
      <c r="H71" s="77"/>
      <c r="I71" s="77"/>
      <c r="J71" s="77"/>
      <c r="K71" s="77"/>
      <c r="L71" s="77"/>
      <c r="M71" s="77"/>
      <c r="N71" s="77"/>
      <c r="O71" s="77"/>
      <c r="P71" s="77"/>
    </row>
    <row r="72" ht="15.75" customHeight="1">
      <c r="A72" s="77"/>
      <c r="B72" s="77"/>
      <c r="C72" s="77"/>
      <c r="D72" s="77"/>
      <c r="E72" s="77"/>
      <c r="F72" s="77"/>
      <c r="G72" s="77"/>
      <c r="H72" s="77"/>
      <c r="I72" s="77"/>
      <c r="J72" s="77"/>
      <c r="K72" s="77"/>
      <c r="L72" s="77"/>
      <c r="M72" s="77"/>
      <c r="N72" s="77"/>
      <c r="O72" s="77"/>
      <c r="P72" s="77"/>
    </row>
    <row r="73" ht="15.75" customHeight="1">
      <c r="A73" s="77"/>
      <c r="B73" s="77"/>
      <c r="C73" s="77"/>
      <c r="D73" s="77"/>
      <c r="E73" s="77"/>
      <c r="F73" s="77"/>
      <c r="G73" s="77"/>
      <c r="H73" s="77"/>
      <c r="I73" s="77"/>
      <c r="J73" s="77"/>
      <c r="K73" s="77"/>
      <c r="L73" s="77"/>
      <c r="M73" s="77"/>
      <c r="N73" s="77"/>
      <c r="O73" s="77"/>
      <c r="P73" s="77"/>
    </row>
    <row r="74" ht="15.75" customHeight="1">
      <c r="A74" s="77"/>
      <c r="B74" s="77"/>
      <c r="C74" s="77"/>
      <c r="D74" s="77"/>
      <c r="E74" s="77"/>
      <c r="F74" s="77"/>
      <c r="G74" s="77"/>
      <c r="H74" s="77"/>
      <c r="I74" s="77"/>
      <c r="J74" s="77"/>
      <c r="K74" s="77"/>
      <c r="L74" s="77"/>
      <c r="M74" s="77"/>
      <c r="N74" s="77"/>
      <c r="O74" s="77"/>
      <c r="P74" s="77"/>
    </row>
    <row r="75" ht="15.75" customHeight="1">
      <c r="A75" s="77"/>
      <c r="B75" s="77"/>
      <c r="C75" s="77"/>
      <c r="D75" s="77"/>
      <c r="E75" s="77"/>
      <c r="F75" s="77"/>
      <c r="G75" s="77"/>
      <c r="H75" s="77"/>
      <c r="I75" s="77"/>
      <c r="J75" s="77"/>
      <c r="K75" s="77"/>
      <c r="L75" s="77"/>
      <c r="M75" s="77"/>
      <c r="N75" s="77"/>
      <c r="O75" s="77"/>
      <c r="P75" s="77"/>
    </row>
    <row r="76" ht="15.75" customHeight="1">
      <c r="A76" s="77"/>
      <c r="B76" s="77"/>
      <c r="C76" s="77"/>
      <c r="D76" s="77"/>
      <c r="E76" s="77"/>
      <c r="F76" s="77"/>
      <c r="G76" s="77"/>
      <c r="H76" s="77"/>
      <c r="I76" s="77"/>
      <c r="J76" s="77"/>
      <c r="K76" s="77"/>
      <c r="L76" s="77"/>
      <c r="M76" s="77"/>
      <c r="N76" s="77"/>
      <c r="O76" s="77"/>
      <c r="P76" s="77"/>
    </row>
    <row r="77" ht="15.75" customHeight="1">
      <c r="A77" s="77"/>
      <c r="B77" s="77"/>
      <c r="C77" s="77"/>
      <c r="D77" s="77"/>
      <c r="E77" s="77"/>
      <c r="F77" s="77"/>
      <c r="G77" s="77"/>
      <c r="H77" s="77"/>
      <c r="I77" s="77"/>
      <c r="J77" s="77"/>
      <c r="K77" s="77"/>
      <c r="L77" s="77"/>
      <c r="M77" s="77"/>
      <c r="N77" s="77"/>
      <c r="O77" s="77"/>
      <c r="P77" s="77"/>
    </row>
    <row r="78" ht="15.75" customHeight="1">
      <c r="A78" s="77"/>
      <c r="B78" s="77"/>
      <c r="C78" s="77"/>
      <c r="D78" s="77"/>
      <c r="E78" s="77"/>
      <c r="F78" s="77"/>
      <c r="G78" s="77"/>
      <c r="H78" s="77"/>
      <c r="I78" s="77"/>
      <c r="J78" s="77"/>
      <c r="K78" s="77"/>
      <c r="L78" s="77"/>
      <c r="M78" s="77"/>
      <c r="N78" s="77"/>
      <c r="O78" s="77"/>
      <c r="P78" s="77"/>
    </row>
    <row r="79" ht="15.75" customHeight="1">
      <c r="A79" s="77"/>
      <c r="B79" s="77"/>
      <c r="C79" s="77"/>
      <c r="D79" s="77"/>
      <c r="E79" s="77"/>
      <c r="F79" s="77"/>
      <c r="G79" s="77"/>
      <c r="H79" s="77"/>
      <c r="I79" s="77"/>
      <c r="J79" s="77"/>
      <c r="K79" s="77"/>
      <c r="L79" s="77"/>
      <c r="M79" s="77"/>
      <c r="N79" s="77"/>
      <c r="O79" s="77"/>
      <c r="P79" s="77"/>
    </row>
    <row r="80" ht="15.75" customHeight="1">
      <c r="A80" s="77"/>
      <c r="B80" s="77"/>
      <c r="C80" s="77"/>
      <c r="D80" s="77"/>
      <c r="E80" s="77"/>
      <c r="F80" s="77"/>
      <c r="G80" s="77"/>
      <c r="H80" s="77"/>
      <c r="I80" s="77"/>
      <c r="J80" s="77"/>
      <c r="K80" s="77"/>
      <c r="L80" s="77"/>
      <c r="M80" s="77"/>
      <c r="N80" s="77"/>
      <c r="O80" s="77"/>
      <c r="P80" s="77"/>
    </row>
    <row r="81" ht="15.75" customHeight="1">
      <c r="A81" s="77"/>
      <c r="B81" s="77"/>
      <c r="C81" s="77"/>
      <c r="D81" s="77"/>
      <c r="E81" s="77"/>
      <c r="F81" s="77"/>
      <c r="G81" s="77"/>
      <c r="H81" s="77"/>
      <c r="I81" s="77"/>
      <c r="J81" s="77"/>
      <c r="K81" s="77"/>
      <c r="L81" s="77"/>
      <c r="M81" s="77"/>
      <c r="N81" s="77"/>
      <c r="O81" s="77"/>
      <c r="P81" s="77"/>
    </row>
    <row r="82" ht="15.75" customHeight="1">
      <c r="A82" s="77"/>
      <c r="B82" s="77"/>
      <c r="C82" s="77"/>
      <c r="D82" s="77"/>
      <c r="E82" s="77"/>
      <c r="F82" s="77"/>
      <c r="G82" s="77"/>
      <c r="H82" s="77"/>
      <c r="I82" s="77"/>
      <c r="J82" s="77"/>
      <c r="K82" s="77"/>
      <c r="L82" s="77"/>
      <c r="M82" s="77"/>
      <c r="N82" s="77"/>
      <c r="O82" s="77"/>
      <c r="P82" s="77"/>
    </row>
    <row r="83" ht="15.75" customHeight="1">
      <c r="A83" s="77"/>
      <c r="B83" s="77"/>
      <c r="C83" s="77"/>
      <c r="D83" s="77"/>
      <c r="E83" s="77"/>
      <c r="F83" s="77"/>
      <c r="G83" s="77"/>
      <c r="H83" s="77"/>
      <c r="I83" s="77"/>
      <c r="J83" s="77"/>
      <c r="K83" s="77"/>
      <c r="L83" s="77"/>
      <c r="M83" s="77"/>
      <c r="N83" s="77"/>
      <c r="O83" s="77"/>
      <c r="P83" s="77"/>
    </row>
    <row r="84" ht="15.75" customHeight="1">
      <c r="A84" s="77"/>
      <c r="B84" s="77"/>
      <c r="C84" s="77"/>
      <c r="D84" s="77"/>
      <c r="E84" s="77"/>
      <c r="F84" s="77"/>
      <c r="G84" s="77"/>
      <c r="H84" s="77"/>
      <c r="I84" s="77"/>
      <c r="J84" s="77"/>
      <c r="K84" s="77"/>
      <c r="L84" s="77"/>
      <c r="M84" s="77"/>
      <c r="N84" s="77"/>
      <c r="O84" s="77"/>
      <c r="P84" s="77"/>
    </row>
    <row r="85" ht="15.75" customHeight="1">
      <c r="A85" s="77"/>
      <c r="B85" s="77"/>
      <c r="C85" s="77"/>
      <c r="D85" s="77"/>
      <c r="E85" s="77"/>
      <c r="F85" s="77"/>
      <c r="G85" s="77"/>
      <c r="H85" s="77"/>
      <c r="I85" s="77"/>
      <c r="J85" s="77"/>
      <c r="K85" s="77"/>
      <c r="L85" s="77"/>
      <c r="M85" s="77"/>
      <c r="N85" s="77"/>
      <c r="O85" s="77"/>
      <c r="P85" s="77"/>
    </row>
    <row r="86" ht="15.75" customHeight="1">
      <c r="A86" s="77"/>
      <c r="B86" s="77"/>
      <c r="C86" s="77"/>
      <c r="D86" s="77"/>
      <c r="E86" s="77"/>
      <c r="F86" s="77"/>
      <c r="G86" s="77"/>
      <c r="H86" s="77"/>
      <c r="I86" s="77"/>
      <c r="J86" s="77"/>
      <c r="K86" s="77"/>
      <c r="L86" s="77"/>
      <c r="M86" s="77"/>
      <c r="N86" s="77"/>
      <c r="O86" s="77"/>
      <c r="P86" s="77"/>
    </row>
    <row r="87" ht="15.75" customHeight="1">
      <c r="A87" s="77"/>
      <c r="B87" s="77"/>
      <c r="C87" s="77"/>
      <c r="D87" s="77"/>
      <c r="E87" s="77"/>
      <c r="F87" s="77"/>
      <c r="G87" s="77"/>
      <c r="H87" s="77"/>
      <c r="I87" s="77"/>
      <c r="J87" s="77"/>
      <c r="K87" s="77"/>
      <c r="L87" s="77"/>
      <c r="M87" s="77"/>
      <c r="N87" s="77"/>
      <c r="O87" s="77"/>
      <c r="P87" s="77"/>
    </row>
    <row r="88" ht="15.75" customHeight="1">
      <c r="A88" s="77"/>
      <c r="B88" s="77"/>
      <c r="C88" s="77"/>
      <c r="D88" s="77"/>
      <c r="E88" s="77"/>
      <c r="F88" s="77"/>
      <c r="G88" s="77"/>
      <c r="H88" s="77"/>
      <c r="I88" s="77"/>
      <c r="J88" s="77"/>
      <c r="K88" s="77"/>
      <c r="L88" s="77"/>
      <c r="M88" s="77"/>
      <c r="N88" s="77"/>
      <c r="O88" s="77"/>
      <c r="P88" s="77"/>
    </row>
    <row r="89" ht="15.75" customHeight="1">
      <c r="A89" s="77"/>
      <c r="B89" s="77"/>
      <c r="C89" s="77"/>
      <c r="D89" s="77"/>
      <c r="E89" s="77"/>
      <c r="F89" s="77"/>
      <c r="G89" s="77"/>
      <c r="H89" s="77"/>
      <c r="I89" s="77"/>
      <c r="J89" s="77"/>
      <c r="K89" s="77"/>
      <c r="L89" s="77"/>
      <c r="M89" s="77"/>
      <c r="N89" s="77"/>
      <c r="O89" s="77"/>
      <c r="P89" s="77"/>
    </row>
    <row r="90" ht="15.75" customHeight="1">
      <c r="A90" s="77"/>
      <c r="B90" s="77"/>
      <c r="C90" s="77"/>
      <c r="D90" s="77"/>
      <c r="E90" s="77"/>
      <c r="F90" s="77"/>
      <c r="G90" s="77"/>
      <c r="H90" s="77"/>
      <c r="I90" s="77"/>
      <c r="J90" s="77"/>
      <c r="K90" s="77"/>
      <c r="L90" s="77"/>
      <c r="M90" s="77"/>
      <c r="N90" s="77"/>
      <c r="O90" s="77"/>
      <c r="P90" s="77"/>
    </row>
    <row r="91" ht="15.75" customHeight="1">
      <c r="A91" s="77"/>
      <c r="B91" s="77"/>
      <c r="C91" s="77"/>
      <c r="D91" s="77"/>
      <c r="E91" s="77"/>
      <c r="F91" s="77"/>
      <c r="G91" s="77"/>
      <c r="H91" s="77"/>
      <c r="I91" s="77"/>
      <c r="J91" s="77"/>
      <c r="K91" s="77"/>
      <c r="L91" s="77"/>
      <c r="M91" s="77"/>
      <c r="N91" s="77"/>
      <c r="O91" s="77"/>
      <c r="P91" s="77"/>
    </row>
    <row r="92" ht="15.75" customHeight="1">
      <c r="A92" s="77"/>
      <c r="B92" s="77"/>
      <c r="C92" s="77"/>
      <c r="D92" s="77"/>
      <c r="E92" s="77"/>
      <c r="F92" s="77"/>
      <c r="G92" s="77"/>
      <c r="H92" s="77"/>
      <c r="I92" s="77"/>
      <c r="J92" s="77"/>
      <c r="K92" s="77"/>
      <c r="L92" s="77"/>
      <c r="M92" s="77"/>
      <c r="N92" s="77"/>
      <c r="O92" s="77"/>
      <c r="P92" s="77"/>
    </row>
    <row r="93" ht="15.75" customHeight="1">
      <c r="A93" s="77"/>
      <c r="B93" s="77"/>
      <c r="C93" s="77"/>
      <c r="D93" s="77"/>
      <c r="E93" s="77"/>
      <c r="F93" s="77"/>
      <c r="G93" s="77"/>
      <c r="H93" s="77"/>
      <c r="I93" s="77"/>
      <c r="J93" s="77"/>
      <c r="K93" s="77"/>
      <c r="L93" s="77"/>
      <c r="M93" s="77"/>
      <c r="N93" s="77"/>
      <c r="O93" s="77"/>
      <c r="P93" s="77"/>
    </row>
    <row r="94" ht="15.75" customHeight="1">
      <c r="A94" s="77"/>
      <c r="B94" s="77"/>
      <c r="C94" s="77"/>
      <c r="D94" s="77"/>
      <c r="E94" s="77"/>
      <c r="F94" s="77"/>
      <c r="G94" s="77"/>
      <c r="H94" s="77"/>
      <c r="I94" s="77"/>
      <c r="J94" s="77"/>
      <c r="K94" s="77"/>
      <c r="L94" s="77"/>
      <c r="M94" s="77"/>
      <c r="N94" s="77"/>
      <c r="O94" s="77"/>
      <c r="P94" s="77"/>
    </row>
    <row r="95" ht="15.75" customHeight="1">
      <c r="A95" s="77"/>
      <c r="B95" s="77"/>
      <c r="C95" s="77"/>
      <c r="D95" s="77"/>
      <c r="E95" s="77"/>
      <c r="F95" s="77"/>
      <c r="G95" s="77"/>
      <c r="H95" s="77"/>
      <c r="I95" s="77"/>
      <c r="J95" s="77"/>
      <c r="K95" s="77"/>
      <c r="L95" s="77"/>
      <c r="M95" s="77"/>
      <c r="N95" s="77"/>
      <c r="O95" s="77"/>
      <c r="P95" s="77"/>
    </row>
    <row r="96" ht="15.75" customHeight="1">
      <c r="A96" s="77"/>
      <c r="B96" s="77"/>
      <c r="C96" s="77"/>
      <c r="D96" s="77"/>
      <c r="E96" s="77"/>
      <c r="F96" s="77"/>
      <c r="G96" s="77"/>
      <c r="H96" s="77"/>
      <c r="I96" s="77"/>
      <c r="J96" s="77"/>
      <c r="K96" s="77"/>
      <c r="L96" s="77"/>
      <c r="M96" s="77"/>
      <c r="N96" s="77"/>
      <c r="O96" s="77"/>
      <c r="P96" s="77"/>
    </row>
    <row r="97" ht="15.75" customHeight="1">
      <c r="A97" s="77"/>
      <c r="B97" s="77"/>
      <c r="C97" s="77"/>
      <c r="D97" s="77"/>
      <c r="E97" s="77"/>
      <c r="F97" s="77"/>
      <c r="G97" s="77"/>
      <c r="H97" s="77"/>
      <c r="I97" s="77"/>
      <c r="J97" s="77"/>
      <c r="K97" s="77"/>
      <c r="L97" s="77"/>
      <c r="M97" s="77"/>
      <c r="N97" s="77"/>
      <c r="O97" s="77"/>
      <c r="P97" s="77"/>
    </row>
    <row r="98" ht="15.75" customHeight="1">
      <c r="A98" s="77"/>
      <c r="B98" s="77"/>
      <c r="C98" s="77"/>
      <c r="D98" s="77"/>
      <c r="E98" s="77"/>
      <c r="F98" s="77"/>
      <c r="G98" s="77"/>
      <c r="H98" s="77"/>
      <c r="I98" s="77"/>
      <c r="J98" s="77"/>
      <c r="K98" s="77"/>
      <c r="L98" s="77"/>
      <c r="M98" s="77"/>
      <c r="N98" s="77"/>
      <c r="O98" s="77"/>
      <c r="P98" s="77"/>
    </row>
    <row r="99" ht="15.75" customHeight="1">
      <c r="A99" s="77"/>
      <c r="B99" s="77"/>
      <c r="C99" s="77"/>
      <c r="D99" s="77"/>
      <c r="E99" s="77"/>
      <c r="F99" s="77"/>
      <c r="G99" s="77"/>
      <c r="H99" s="77"/>
      <c r="I99" s="77"/>
      <c r="J99" s="77"/>
      <c r="K99" s="77"/>
      <c r="L99" s="77"/>
      <c r="M99" s="77"/>
      <c r="N99" s="77"/>
      <c r="O99" s="77"/>
      <c r="P99" s="77"/>
    </row>
    <row r="100" ht="15.75" customHeight="1">
      <c r="A100" s="77"/>
      <c r="B100" s="77"/>
      <c r="C100" s="77"/>
      <c r="D100" s="77"/>
      <c r="E100" s="77"/>
      <c r="F100" s="77"/>
      <c r="G100" s="77"/>
      <c r="H100" s="77"/>
      <c r="I100" s="77"/>
      <c r="J100" s="77"/>
      <c r="K100" s="77"/>
      <c r="L100" s="77"/>
      <c r="M100" s="77"/>
      <c r="N100" s="77"/>
      <c r="O100" s="77"/>
      <c r="P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9.5"/>
    <col customWidth="1" min="2" max="16" width="8.88"/>
    <col customWidth="1" min="17" max="26" width="11.25"/>
  </cols>
  <sheetData>
    <row r="1" ht="37.5" customHeight="1">
      <c r="A1" s="2" t="str">
        <f>'Input sheet'!A1</f>
        <v>Novo Nordisk (NYSE:NVO)</v>
      </c>
      <c r="B1" s="2"/>
      <c r="C1" s="2" t="s">
        <v>57</v>
      </c>
      <c r="D1" s="2">
        <f>'Input sheet'!D1</f>
        <v>39.4</v>
      </c>
      <c r="E1" s="7"/>
      <c r="F1" s="7"/>
      <c r="G1" s="7"/>
      <c r="H1" s="7"/>
      <c r="I1" s="7"/>
      <c r="J1" s="7"/>
      <c r="K1" s="7"/>
      <c r="L1" s="7"/>
      <c r="M1" s="7"/>
      <c r="N1" s="7"/>
      <c r="O1" s="7"/>
      <c r="P1" s="7"/>
    </row>
    <row r="2" ht="14.25" customHeight="1">
      <c r="A2" s="390" t="s">
        <v>461</v>
      </c>
      <c r="B2" s="391" t="inlineStr">
        <is>
          <t xml:space="preserve">Dec '16</t>
        </is>
      </c>
      <c r="C2" s="391" t="inlineStr">
        <is>
          <t xml:space="preserve">Dec '17</t>
        </is>
      </c>
      <c r="D2" s="391" t="inlineStr">
        <is>
          <t xml:space="preserve">Dec '18</t>
        </is>
      </c>
      <c r="E2" s="391" t="inlineStr">
        <is>
          <t xml:space="preserve">Dec '19</t>
        </is>
      </c>
      <c r="F2" s="391" t="inlineStr">
        <is>
          <t xml:space="preserve">Dec '20</t>
        </is>
      </c>
      <c r="G2" s="391" t="inlineStr">
        <is>
          <t xml:space="preserve">Dec '21</t>
        </is>
      </c>
      <c r="H2" s="391" t="inlineStr">
        <is>
          <t xml:space="preserve">Dec '22</t>
        </is>
      </c>
      <c r="I2" s="391" t="inlineStr">
        <is>
          <t xml:space="preserve">Dec '23</t>
        </is>
      </c>
      <c r="J2" s="391" t="inlineStr">
        <is>
          <t xml:space="preserve">Dec '24</t>
        </is>
      </c>
      <c r="K2" s="391" t="inlineStr">
        <is>
          <t xml:space="preserve">Dec '25</t>
        </is>
      </c>
      <c r="L2" s="391" t="inlineStr">
        <is>
          <t xml:space="preserve">LTM jun-26 (aj.)</t>
        </is>
      </c>
      <c r="M2" s="9" t="inlineStr">
        <is>
          <t xml:space="preserve">Dec '26 (E)</t>
        </is>
      </c>
      <c r="N2" s="9"/>
      <c r="O2" s="9"/>
      <c r="P2" s="9"/>
    </row>
    <row r="3" ht="14.25" customHeight="1">
      <c r="A3" s="393" t="s">
        <v>470</v>
      </c>
      <c r="B3" s="394">
        <v>2650.0</v>
      </c>
      <c r="C3" s="394">
        <v>3036.9</v>
      </c>
      <c r="D3" s="394">
        <v>2397.9</v>
      </c>
      <c r="E3" s="394">
        <v>2326.8</v>
      </c>
      <c r="F3" s="394">
        <v>2103.8</v>
      </c>
      <c r="G3" s="394">
        <v>1632.7</v>
      </c>
      <c r="H3" s="394">
        <v>1814.8</v>
      </c>
      <c r="I3" s="394">
        <v>2133.8</v>
      </c>
      <c r="J3" s="394">
        <v>2180.8</v>
      </c>
      <c r="K3" s="394">
        <v>4163.3</v>
      </c>
      <c r="L3" s="394">
        <v>6780.9</v>
      </c>
      <c r="M3" s="395"/>
      <c r="N3" s="9"/>
      <c r="O3" s="9"/>
      <c r="P3" s="9"/>
    </row>
    <row r="4" ht="14.25" customHeight="1">
      <c r="A4" s="393" t="s">
        <v>471</v>
      </c>
      <c r="B4" s="394">
        <v>284.8</v>
      </c>
      <c r="C4" s="394">
        <v>0.0</v>
      </c>
      <c r="D4" s="394">
        <v>0.0</v>
      </c>
      <c r="E4" s="396">
        <v>0.0</v>
      </c>
      <c r="F4" s="396">
        <v>0.0</v>
      </c>
      <c r="G4" s="396">
        <v>1030.3</v>
      </c>
      <c r="H4" s="396">
        <v>1566.4</v>
      </c>
      <c r="I4" s="397">
        <v>2348.2</v>
      </c>
      <c r="J4" s="397">
        <v>1484.0</v>
      </c>
      <c r="K4" s="397">
        <v>78.3</v>
      </c>
      <c r="L4" s="397">
        <v>76.2</v>
      </c>
      <c r="M4" s="395"/>
      <c r="N4" s="9"/>
      <c r="O4" s="9"/>
      <c r="P4" s="9"/>
    </row>
    <row r="5" ht="14.25" customHeight="1">
      <c r="A5" s="398" t="s">
        <v>472</v>
      </c>
      <c r="B5" s="399">
        <v>2934.8</v>
      </c>
      <c r="C5" s="399">
        <v>3036.9</v>
      </c>
      <c r="D5" s="399">
        <v>2397.9</v>
      </c>
      <c r="E5" s="399">
        <v>2326.8</v>
      </c>
      <c r="F5" s="399">
        <v>2103.8</v>
      </c>
      <c r="G5" s="399">
        <v>2663.1</v>
      </c>
      <c r="H5" s="399">
        <v>3381.2</v>
      </c>
      <c r="I5" s="399">
        <v>4482.0</v>
      </c>
      <c r="J5" s="399">
        <v>3664.8</v>
      </c>
      <c r="K5" s="399">
        <v>4241.6</v>
      </c>
      <c r="L5" s="399">
        <v>6857.1</v>
      </c>
      <c r="M5" s="400"/>
      <c r="N5" s="9"/>
      <c r="O5" s="9"/>
      <c r="P5" s="9"/>
    </row>
    <row r="6" ht="14.25" customHeight="1">
      <c r="A6" s="393" t="s">
        <v>474</v>
      </c>
      <c r="B6" s="394">
        <v>2868.9</v>
      </c>
      <c r="C6" s="394">
        <v>3248.4</v>
      </c>
      <c r="D6" s="394">
        <v>3493.9</v>
      </c>
      <c r="E6" s="394">
        <v>3745.7</v>
      </c>
      <c r="F6" s="394">
        <v>4573.7</v>
      </c>
      <c r="G6" s="394">
        <v>6190.1</v>
      </c>
      <c r="H6" s="394">
        <v>7251.7</v>
      </c>
      <c r="I6" s="394">
        <v>9603.1</v>
      </c>
      <c r="J6" s="394">
        <v>10022.8</v>
      </c>
      <c r="K6" s="394">
        <v>11147.0</v>
      </c>
      <c r="L6" s="394">
        <v>13559.4</v>
      </c>
      <c r="M6" s="395"/>
      <c r="N6" s="9"/>
      <c r="O6" s="9"/>
      <c r="P6" s="9"/>
    </row>
    <row r="7" ht="14.25" customHeight="1">
      <c r="A7" s="398" t="s">
        <v>475</v>
      </c>
      <c r="B7" s="403">
        <v>561.9</v>
      </c>
      <c r="C7" s="403">
        <v>545.5</v>
      </c>
      <c r="D7" s="403">
        <v>629.1</v>
      </c>
      <c r="E7" s="404">
        <v>637.5</v>
      </c>
      <c r="F7" s="404">
        <v>733.9</v>
      </c>
      <c r="G7" s="404">
        <v>937.6</v>
      </c>
      <c r="H7" s="404">
        <v>996.1</v>
      </c>
      <c r="I7" s="404">
        <v>1555.4</v>
      </c>
      <c r="J7" s="404">
        <v>2278.5</v>
      </c>
      <c r="K7" s="405">
        <v>2883.7</v>
      </c>
      <c r="L7" s="405">
        <v>2982.2</v>
      </c>
      <c r="M7" s="400"/>
      <c r="N7" s="9"/>
      <c r="O7" s="9"/>
      <c r="P7" s="9"/>
    </row>
    <row r="8" ht="14.25" customHeight="1">
      <c r="A8" s="393" t="s">
        <v>476</v>
      </c>
      <c r="B8" s="394">
        <v>3430.8</v>
      </c>
      <c r="C8" s="394">
        <v>3793.8</v>
      </c>
      <c r="D8" s="394">
        <v>4123.0</v>
      </c>
      <c r="E8" s="394">
        <v>4383.2</v>
      </c>
      <c r="F8" s="394">
        <v>5307.6</v>
      </c>
      <c r="G8" s="394">
        <v>7127.7</v>
      </c>
      <c r="H8" s="394">
        <v>8247.8</v>
      </c>
      <c r="I8" s="394">
        <v>11158.5</v>
      </c>
      <c r="J8" s="394">
        <v>12301.2</v>
      </c>
      <c r="K8" s="394">
        <v>14030.7</v>
      </c>
      <c r="L8" s="394">
        <v>16541.6</v>
      </c>
      <c r="M8" s="395"/>
      <c r="N8" s="9"/>
      <c r="O8" s="9"/>
      <c r="P8" s="9"/>
    </row>
    <row r="9" ht="14.25" customHeight="1">
      <c r="A9" s="393" t="s">
        <v>477</v>
      </c>
      <c r="B9" s="394">
        <v>2108.4</v>
      </c>
      <c r="C9" s="394">
        <v>2847.6</v>
      </c>
      <c r="D9" s="394">
        <v>2536.2</v>
      </c>
      <c r="E9" s="394">
        <v>2680.7</v>
      </c>
      <c r="F9" s="394">
        <v>3441.4</v>
      </c>
      <c r="G9" s="394">
        <v>3245.8</v>
      </c>
      <c r="H9" s="394">
        <v>3889.0</v>
      </c>
      <c r="I9" s="394">
        <v>5064.0</v>
      </c>
      <c r="J9" s="394">
        <v>6571.7</v>
      </c>
      <c r="K9" s="394">
        <v>8857.8</v>
      </c>
      <c r="L9" s="394">
        <v>8415.0</v>
      </c>
      <c r="M9" s="395"/>
      <c r="N9" s="9"/>
      <c r="O9" s="9"/>
      <c r="P9" s="9"/>
    </row>
    <row r="10" ht="14.25" customHeight="1">
      <c r="A10" s="398" t="s">
        <v>479</v>
      </c>
      <c r="B10" s="399">
        <v>8474.0</v>
      </c>
      <c r="C10" s="399">
        <v>9678.3</v>
      </c>
      <c r="D10" s="399">
        <v>9057.1</v>
      </c>
      <c r="E10" s="399">
        <v>9390.8</v>
      </c>
      <c r="F10" s="399">
        <v>10852.7</v>
      </c>
      <c r="G10" s="399">
        <v>13036.5</v>
      </c>
      <c r="H10" s="399">
        <v>15518.0</v>
      </c>
      <c r="I10" s="399">
        <v>20704.5</v>
      </c>
      <c r="J10" s="399">
        <v>22537.7</v>
      </c>
      <c r="K10" s="399">
        <v>27130.1</v>
      </c>
      <c r="L10" s="399">
        <v>31813.7</v>
      </c>
      <c r="M10" s="400"/>
      <c r="N10" s="9"/>
      <c r="O10" s="9"/>
      <c r="P10" s="9"/>
    </row>
    <row r="11" ht="14.25" customHeight="1">
      <c r="A11" s="408" t="s">
        <v>480</v>
      </c>
      <c r="B11" s="409">
        <v>4279.0</v>
      </c>
      <c r="C11" s="409">
        <v>5677.9</v>
      </c>
      <c r="D11" s="409">
        <v>6423.4</v>
      </c>
      <c r="E11" s="409">
        <v>7600.7</v>
      </c>
      <c r="F11" s="409">
        <v>8290.0</v>
      </c>
      <c r="G11" s="409">
        <v>8431.9</v>
      </c>
      <c r="H11" s="409">
        <v>9562.5</v>
      </c>
      <c r="I11" s="409">
        <v>13486.3</v>
      </c>
      <c r="J11" s="409">
        <v>22522.6</v>
      </c>
      <c r="K11" s="409">
        <v>32781.8</v>
      </c>
      <c r="L11" s="409">
        <v>35329.3</v>
      </c>
      <c r="M11" s="395"/>
      <c r="N11" s="9"/>
      <c r="O11" s="9"/>
      <c r="P11" s="9"/>
    </row>
    <row r="12" ht="14.25" customHeight="1">
      <c r="A12" s="393" t="s">
        <v>481</v>
      </c>
      <c r="B12" s="410">
        <v>384.8</v>
      </c>
      <c r="C12" s="410">
        <v>535.6</v>
      </c>
      <c r="D12" s="396">
        <v>788.9</v>
      </c>
      <c r="E12" s="396">
        <v>877.3</v>
      </c>
      <c r="F12" s="396">
        <v>3406.6</v>
      </c>
      <c r="G12" s="396">
        <v>5913.2</v>
      </c>
      <c r="H12" s="396">
        <v>6644.1</v>
      </c>
      <c r="I12" s="396">
        <v>8294.2</v>
      </c>
      <c r="J12" s="396">
        <v>12649.3</v>
      </c>
      <c r="K12" s="396">
        <v>17337.8</v>
      </c>
      <c r="L12" s="396">
        <v>15574.4</v>
      </c>
      <c r="M12" s="395"/>
      <c r="N12" s="9"/>
      <c r="O12" s="9"/>
      <c r="P12" s="9"/>
    </row>
    <row r="13" ht="14.25" customHeight="1">
      <c r="A13" s="393" t="s">
        <v>483</v>
      </c>
      <c r="B13" s="394">
        <v>0.0</v>
      </c>
      <c r="C13" s="394">
        <v>0.0</v>
      </c>
      <c r="D13" s="394">
        <v>0.0</v>
      </c>
      <c r="E13" s="394">
        <v>0.0</v>
      </c>
      <c r="F13" s="394">
        <v>0.0</v>
      </c>
      <c r="G13" s="394">
        <v>661.9</v>
      </c>
      <c r="H13" s="394">
        <v>661.9</v>
      </c>
      <c r="I13" s="394">
        <v>661.9</v>
      </c>
      <c r="J13" s="394">
        <v>2788.4</v>
      </c>
      <c r="K13" s="394">
        <v>3122.0</v>
      </c>
      <c r="L13" s="394">
        <v>3032.0</v>
      </c>
      <c r="M13" s="395"/>
      <c r="N13" s="9"/>
      <c r="O13" s="9"/>
      <c r="P13" s="9"/>
    </row>
    <row r="14" ht="14.25" customHeight="1">
      <c r="A14" s="393" t="s">
        <v>484</v>
      </c>
      <c r="B14" s="394">
        <v>311.5</v>
      </c>
      <c r="C14" s="394">
        <v>283.8</v>
      </c>
      <c r="D14" s="394">
        <v>271.9</v>
      </c>
      <c r="E14" s="394">
        <v>271.8</v>
      </c>
      <c r="F14" s="394">
        <v>271.8</v>
      </c>
      <c r="G14" s="394">
        <v>219.5</v>
      </c>
      <c r="H14" s="394">
        <v>192.6</v>
      </c>
      <c r="I14" s="394">
        <v>246.6</v>
      </c>
      <c r="J14" s="394">
        <v>372.9</v>
      </c>
      <c r="K14" s="394">
        <v>394.4</v>
      </c>
      <c r="L14" s="394">
        <v>355.2</v>
      </c>
      <c r="M14" s="395"/>
      <c r="N14" s="9"/>
      <c r="O14" s="9"/>
      <c r="P14" s="9"/>
    </row>
    <row r="15" ht="14.25" customHeight="1">
      <c r="A15" s="393" t="s">
        <v>485</v>
      </c>
      <c r="B15" s="394">
        <v>380.4</v>
      </c>
      <c r="C15" s="394">
        <v>312.7</v>
      </c>
      <c r="D15" s="394">
        <v>443.6</v>
      </c>
      <c r="E15" s="394">
        <v>746.1</v>
      </c>
      <c r="F15" s="394">
        <v>1078.4</v>
      </c>
      <c r="G15" s="394">
        <v>1361.5</v>
      </c>
      <c r="H15" s="394">
        <v>2023.8</v>
      </c>
      <c r="I15" s="394">
        <v>3233.6</v>
      </c>
      <c r="J15" s="394">
        <v>3993.0</v>
      </c>
      <c r="K15" s="394">
        <v>4642.6</v>
      </c>
      <c r="L15" s="394">
        <v>4588.5</v>
      </c>
      <c r="M15" s="395"/>
      <c r="N15" s="9"/>
      <c r="O15" s="9"/>
      <c r="P15" s="9"/>
    </row>
    <row r="16" ht="14.25" customHeight="1">
      <c r="A16" s="398" t="s">
        <v>487</v>
      </c>
      <c r="B16" s="399">
        <v>13829.7</v>
      </c>
      <c r="C16" s="399">
        <v>16488.4</v>
      </c>
      <c r="D16" s="399">
        <v>16984.8</v>
      </c>
      <c r="E16" s="399">
        <v>18886.8</v>
      </c>
      <c r="F16" s="399">
        <v>23899.5</v>
      </c>
      <c r="G16" s="399">
        <v>29624.5</v>
      </c>
      <c r="H16" s="399">
        <v>34602.9</v>
      </c>
      <c r="I16" s="399">
        <v>46627.1</v>
      </c>
      <c r="J16" s="399">
        <v>64864.0</v>
      </c>
      <c r="K16" s="399">
        <v>85408.8</v>
      </c>
      <c r="L16" s="399">
        <v>90693.0</v>
      </c>
      <c r="M16" s="400"/>
      <c r="N16" s="9"/>
      <c r="O16" s="9"/>
      <c r="P16" s="9"/>
    </row>
    <row r="17" ht="14.25" customHeight="1">
      <c r="A17" s="390" t="s">
        <v>488</v>
      </c>
      <c r="B17" s="391"/>
      <c r="C17" s="391"/>
      <c r="D17" s="391"/>
      <c r="E17" s="391"/>
      <c r="F17" s="391"/>
      <c r="G17" s="391"/>
      <c r="H17" s="391"/>
      <c r="I17" s="391"/>
      <c r="J17" s="391"/>
      <c r="K17" s="391"/>
      <c r="L17" s="391"/>
      <c r="M17" s="9" t="inlineStr">
        <is>
          <t xml:space="preserve">Dec '26 (E)</t>
        </is>
      </c>
      <c r="N17" s="9"/>
      <c r="O17" s="9"/>
      <c r="P17" s="9"/>
    </row>
    <row r="18" ht="14.25" customHeight="1">
      <c r="A18" s="393" t="s">
        <v>489</v>
      </c>
      <c r="B18" s="394">
        <v>852.3</v>
      </c>
      <c r="C18" s="394">
        <v>903.7</v>
      </c>
      <c r="D18" s="394">
        <v>1035.9</v>
      </c>
      <c r="E18" s="394">
        <v>956.0</v>
      </c>
      <c r="F18" s="394">
        <v>942.8</v>
      </c>
      <c r="G18" s="394">
        <v>1350.9</v>
      </c>
      <c r="H18" s="394">
        <v>2235.6</v>
      </c>
      <c r="I18" s="394">
        <v>3796.5</v>
      </c>
      <c r="J18" s="394">
        <v>2387.7</v>
      </c>
      <c r="K18" s="394">
        <v>3108.3</v>
      </c>
      <c r="L18" s="394">
        <v>2224.3</v>
      </c>
      <c r="M18" s="395"/>
      <c r="N18" s="9"/>
      <c r="O18" s="9"/>
      <c r="P18" s="9"/>
    </row>
    <row r="19" ht="14.25" customHeight="1">
      <c r="A19" s="393" t="s">
        <v>491</v>
      </c>
      <c r="B19" s="394">
        <v>2010.7</v>
      </c>
      <c r="C19" s="394">
        <v>2327.1</v>
      </c>
      <c r="D19" s="394">
        <v>2161.7</v>
      </c>
      <c r="E19" s="394">
        <v>2268.2</v>
      </c>
      <c r="F19" s="394">
        <v>2804.3</v>
      </c>
      <c r="G19" s="394">
        <v>2985.2</v>
      </c>
      <c r="H19" s="394">
        <v>3385.8</v>
      </c>
      <c r="I19" s="394">
        <v>4255.9</v>
      </c>
      <c r="J19" s="394">
        <v>4927.5</v>
      </c>
      <c r="K19" s="394">
        <v>6248.9</v>
      </c>
      <c r="L19" s="394">
        <v>5850.1</v>
      </c>
      <c r="M19" s="395"/>
      <c r="N19" s="9"/>
      <c r="O19" s="9"/>
      <c r="P19" s="9"/>
    </row>
    <row r="20" ht="14.25" customHeight="1">
      <c r="A20" s="393" t="s">
        <v>492</v>
      </c>
      <c r="B20" s="394">
        <v>32.5</v>
      </c>
      <c r="C20" s="394">
        <v>272.9</v>
      </c>
      <c r="D20" s="394">
        <v>79.0</v>
      </c>
      <c r="E20" s="394">
        <v>221.6</v>
      </c>
      <c r="F20" s="394">
        <v>1102.3</v>
      </c>
      <c r="G20" s="394">
        <v>1958.9</v>
      </c>
      <c r="H20" s="394">
        <v>68.8</v>
      </c>
      <c r="I20" s="394">
        <v>786.4</v>
      </c>
      <c r="J20" s="394">
        <v>1640.3</v>
      </c>
      <c r="K20" s="394">
        <v>1680.3</v>
      </c>
      <c r="L20" s="394">
        <v>2591.0</v>
      </c>
      <c r="M20" s="395"/>
      <c r="N20" s="9"/>
      <c r="O20" s="9"/>
      <c r="P20" s="9"/>
    </row>
    <row r="21" ht="14.25" customHeight="1">
      <c r="A21" s="393" t="s">
        <v>493</v>
      </c>
      <c r="B21" s="394">
        <v>0.0</v>
      </c>
      <c r="C21" s="394">
        <v>0.0</v>
      </c>
      <c r="D21" s="394">
        <v>0.0</v>
      </c>
      <c r="E21" s="394">
        <v>0.0</v>
      </c>
      <c r="F21" s="394">
        <v>127.8</v>
      </c>
      <c r="G21" s="394">
        <v>125.2</v>
      </c>
      <c r="H21" s="394">
        <v>141.4</v>
      </c>
      <c r="I21" s="394">
        <v>174.1</v>
      </c>
      <c r="J21" s="394">
        <v>186.4</v>
      </c>
      <c r="K21" s="394">
        <v>210.2</v>
      </c>
      <c r="L21" s="394">
        <v>203.7</v>
      </c>
      <c r="M21" s="395"/>
      <c r="N21" s="9"/>
      <c r="O21" s="9"/>
      <c r="P21" s="9"/>
    </row>
    <row r="22" ht="14.25" customHeight="1">
      <c r="A22" s="393" t="s">
        <v>495</v>
      </c>
      <c r="B22" s="394">
        <v>0.0</v>
      </c>
      <c r="C22" s="394">
        <v>0.0</v>
      </c>
      <c r="D22" s="394">
        <v>0.0</v>
      </c>
      <c r="E22" s="394">
        <v>0.0</v>
      </c>
      <c r="F22" s="394">
        <v>0.0</v>
      </c>
      <c r="G22" s="394">
        <v>0.0</v>
      </c>
      <c r="H22" s="394">
        <v>0.0</v>
      </c>
      <c r="I22" s="394">
        <v>0.0</v>
      </c>
      <c r="J22" s="394">
        <v>0.0</v>
      </c>
      <c r="K22" s="394">
        <v>0.0</v>
      </c>
      <c r="L22" s="394">
        <v>0.0</v>
      </c>
      <c r="M22" s="395"/>
      <c r="N22" s="9"/>
      <c r="O22" s="9"/>
      <c r="P22" s="9"/>
    </row>
    <row r="23" ht="14.25" customHeight="1">
      <c r="A23" s="393" t="s">
        <v>496</v>
      </c>
      <c r="B23" s="394">
        <v>3830.4</v>
      </c>
      <c r="C23" s="394">
        <v>4076.5</v>
      </c>
      <c r="D23" s="394">
        <v>5028.6</v>
      </c>
      <c r="E23" s="394">
        <v>5422.8</v>
      </c>
      <c r="F23" s="394">
        <v>6611.7</v>
      </c>
      <c r="G23" s="394">
        <v>8736.5</v>
      </c>
      <c r="H23" s="394">
        <v>11514.5</v>
      </c>
      <c r="I23" s="394">
        <v>16141.0</v>
      </c>
      <c r="J23" s="394">
        <v>21172.6</v>
      </c>
      <c r="K23" s="394">
        <v>22679.9</v>
      </c>
      <c r="L23" s="394">
        <v>25576.9</v>
      </c>
      <c r="M23" s="395"/>
      <c r="N23" s="9"/>
      <c r="O23" s="9"/>
      <c r="P23" s="9"/>
    </row>
    <row r="24" ht="14.25" customHeight="1">
      <c r="A24" s="398" t="s">
        <v>497</v>
      </c>
      <c r="B24" s="399">
        <v>6725.8</v>
      </c>
      <c r="C24" s="399">
        <v>7580.3</v>
      </c>
      <c r="D24" s="399">
        <v>8305.2</v>
      </c>
      <c r="E24" s="399">
        <v>8868.6</v>
      </c>
      <c r="F24" s="399">
        <v>11588.9</v>
      </c>
      <c r="G24" s="399">
        <v>15156.8</v>
      </c>
      <c r="H24" s="399">
        <v>17346.1</v>
      </c>
      <c r="I24" s="399">
        <v>25153.8</v>
      </c>
      <c r="J24" s="399">
        <v>30314.5</v>
      </c>
      <c r="K24" s="399">
        <v>33927.6</v>
      </c>
      <c r="L24" s="399">
        <v>36445.9</v>
      </c>
      <c r="M24" s="400"/>
      <c r="N24" s="9"/>
      <c r="O24" s="9"/>
      <c r="P24" s="9"/>
    </row>
    <row r="25" ht="14.25" customHeight="1">
      <c r="A25" s="393" t="s">
        <v>499</v>
      </c>
      <c r="B25" s="394">
        <v>0.0</v>
      </c>
      <c r="C25" s="394">
        <v>0.0</v>
      </c>
      <c r="D25" s="394">
        <v>0.0</v>
      </c>
      <c r="E25" s="394">
        <v>0.0</v>
      </c>
      <c r="F25" s="394">
        <v>0.0</v>
      </c>
      <c r="G25" s="394">
        <v>1470.4</v>
      </c>
      <c r="H25" s="394">
        <v>2979.7</v>
      </c>
      <c r="I25" s="394">
        <v>2368.7</v>
      </c>
      <c r="J25" s="394">
        <v>11735.8</v>
      </c>
      <c r="K25" s="394">
        <v>17573.3</v>
      </c>
      <c r="L25" s="394">
        <v>17455.6</v>
      </c>
      <c r="M25" s="395"/>
      <c r="N25" s="9"/>
      <c r="O25" s="9"/>
      <c r="P25" s="9"/>
    </row>
    <row r="26" ht="14.25" customHeight="1">
      <c r="A26" s="393" t="s">
        <v>500</v>
      </c>
      <c r="B26" s="394">
        <v>0.0</v>
      </c>
      <c r="C26" s="394">
        <v>0.0</v>
      </c>
      <c r="D26" s="394">
        <v>0.0</v>
      </c>
      <c r="E26" s="394">
        <v>452.4</v>
      </c>
      <c r="F26" s="394">
        <v>477.8</v>
      </c>
      <c r="G26" s="394">
        <v>503.7</v>
      </c>
      <c r="H26" s="394">
        <v>508.2</v>
      </c>
      <c r="I26" s="394">
        <v>674.9</v>
      </c>
      <c r="J26" s="394">
        <v>756.1</v>
      </c>
      <c r="K26" s="394">
        <v>1138.4</v>
      </c>
      <c r="L26" s="394">
        <v>1110.7</v>
      </c>
      <c r="M26" s="395"/>
      <c r="N26" s="9"/>
      <c r="O26" s="9"/>
      <c r="P26" s="9"/>
    </row>
    <row r="27" ht="14.25" customHeight="1">
      <c r="A27" s="393" t="s">
        <v>501</v>
      </c>
      <c r="B27" s="394">
        <v>685.4</v>
      </c>
      <c r="C27" s="394">
        <v>883.4</v>
      </c>
      <c r="D27" s="394">
        <v>730.8</v>
      </c>
      <c r="E27" s="394">
        <v>906.2</v>
      </c>
      <c r="F27" s="394">
        <v>1389.7</v>
      </c>
      <c r="G27" s="394">
        <v>1718.8</v>
      </c>
      <c r="H27" s="394">
        <v>1794.7</v>
      </c>
      <c r="I27" s="394">
        <v>2630.5</v>
      </c>
      <c r="J27" s="394">
        <v>2069.5</v>
      </c>
      <c r="K27" s="394">
        <v>2242.3</v>
      </c>
      <c r="L27" s="394">
        <v>1949.3</v>
      </c>
      <c r="M27" s="395"/>
      <c r="N27" s="9"/>
      <c r="O27" s="9"/>
      <c r="P27" s="9"/>
    </row>
    <row r="28" ht="14.25" customHeight="1">
      <c r="A28" s="398" t="s">
        <v>503</v>
      </c>
      <c r="B28" s="404">
        <v>685.4</v>
      </c>
      <c r="C28" s="404">
        <v>883.4</v>
      </c>
      <c r="D28" s="404">
        <v>730.8</v>
      </c>
      <c r="E28" s="404">
        <v>1358.6</v>
      </c>
      <c r="F28" s="404">
        <v>1867.5</v>
      </c>
      <c r="G28" s="404">
        <v>3692.8</v>
      </c>
      <c r="H28" s="404">
        <v>5282.6</v>
      </c>
      <c r="I28" s="404">
        <v>5674.1</v>
      </c>
      <c r="J28" s="404">
        <v>14561.4</v>
      </c>
      <c r="K28" s="404">
        <v>20953.9</v>
      </c>
      <c r="L28" s="404">
        <v>20515.6</v>
      </c>
      <c r="M28" s="400"/>
      <c r="N28" s="9"/>
      <c r="O28" s="9"/>
      <c r="P28" s="9"/>
    </row>
    <row r="29" ht="14.25" customHeight="1">
      <c r="A29" s="398" t="s">
        <v>504</v>
      </c>
      <c r="B29" s="399">
        <v>7411.2</v>
      </c>
      <c r="C29" s="399">
        <v>8463.7</v>
      </c>
      <c r="D29" s="399">
        <v>9036.0</v>
      </c>
      <c r="E29" s="399">
        <v>10227.2</v>
      </c>
      <c r="F29" s="399">
        <v>13456.4</v>
      </c>
      <c r="G29" s="399">
        <v>18849.6</v>
      </c>
      <c r="H29" s="399">
        <v>22628.7</v>
      </c>
      <c r="I29" s="399">
        <v>30827.9</v>
      </c>
      <c r="J29" s="399">
        <v>44875.9</v>
      </c>
      <c r="K29" s="399">
        <v>54881.5</v>
      </c>
      <c r="L29" s="399">
        <v>56961.5</v>
      </c>
      <c r="M29" s="400"/>
      <c r="N29" s="9"/>
      <c r="O29" s="9"/>
      <c r="P29" s="9"/>
    </row>
    <row r="30" ht="14.25" customHeight="1">
      <c r="A30" s="390" t="s">
        <v>505</v>
      </c>
      <c r="B30" s="391"/>
      <c r="C30" s="391"/>
      <c r="D30" s="391"/>
      <c r="E30" s="391"/>
      <c r="F30" s="391"/>
      <c r="G30" s="391"/>
      <c r="H30" s="391"/>
      <c r="I30" s="391"/>
      <c r="J30" s="391"/>
      <c r="K30" s="391"/>
      <c r="L30" s="391"/>
      <c r="M30" s="9" t="inlineStr">
        <is>
          <t xml:space="preserve">Dec '26 (E)</t>
        </is>
      </c>
      <c r="N30" s="9"/>
      <c r="O30" s="9"/>
      <c r="P30" s="9"/>
    </row>
    <row r="31" ht="14.25" customHeight="1">
      <c r="A31" s="393" t="s">
        <v>509</v>
      </c>
      <c r="B31" s="394">
        <v>71.0</v>
      </c>
      <c r="C31" s="394">
        <v>78.8</v>
      </c>
      <c r="D31" s="394">
        <v>73.4</v>
      </c>
      <c r="E31" s="394">
        <v>70.7</v>
      </c>
      <c r="F31" s="394">
        <v>76.2</v>
      </c>
      <c r="G31" s="394">
        <v>69.5</v>
      </c>
      <c r="H31" s="394">
        <v>64.5</v>
      </c>
      <c r="I31" s="394">
        <v>66.1</v>
      </c>
      <c r="J31" s="394">
        <v>61.9</v>
      </c>
      <c r="K31" s="394">
        <v>69.8</v>
      </c>
      <c r="L31" s="394">
        <v>67.4</v>
      </c>
      <c r="M31" s="395"/>
      <c r="N31" s="9"/>
      <c r="O31" s="9"/>
      <c r="P31" s="9"/>
    </row>
    <row r="32" ht="14.25" customHeight="1">
      <c r="A32" s="393" t="s">
        <v>510</v>
      </c>
      <c r="B32" s="394">
        <v>-190.4</v>
      </c>
      <c r="C32" s="394">
        <v>56.2</v>
      </c>
      <c r="D32" s="394">
        <v>-313.7</v>
      </c>
      <c r="E32" s="394">
        <v>-104.3</v>
      </c>
      <c r="F32" s="394">
        <v>-150.2</v>
      </c>
      <c r="G32" s="394">
        <v>-261.1</v>
      </c>
      <c r="H32" s="394">
        <v>351.3</v>
      </c>
      <c r="I32" s="394">
        <v>189.2</v>
      </c>
      <c r="J32" s="394">
        <v>-195.9</v>
      </c>
      <c r="K32" s="394">
        <v>-266.7</v>
      </c>
      <c r="L32" s="394">
        <v>-507.5</v>
      </c>
      <c r="M32" s="395"/>
      <c r="N32" s="9"/>
      <c r="O32" s="9"/>
      <c r="P32" s="9"/>
    </row>
    <row r="33" ht="14.25" customHeight="1">
      <c r="A33" s="393" t="s">
        <v>511</v>
      </c>
      <c r="B33" s="394">
        <v>6537.9</v>
      </c>
      <c r="C33" s="394">
        <v>7889.7</v>
      </c>
      <c r="D33" s="394">
        <v>8189.0</v>
      </c>
      <c r="E33" s="394">
        <v>8693.3</v>
      </c>
      <c r="F33" s="394">
        <v>10517.2</v>
      </c>
      <c r="G33" s="394">
        <v>10966.6</v>
      </c>
      <c r="H33" s="394">
        <v>11558.4</v>
      </c>
      <c r="I33" s="394">
        <v>15543.9</v>
      </c>
      <c r="J33" s="394">
        <v>20122.2</v>
      </c>
      <c r="K33" s="394">
        <v>30724.1</v>
      </c>
      <c r="L33" s="394">
        <v>34171.6</v>
      </c>
      <c r="M33" s="395"/>
      <c r="N33" s="9"/>
      <c r="O33" s="9"/>
      <c r="P33" s="9"/>
    </row>
    <row r="34" ht="14.25" customHeight="1">
      <c r="A34" s="398" t="s">
        <v>513</v>
      </c>
      <c r="B34" s="399">
        <v>6418.5</v>
      </c>
      <c r="C34" s="399">
        <v>8024.7</v>
      </c>
      <c r="D34" s="399">
        <v>7948.7</v>
      </c>
      <c r="E34" s="399">
        <v>8659.6</v>
      </c>
      <c r="F34" s="399">
        <v>10443.1</v>
      </c>
      <c r="G34" s="399">
        <v>10775.0</v>
      </c>
      <c r="H34" s="399">
        <v>11974.2</v>
      </c>
      <c r="I34" s="399">
        <v>15799.2</v>
      </c>
      <c r="J34" s="399">
        <v>19988.1</v>
      </c>
      <c r="K34" s="399">
        <v>30527.3</v>
      </c>
      <c r="L34" s="399">
        <v>33731.5</v>
      </c>
      <c r="M34" s="400"/>
      <c r="N34" s="9"/>
      <c r="O34" s="9"/>
      <c r="P34" s="9"/>
    </row>
    <row r="35" ht="14.25" customHeight="1">
      <c r="A35" s="398" t="s">
        <v>515</v>
      </c>
      <c r="B35" s="399">
        <v>6418.5</v>
      </c>
      <c r="C35" s="399">
        <v>8024.7</v>
      </c>
      <c r="D35" s="399">
        <v>7948.7</v>
      </c>
      <c r="E35" s="399">
        <v>8659.6</v>
      </c>
      <c r="F35" s="399">
        <v>10443.1</v>
      </c>
      <c r="G35" s="399">
        <v>10775.0</v>
      </c>
      <c r="H35" s="399">
        <v>11974.2</v>
      </c>
      <c r="I35" s="399">
        <v>15799.2</v>
      </c>
      <c r="J35" s="399">
        <v>19988.1</v>
      </c>
      <c r="K35" s="399">
        <v>30527.3</v>
      </c>
      <c r="L35" s="399">
        <v>33731.5</v>
      </c>
      <c r="M35" s="400"/>
      <c r="N35" s="9"/>
      <c r="O35" s="9"/>
      <c r="P35" s="9"/>
    </row>
    <row r="36" ht="14.25" customHeight="1">
      <c r="A36" s="398" t="s">
        <v>517</v>
      </c>
      <c r="B36" s="399">
        <v>13829.7</v>
      </c>
      <c r="C36" s="399">
        <v>16488.4</v>
      </c>
      <c r="D36" s="399">
        <v>16984.8</v>
      </c>
      <c r="E36" s="399">
        <v>18886.8</v>
      </c>
      <c r="F36" s="399">
        <v>23899.5</v>
      </c>
      <c r="G36" s="399">
        <v>29624.5</v>
      </c>
      <c r="H36" s="399">
        <v>34602.9</v>
      </c>
      <c r="I36" s="399">
        <v>46627.1</v>
      </c>
      <c r="J36" s="399">
        <v>64864.0</v>
      </c>
      <c r="K36" s="399">
        <v>85408.8</v>
      </c>
      <c r="L36" s="399">
        <v>90693.0</v>
      </c>
      <c r="M36" s="400"/>
      <c r="N36" s="9"/>
      <c r="O36" s="9"/>
      <c r="P36" s="9"/>
    </row>
    <row r="37" ht="14.25" customHeight="1">
      <c r="A37" s="9"/>
      <c r="B37" s="9"/>
      <c r="C37" s="9"/>
      <c r="D37" s="9"/>
      <c r="E37" s="9"/>
      <c r="F37" s="9"/>
      <c r="G37" s="9"/>
      <c r="H37" s="9"/>
      <c r="I37" s="9"/>
      <c r="J37" s="9"/>
      <c r="K37" s="9"/>
      <c r="L37" s="9"/>
      <c r="M37" s="9"/>
      <c r="N37" s="9"/>
      <c r="O37" s="9"/>
      <c r="P37" s="9"/>
    </row>
    <row r="38" ht="14.25" customHeight="1">
      <c r="A38" s="9"/>
      <c r="B38" s="9"/>
      <c r="C38" s="9"/>
      <c r="D38" s="9"/>
      <c r="E38" s="9"/>
      <c r="F38" s="9"/>
      <c r="G38" s="9"/>
      <c r="H38" s="9"/>
      <c r="I38" s="9"/>
      <c r="J38" s="9"/>
      <c r="K38" s="9"/>
      <c r="L38" s="9"/>
      <c r="M38" s="9"/>
      <c r="N38" s="9"/>
      <c r="O38" s="9"/>
      <c r="P38" s="9"/>
    </row>
    <row r="39" ht="14.25" customHeight="1">
      <c r="A39" s="9"/>
      <c r="B39" s="9"/>
      <c r="C39" s="9"/>
      <c r="D39" s="9"/>
      <c r="E39" s="9"/>
      <c r="F39" s="9"/>
      <c r="G39" s="9"/>
      <c r="H39" s="9"/>
      <c r="I39" s="9"/>
      <c r="J39" s="9"/>
      <c r="K39" s="9"/>
      <c r="L39" s="9"/>
      <c r="M39" s="9"/>
      <c r="N39" s="9"/>
      <c r="O39" s="9"/>
      <c r="P39" s="9"/>
    </row>
    <row r="40" ht="14.25" customHeight="1">
      <c r="A40" s="9"/>
      <c r="B40" s="9"/>
      <c r="C40" s="9"/>
      <c r="D40" s="9"/>
      <c r="E40" s="9"/>
      <c r="F40" s="9"/>
      <c r="G40" s="9"/>
      <c r="H40" s="9"/>
      <c r="I40" s="9"/>
      <c r="J40" s="9"/>
      <c r="K40" s="9"/>
      <c r="L40" s="9"/>
      <c r="M40" s="9"/>
      <c r="N40" s="9"/>
      <c r="O40" s="9"/>
      <c r="P40" s="9"/>
    </row>
    <row r="41" ht="14.25" customHeight="1">
      <c r="A41" s="9"/>
      <c r="B41" s="9"/>
      <c r="C41" s="9"/>
      <c r="D41" s="9"/>
      <c r="E41" s="9"/>
      <c r="F41" s="9"/>
      <c r="G41" s="9"/>
      <c r="H41" s="9"/>
      <c r="I41" s="9"/>
      <c r="J41" s="9"/>
      <c r="K41" s="9"/>
      <c r="L41" s="9"/>
      <c r="M41" s="9"/>
      <c r="N41" s="9"/>
      <c r="O41" s="9"/>
      <c r="P41" s="9"/>
    </row>
    <row r="42" ht="14.25" customHeight="1">
      <c r="A42" s="9"/>
      <c r="B42" s="9"/>
      <c r="C42" s="9"/>
      <c r="D42" s="9"/>
      <c r="E42" s="9"/>
      <c r="F42" s="9"/>
      <c r="G42" s="9"/>
      <c r="H42" s="9"/>
      <c r="I42" s="9"/>
      <c r="J42" s="9"/>
      <c r="K42" s="9"/>
      <c r="L42" s="9"/>
      <c r="M42" s="9"/>
      <c r="N42" s="9"/>
      <c r="O42" s="9"/>
      <c r="P42" s="9"/>
    </row>
    <row r="43" ht="14.25" customHeight="1">
      <c r="A43" s="9"/>
      <c r="B43" s="9"/>
      <c r="C43" s="9"/>
      <c r="D43" s="9"/>
      <c r="E43" s="9"/>
      <c r="F43" s="9"/>
      <c r="G43" s="9"/>
      <c r="H43" s="9"/>
      <c r="I43" s="9"/>
      <c r="J43" s="9"/>
      <c r="K43" s="9"/>
      <c r="L43" s="9"/>
      <c r="M43" s="9"/>
      <c r="N43" s="9"/>
      <c r="O43" s="9"/>
      <c r="P43" s="9"/>
    </row>
    <row r="44" ht="14.25" customHeight="1">
      <c r="A44" s="9"/>
      <c r="B44" s="9"/>
      <c r="C44" s="9"/>
      <c r="D44" s="9"/>
      <c r="E44" s="9"/>
      <c r="F44" s="9"/>
      <c r="G44" s="9"/>
      <c r="H44" s="9"/>
      <c r="I44" s="9"/>
      <c r="J44" s="9"/>
      <c r="K44" s="9"/>
      <c r="L44" s="9"/>
      <c r="M44" s="9"/>
      <c r="N44" s="9"/>
      <c r="O44" s="9"/>
      <c r="P44" s="9"/>
    </row>
    <row r="45" ht="14.25" customHeight="1">
      <c r="A45" s="9"/>
      <c r="B45" s="9"/>
      <c r="C45" s="9"/>
      <c r="D45" s="9"/>
      <c r="E45" s="9"/>
      <c r="F45" s="9"/>
      <c r="G45" s="9"/>
      <c r="H45" s="9"/>
      <c r="I45" s="9"/>
      <c r="J45" s="9"/>
      <c r="K45" s="9"/>
      <c r="L45" s="9"/>
      <c r="M45" s="9"/>
      <c r="N45" s="9"/>
      <c r="O45" s="9"/>
      <c r="P45" s="9"/>
    </row>
    <row r="46" ht="14.25" customHeight="1">
      <c r="A46" s="9"/>
      <c r="B46" s="9"/>
      <c r="C46" s="9"/>
      <c r="D46" s="9"/>
      <c r="E46" s="9"/>
      <c r="F46" s="9"/>
      <c r="G46" s="9"/>
      <c r="H46" s="9"/>
      <c r="I46" s="9"/>
      <c r="J46" s="9"/>
      <c r="K46" s="9"/>
      <c r="L46" s="9"/>
      <c r="M46" s="9"/>
      <c r="N46" s="9"/>
      <c r="O46" s="9"/>
      <c r="P46" s="9"/>
    </row>
    <row r="47" ht="14.25" customHeight="1">
      <c r="A47" s="9"/>
      <c r="B47" s="9"/>
      <c r="C47" s="9"/>
      <c r="D47" s="9"/>
      <c r="E47" s="9"/>
      <c r="F47" s="9"/>
      <c r="G47" s="9"/>
      <c r="H47" s="9"/>
      <c r="I47" s="9"/>
      <c r="J47" s="9"/>
      <c r="K47" s="9"/>
      <c r="L47" s="9"/>
      <c r="M47" s="9"/>
      <c r="N47" s="9"/>
      <c r="O47" s="9"/>
      <c r="P47" s="9"/>
    </row>
    <row r="48" ht="14.25" customHeight="1">
      <c r="A48" s="9"/>
      <c r="B48" s="9"/>
      <c r="C48" s="9"/>
      <c r="D48" s="9"/>
      <c r="E48" s="9"/>
      <c r="F48" s="9"/>
      <c r="G48" s="9"/>
      <c r="H48" s="9"/>
      <c r="I48" s="9"/>
      <c r="J48" s="9"/>
      <c r="K48" s="9"/>
      <c r="L48" s="9"/>
      <c r="M48" s="9"/>
      <c r="N48" s="9"/>
      <c r="O48" s="9"/>
      <c r="P48" s="9"/>
    </row>
    <row r="49" ht="14.25" customHeight="1">
      <c r="A49" s="9"/>
      <c r="B49" s="9"/>
      <c r="C49" s="9"/>
      <c r="D49" s="9"/>
      <c r="E49" s="9"/>
      <c r="F49" s="9"/>
      <c r="G49" s="9"/>
      <c r="H49" s="9"/>
      <c r="I49" s="9"/>
      <c r="J49" s="9"/>
      <c r="K49" s="9"/>
      <c r="L49" s="9"/>
      <c r="M49" s="9"/>
      <c r="N49" s="9"/>
      <c r="O49" s="9"/>
      <c r="P49" s="9"/>
    </row>
    <row r="50" ht="14.25" customHeight="1">
      <c r="A50" s="9"/>
      <c r="B50" s="9"/>
      <c r="C50" s="9"/>
      <c r="D50" s="9"/>
      <c r="E50" s="9"/>
      <c r="F50" s="9"/>
      <c r="G50" s="9"/>
      <c r="H50" s="9"/>
      <c r="I50" s="9"/>
      <c r="J50" s="9"/>
      <c r="K50" s="9"/>
      <c r="L50" s="9"/>
      <c r="M50" s="9"/>
      <c r="N50" s="9"/>
      <c r="O50" s="9"/>
      <c r="P50" s="9"/>
    </row>
    <row r="51" ht="14.25" customHeight="1">
      <c r="A51" s="9"/>
      <c r="B51" s="9"/>
      <c r="C51" s="9"/>
      <c r="D51" s="9"/>
      <c r="E51" s="9"/>
      <c r="F51" s="9"/>
      <c r="G51" s="9"/>
      <c r="H51" s="9"/>
      <c r="I51" s="9"/>
      <c r="J51" s="9"/>
      <c r="K51" s="9"/>
      <c r="L51" s="9"/>
      <c r="M51" s="9"/>
      <c r="N51" s="9"/>
      <c r="O51" s="9"/>
      <c r="P51" s="9"/>
    </row>
    <row r="52" ht="15.75" customHeight="1">
      <c r="A52" s="77"/>
      <c r="B52" s="77"/>
      <c r="C52" s="77"/>
      <c r="D52" s="77"/>
      <c r="E52" s="77"/>
      <c r="F52" s="77"/>
      <c r="G52" s="77"/>
      <c r="H52" s="77"/>
      <c r="I52" s="77"/>
      <c r="J52" s="77"/>
      <c r="K52" s="77"/>
      <c r="L52" s="77"/>
      <c r="M52" s="77"/>
      <c r="N52" s="77"/>
      <c r="O52" s="77"/>
      <c r="P52" s="77"/>
    </row>
    <row r="53" ht="15.75" customHeight="1">
      <c r="A53" s="77"/>
      <c r="B53" s="77"/>
      <c r="C53" s="77"/>
      <c r="D53" s="77"/>
      <c r="E53" s="77"/>
      <c r="F53" s="77"/>
      <c r="G53" s="77"/>
      <c r="H53" s="77"/>
      <c r="I53" s="77"/>
      <c r="J53" s="77"/>
      <c r="K53" s="77"/>
      <c r="L53" s="77"/>
      <c r="M53" s="77"/>
      <c r="N53" s="77"/>
      <c r="O53" s="77"/>
      <c r="P53" s="77"/>
    </row>
    <row r="54" ht="15.75" customHeight="1">
      <c r="A54" s="77"/>
      <c r="B54" s="77"/>
      <c r="C54" s="77"/>
      <c r="D54" s="77"/>
      <c r="E54" s="77"/>
      <c r="F54" s="77"/>
      <c r="G54" s="77"/>
      <c r="H54" s="77"/>
      <c r="I54" s="77"/>
      <c r="J54" s="77"/>
      <c r="K54" s="77"/>
      <c r="L54" s="77"/>
      <c r="M54" s="77"/>
      <c r="N54" s="77"/>
      <c r="O54" s="77"/>
      <c r="P54" s="77"/>
    </row>
    <row r="55" ht="15.75" customHeight="1">
      <c r="A55" s="77"/>
      <c r="B55" s="77"/>
      <c r="C55" s="77"/>
      <c r="D55" s="77"/>
      <c r="E55" s="77"/>
      <c r="F55" s="77"/>
      <c r="G55" s="77"/>
      <c r="H55" s="77"/>
      <c r="I55" s="77"/>
      <c r="J55" s="77"/>
      <c r="K55" s="77"/>
      <c r="L55" s="77"/>
      <c r="M55" s="77"/>
      <c r="N55" s="77"/>
      <c r="O55" s="77"/>
      <c r="P55" s="77"/>
    </row>
    <row r="56" ht="15.75" customHeight="1">
      <c r="A56" s="77"/>
      <c r="B56" s="77"/>
      <c r="C56" s="77"/>
      <c r="D56" s="77"/>
      <c r="E56" s="77"/>
      <c r="F56" s="77"/>
      <c r="G56" s="77"/>
      <c r="H56" s="77"/>
      <c r="I56" s="77"/>
      <c r="J56" s="77"/>
      <c r="K56" s="77"/>
      <c r="L56" s="77"/>
      <c r="M56" s="77"/>
      <c r="N56" s="77"/>
      <c r="O56" s="77"/>
      <c r="P56" s="77"/>
    </row>
    <row r="57" ht="15.75" customHeight="1">
      <c r="A57" s="77"/>
      <c r="B57" s="77"/>
      <c r="C57" s="77"/>
      <c r="D57" s="77"/>
      <c r="E57" s="77"/>
      <c r="F57" s="77"/>
      <c r="G57" s="77"/>
      <c r="H57" s="77"/>
      <c r="I57" s="77"/>
      <c r="J57" s="77"/>
      <c r="K57" s="77"/>
      <c r="L57" s="77"/>
      <c r="M57" s="77"/>
      <c r="N57" s="77"/>
      <c r="O57" s="77"/>
      <c r="P57" s="77"/>
    </row>
    <row r="58" ht="15.75" customHeight="1">
      <c r="A58" s="77"/>
      <c r="B58" s="77"/>
      <c r="C58" s="77"/>
      <c r="D58" s="77"/>
      <c r="E58" s="77"/>
      <c r="F58" s="77"/>
      <c r="G58" s="77"/>
      <c r="H58" s="77"/>
      <c r="I58" s="77"/>
      <c r="J58" s="77"/>
      <c r="K58" s="77"/>
      <c r="L58" s="77"/>
      <c r="M58" s="77"/>
      <c r="N58" s="77"/>
      <c r="O58" s="77"/>
      <c r="P58" s="77"/>
    </row>
    <row r="59" ht="15.75" customHeight="1">
      <c r="A59" s="77"/>
      <c r="B59" s="77"/>
      <c r="C59" s="77"/>
      <c r="D59" s="77"/>
      <c r="E59" s="77"/>
      <c r="F59" s="77"/>
      <c r="G59" s="77"/>
      <c r="H59" s="77"/>
      <c r="I59" s="77"/>
      <c r="J59" s="77"/>
      <c r="K59" s="77"/>
      <c r="L59" s="77"/>
      <c r="M59" s="77"/>
      <c r="N59" s="77"/>
      <c r="O59" s="77"/>
      <c r="P59" s="77"/>
    </row>
    <row r="60" ht="15.75" customHeight="1">
      <c r="A60" s="77"/>
      <c r="B60" s="77"/>
      <c r="C60" s="77"/>
      <c r="D60" s="77"/>
      <c r="E60" s="77"/>
      <c r="F60" s="77"/>
      <c r="G60" s="77"/>
      <c r="H60" s="77"/>
      <c r="I60" s="77"/>
      <c r="J60" s="77"/>
      <c r="K60" s="77"/>
      <c r="L60" s="77"/>
      <c r="M60" s="77"/>
      <c r="N60" s="77"/>
      <c r="O60" s="77"/>
      <c r="P60" s="77"/>
    </row>
    <row r="61" ht="15.75" customHeight="1">
      <c r="A61" s="77"/>
      <c r="B61" s="77"/>
      <c r="C61" s="77"/>
      <c r="D61" s="77"/>
      <c r="E61" s="77"/>
      <c r="F61" s="77"/>
      <c r="G61" s="77"/>
      <c r="H61" s="77"/>
      <c r="I61" s="77"/>
      <c r="J61" s="77"/>
      <c r="K61" s="77"/>
      <c r="L61" s="77"/>
      <c r="M61" s="77"/>
      <c r="N61" s="77"/>
      <c r="O61" s="77"/>
      <c r="P61" s="77"/>
    </row>
    <row r="62" ht="15.75" customHeight="1">
      <c r="A62" s="77"/>
      <c r="B62" s="77"/>
      <c r="C62" s="77"/>
      <c r="D62" s="77"/>
      <c r="E62" s="77"/>
      <c r="F62" s="77"/>
      <c r="G62" s="77"/>
      <c r="H62" s="77"/>
      <c r="I62" s="77"/>
      <c r="J62" s="77"/>
      <c r="K62" s="77"/>
      <c r="L62" s="77"/>
      <c r="M62" s="77"/>
      <c r="N62" s="77"/>
      <c r="O62" s="77"/>
      <c r="P62" s="77"/>
    </row>
    <row r="63" ht="15.75" customHeight="1">
      <c r="A63" s="77"/>
      <c r="B63" s="77"/>
      <c r="C63" s="77"/>
      <c r="D63" s="77"/>
      <c r="E63" s="77"/>
      <c r="F63" s="77"/>
      <c r="G63" s="77"/>
      <c r="H63" s="77"/>
      <c r="I63" s="77"/>
      <c r="J63" s="77"/>
      <c r="K63" s="77"/>
      <c r="L63" s="77"/>
      <c r="M63" s="77"/>
      <c r="N63" s="77"/>
      <c r="O63" s="77"/>
      <c r="P63" s="77"/>
    </row>
    <row r="64" ht="15.75" customHeight="1">
      <c r="A64" s="77"/>
      <c r="B64" s="77"/>
      <c r="C64" s="77"/>
      <c r="D64" s="77"/>
      <c r="E64" s="77"/>
      <c r="F64" s="77"/>
      <c r="G64" s="77"/>
      <c r="H64" s="77"/>
      <c r="I64" s="77"/>
      <c r="J64" s="77"/>
      <c r="K64" s="77"/>
      <c r="L64" s="77"/>
      <c r="M64" s="77"/>
      <c r="N64" s="77"/>
      <c r="O64" s="77"/>
      <c r="P64" s="77"/>
    </row>
    <row r="65" ht="15.75" customHeight="1">
      <c r="A65" s="77"/>
      <c r="B65" s="77"/>
      <c r="C65" s="77"/>
      <c r="D65" s="77"/>
      <c r="E65" s="77"/>
      <c r="F65" s="77"/>
      <c r="G65" s="77"/>
      <c r="H65" s="77"/>
      <c r="I65" s="77"/>
      <c r="J65" s="77"/>
      <c r="K65" s="77"/>
      <c r="L65" s="77"/>
      <c r="M65" s="77"/>
      <c r="N65" s="77"/>
      <c r="O65" s="77"/>
      <c r="P65" s="77"/>
    </row>
    <row r="66" ht="15.75" customHeight="1">
      <c r="A66" s="77"/>
      <c r="B66" s="77"/>
      <c r="C66" s="77"/>
      <c r="D66" s="77"/>
      <c r="E66" s="77"/>
      <c r="F66" s="77"/>
      <c r="G66" s="77"/>
      <c r="H66" s="77"/>
      <c r="I66" s="77"/>
      <c r="J66" s="77"/>
      <c r="K66" s="77"/>
      <c r="L66" s="77"/>
      <c r="M66" s="77"/>
      <c r="N66" s="77"/>
      <c r="O66" s="77"/>
      <c r="P66" s="77"/>
    </row>
    <row r="67" ht="15.75" customHeight="1">
      <c r="A67" s="77"/>
      <c r="B67" s="77"/>
      <c r="C67" s="77"/>
      <c r="D67" s="77"/>
      <c r="E67" s="77"/>
      <c r="F67" s="77"/>
      <c r="G67" s="77"/>
      <c r="H67" s="77"/>
      <c r="I67" s="77"/>
      <c r="J67" s="77"/>
      <c r="K67" s="77"/>
      <c r="L67" s="77"/>
      <c r="M67" s="77"/>
      <c r="N67" s="77"/>
      <c r="O67" s="77"/>
      <c r="P67" s="77"/>
    </row>
    <row r="68" ht="15.75" customHeight="1">
      <c r="A68" s="77"/>
      <c r="B68" s="77"/>
      <c r="C68" s="77"/>
      <c r="D68" s="77"/>
      <c r="E68" s="77"/>
      <c r="F68" s="77"/>
      <c r="G68" s="77"/>
      <c r="H68" s="77"/>
      <c r="I68" s="77"/>
      <c r="J68" s="77"/>
      <c r="K68" s="77"/>
      <c r="L68" s="77"/>
      <c r="M68" s="77"/>
      <c r="N68" s="77"/>
      <c r="O68" s="77"/>
      <c r="P68" s="77"/>
    </row>
    <row r="69" ht="15.75" customHeight="1">
      <c r="A69" s="77"/>
      <c r="B69" s="77"/>
      <c r="C69" s="77"/>
      <c r="D69" s="77"/>
      <c r="E69" s="77"/>
      <c r="F69" s="77"/>
      <c r="G69" s="77"/>
      <c r="H69" s="77"/>
      <c r="I69" s="77"/>
      <c r="J69" s="77"/>
      <c r="K69" s="77"/>
      <c r="L69" s="77"/>
      <c r="M69" s="77"/>
      <c r="N69" s="77"/>
      <c r="O69" s="77"/>
      <c r="P69" s="77"/>
    </row>
    <row r="70" ht="15.75" customHeight="1">
      <c r="A70" s="77"/>
      <c r="B70" s="77"/>
      <c r="C70" s="77"/>
      <c r="D70" s="77"/>
      <c r="E70" s="77"/>
      <c r="F70" s="77"/>
      <c r="G70" s="77"/>
      <c r="H70" s="77"/>
      <c r="I70" s="77"/>
      <c r="J70" s="77"/>
      <c r="K70" s="77"/>
      <c r="L70" s="77"/>
      <c r="M70" s="77"/>
      <c r="N70" s="77"/>
      <c r="O70" s="77"/>
      <c r="P70" s="77"/>
    </row>
    <row r="71" ht="15.75" customHeight="1">
      <c r="A71" s="77"/>
      <c r="B71" s="77"/>
      <c r="C71" s="77"/>
      <c r="D71" s="77"/>
      <c r="E71" s="77"/>
      <c r="F71" s="77"/>
      <c r="G71" s="77"/>
      <c r="H71" s="77"/>
      <c r="I71" s="77"/>
      <c r="J71" s="77"/>
      <c r="K71" s="77"/>
      <c r="L71" s="77"/>
      <c r="M71" s="77"/>
      <c r="N71" s="77"/>
      <c r="O71" s="77"/>
      <c r="P71" s="77"/>
    </row>
    <row r="72" ht="15.75" customHeight="1">
      <c r="A72" s="77"/>
      <c r="B72" s="77"/>
      <c r="C72" s="77"/>
      <c r="D72" s="77"/>
      <c r="E72" s="77"/>
      <c r="F72" s="77"/>
      <c r="G72" s="77"/>
      <c r="H72" s="77"/>
      <c r="I72" s="77"/>
      <c r="J72" s="77"/>
      <c r="K72" s="77"/>
      <c r="L72" s="77"/>
      <c r="M72" s="77"/>
      <c r="N72" s="77"/>
      <c r="O72" s="77"/>
      <c r="P72" s="77"/>
    </row>
    <row r="73" ht="15.75" customHeight="1">
      <c r="A73" s="77"/>
      <c r="B73" s="77"/>
      <c r="C73" s="77"/>
      <c r="D73" s="77"/>
      <c r="E73" s="77"/>
      <c r="F73" s="77"/>
      <c r="G73" s="77"/>
      <c r="H73" s="77"/>
      <c r="I73" s="77"/>
      <c r="J73" s="77"/>
      <c r="K73" s="77"/>
      <c r="L73" s="77"/>
      <c r="M73" s="77"/>
      <c r="N73" s="77"/>
      <c r="O73" s="77"/>
      <c r="P73" s="77"/>
    </row>
    <row r="74" ht="15.75" customHeight="1">
      <c r="A74" s="77"/>
      <c r="B74" s="77"/>
      <c r="C74" s="77"/>
      <c r="D74" s="77"/>
      <c r="E74" s="77"/>
      <c r="F74" s="77"/>
      <c r="G74" s="77"/>
      <c r="H74" s="77"/>
      <c r="I74" s="77"/>
      <c r="J74" s="77"/>
      <c r="K74" s="77"/>
      <c r="L74" s="77"/>
      <c r="M74" s="77"/>
      <c r="N74" s="77"/>
      <c r="O74" s="77"/>
      <c r="P74" s="77"/>
    </row>
    <row r="75" ht="15.75" customHeight="1">
      <c r="A75" s="77"/>
      <c r="B75" s="77"/>
      <c r="C75" s="77"/>
      <c r="D75" s="77"/>
      <c r="E75" s="77"/>
      <c r="F75" s="77"/>
      <c r="G75" s="77"/>
      <c r="H75" s="77"/>
      <c r="I75" s="77"/>
      <c r="J75" s="77"/>
      <c r="K75" s="77"/>
      <c r="L75" s="77"/>
      <c r="M75" s="77"/>
      <c r="N75" s="77"/>
      <c r="O75" s="77"/>
      <c r="P75" s="77"/>
    </row>
    <row r="76" ht="15.75" customHeight="1">
      <c r="A76" s="77"/>
      <c r="B76" s="77"/>
      <c r="C76" s="77"/>
      <c r="D76" s="77"/>
      <c r="E76" s="77"/>
      <c r="F76" s="77"/>
      <c r="G76" s="77"/>
      <c r="H76" s="77"/>
      <c r="I76" s="77"/>
      <c r="J76" s="77"/>
      <c r="K76" s="77"/>
      <c r="L76" s="77"/>
      <c r="M76" s="77"/>
      <c r="N76" s="77"/>
      <c r="O76" s="77"/>
      <c r="P76" s="77"/>
    </row>
    <row r="77" ht="15.75" customHeight="1">
      <c r="A77" s="77"/>
      <c r="B77" s="77"/>
      <c r="C77" s="77"/>
      <c r="D77" s="77"/>
      <c r="E77" s="77"/>
      <c r="F77" s="77"/>
      <c r="G77" s="77"/>
      <c r="H77" s="77"/>
      <c r="I77" s="77"/>
      <c r="J77" s="77"/>
      <c r="K77" s="77"/>
      <c r="L77" s="77"/>
      <c r="M77" s="77"/>
      <c r="N77" s="77"/>
      <c r="O77" s="77"/>
      <c r="P77" s="77"/>
    </row>
    <row r="78" ht="15.75" customHeight="1">
      <c r="A78" s="77"/>
      <c r="B78" s="77"/>
      <c r="C78" s="77"/>
      <c r="D78" s="77"/>
      <c r="E78" s="77"/>
      <c r="F78" s="77"/>
      <c r="G78" s="77"/>
      <c r="H78" s="77"/>
      <c r="I78" s="77"/>
      <c r="J78" s="77"/>
      <c r="K78" s="77"/>
      <c r="L78" s="77"/>
      <c r="M78" s="77"/>
      <c r="N78" s="77"/>
      <c r="O78" s="77"/>
      <c r="P78" s="77"/>
    </row>
    <row r="79" ht="15.75" customHeight="1">
      <c r="A79" s="77"/>
      <c r="B79" s="77"/>
      <c r="C79" s="77"/>
      <c r="D79" s="77"/>
      <c r="E79" s="77"/>
      <c r="F79" s="77"/>
      <c r="G79" s="77"/>
      <c r="H79" s="77"/>
      <c r="I79" s="77"/>
      <c r="J79" s="77"/>
      <c r="K79" s="77"/>
      <c r="L79" s="77"/>
      <c r="M79" s="77"/>
      <c r="N79" s="77"/>
      <c r="O79" s="77"/>
      <c r="P79" s="77"/>
    </row>
    <row r="80" ht="15.75" customHeight="1">
      <c r="A80" s="77"/>
      <c r="B80" s="77"/>
      <c r="C80" s="77"/>
      <c r="D80" s="77"/>
      <c r="E80" s="77"/>
      <c r="F80" s="77"/>
      <c r="G80" s="77"/>
      <c r="H80" s="77"/>
      <c r="I80" s="77"/>
      <c r="J80" s="77"/>
      <c r="K80" s="77"/>
      <c r="L80" s="77"/>
      <c r="M80" s="77"/>
      <c r="N80" s="77"/>
      <c r="O80" s="77"/>
      <c r="P80" s="77"/>
    </row>
    <row r="81" ht="15.75" customHeight="1">
      <c r="A81" s="77"/>
      <c r="B81" s="77"/>
      <c r="C81" s="77"/>
      <c r="D81" s="77"/>
      <c r="E81" s="77"/>
      <c r="F81" s="77"/>
      <c r="G81" s="77"/>
      <c r="H81" s="77"/>
      <c r="I81" s="77"/>
      <c r="J81" s="77"/>
      <c r="K81" s="77"/>
      <c r="L81" s="77"/>
      <c r="M81" s="77"/>
      <c r="N81" s="77"/>
      <c r="O81" s="77"/>
      <c r="P81" s="77"/>
    </row>
    <row r="82" ht="15.75" customHeight="1">
      <c r="A82" s="77"/>
      <c r="B82" s="77"/>
      <c r="C82" s="77"/>
      <c r="D82" s="77"/>
      <c r="E82" s="77"/>
      <c r="F82" s="77"/>
      <c r="G82" s="77"/>
      <c r="H82" s="77"/>
      <c r="I82" s="77"/>
      <c r="J82" s="77"/>
      <c r="K82" s="77"/>
      <c r="L82" s="77"/>
      <c r="M82" s="77"/>
      <c r="N82" s="77"/>
      <c r="O82" s="77"/>
      <c r="P82" s="77"/>
    </row>
    <row r="83" ht="15.75" customHeight="1">
      <c r="A83" s="77"/>
      <c r="B83" s="77"/>
      <c r="C83" s="77"/>
      <c r="D83" s="77"/>
      <c r="E83" s="77"/>
      <c r="F83" s="77"/>
      <c r="G83" s="77"/>
      <c r="H83" s="77"/>
      <c r="I83" s="77"/>
      <c r="J83" s="77"/>
      <c r="K83" s="77"/>
      <c r="L83" s="77"/>
      <c r="M83" s="77"/>
      <c r="N83" s="77"/>
      <c r="O83" s="77"/>
      <c r="P83" s="77"/>
    </row>
    <row r="84" ht="15.75" customHeight="1">
      <c r="A84" s="77"/>
      <c r="B84" s="77"/>
      <c r="C84" s="77"/>
      <c r="D84" s="77"/>
      <c r="E84" s="77"/>
      <c r="F84" s="77"/>
      <c r="G84" s="77"/>
      <c r="H84" s="77"/>
      <c r="I84" s="77"/>
      <c r="J84" s="77"/>
      <c r="K84" s="77"/>
      <c r="L84" s="77"/>
      <c r="M84" s="77"/>
      <c r="N84" s="77"/>
      <c r="O84" s="77"/>
      <c r="P84" s="77"/>
    </row>
    <row r="85" ht="15.75" customHeight="1">
      <c r="A85" s="77"/>
      <c r="B85" s="77"/>
      <c r="C85" s="77"/>
      <c r="D85" s="77"/>
      <c r="E85" s="77"/>
      <c r="F85" s="77"/>
      <c r="G85" s="77"/>
      <c r="H85" s="77"/>
      <c r="I85" s="77"/>
      <c r="J85" s="77"/>
      <c r="K85" s="77"/>
      <c r="L85" s="77"/>
      <c r="M85" s="77"/>
      <c r="N85" s="77"/>
      <c r="O85" s="77"/>
      <c r="P85" s="77"/>
    </row>
    <row r="86" ht="15.75" customHeight="1">
      <c r="A86" s="77"/>
      <c r="B86" s="77"/>
      <c r="C86" s="77"/>
      <c r="D86" s="77"/>
      <c r="E86" s="77"/>
      <c r="F86" s="77"/>
      <c r="G86" s="77"/>
      <c r="H86" s="77"/>
      <c r="I86" s="77"/>
      <c r="J86" s="77"/>
      <c r="K86" s="77"/>
      <c r="L86" s="77"/>
      <c r="M86" s="77"/>
      <c r="N86" s="77"/>
      <c r="O86" s="77"/>
      <c r="P86" s="77"/>
    </row>
    <row r="87" ht="15.75" customHeight="1">
      <c r="A87" s="77"/>
      <c r="B87" s="77"/>
      <c r="C87" s="77"/>
      <c r="D87" s="77"/>
      <c r="E87" s="77"/>
      <c r="F87" s="77"/>
      <c r="G87" s="77"/>
      <c r="H87" s="77"/>
      <c r="I87" s="77"/>
      <c r="J87" s="77"/>
      <c r="K87" s="77"/>
      <c r="L87" s="77"/>
      <c r="M87" s="77"/>
      <c r="N87" s="77"/>
      <c r="O87" s="77"/>
      <c r="P87" s="77"/>
    </row>
    <row r="88" ht="15.75" customHeight="1">
      <c r="A88" s="77"/>
      <c r="B88" s="77"/>
      <c r="C88" s="77"/>
      <c r="D88" s="77"/>
      <c r="E88" s="77"/>
      <c r="F88" s="77"/>
      <c r="G88" s="77"/>
      <c r="H88" s="77"/>
      <c r="I88" s="77"/>
      <c r="J88" s="77"/>
      <c r="K88" s="77"/>
      <c r="L88" s="77"/>
      <c r="M88" s="77"/>
      <c r="N88" s="77"/>
      <c r="O88" s="77"/>
      <c r="P88" s="77"/>
    </row>
    <row r="89" ht="15.75" customHeight="1">
      <c r="A89" s="77"/>
      <c r="B89" s="77"/>
      <c r="C89" s="77"/>
      <c r="D89" s="77"/>
      <c r="E89" s="77"/>
      <c r="F89" s="77"/>
      <c r="G89" s="77"/>
      <c r="H89" s="77"/>
      <c r="I89" s="77"/>
      <c r="J89" s="77"/>
      <c r="K89" s="77"/>
      <c r="L89" s="77"/>
      <c r="M89" s="77"/>
      <c r="N89" s="77"/>
      <c r="O89" s="77"/>
      <c r="P89" s="77"/>
    </row>
    <row r="90" ht="15.75" customHeight="1">
      <c r="A90" s="77"/>
      <c r="B90" s="77"/>
      <c r="C90" s="77"/>
      <c r="D90" s="77"/>
      <c r="E90" s="77"/>
      <c r="F90" s="77"/>
      <c r="G90" s="77"/>
      <c r="H90" s="77"/>
      <c r="I90" s="77"/>
      <c r="J90" s="77"/>
      <c r="K90" s="77"/>
      <c r="L90" s="77"/>
      <c r="M90" s="77"/>
      <c r="N90" s="77"/>
      <c r="O90" s="77"/>
      <c r="P90" s="77"/>
    </row>
    <row r="91" ht="15.75" customHeight="1">
      <c r="A91" s="77"/>
      <c r="B91" s="77"/>
      <c r="C91" s="77"/>
      <c r="D91" s="77"/>
      <c r="E91" s="77"/>
      <c r="F91" s="77"/>
      <c r="G91" s="77"/>
      <c r="H91" s="77"/>
      <c r="I91" s="77"/>
      <c r="J91" s="77"/>
      <c r="K91" s="77"/>
      <c r="L91" s="77"/>
      <c r="M91" s="77"/>
      <c r="N91" s="77"/>
      <c r="O91" s="77"/>
      <c r="P91" s="77"/>
    </row>
    <row r="92" ht="15.75" customHeight="1">
      <c r="A92" s="77"/>
      <c r="B92" s="77"/>
      <c r="C92" s="77"/>
      <c r="D92" s="77"/>
      <c r="E92" s="77"/>
      <c r="F92" s="77"/>
      <c r="G92" s="77"/>
      <c r="H92" s="77"/>
      <c r="I92" s="77"/>
      <c r="J92" s="77"/>
      <c r="K92" s="77"/>
      <c r="L92" s="77"/>
      <c r="M92" s="77"/>
      <c r="N92" s="77"/>
      <c r="O92" s="77"/>
      <c r="P92" s="77"/>
    </row>
    <row r="93" ht="15.75" customHeight="1">
      <c r="A93" s="77"/>
      <c r="B93" s="77"/>
      <c r="C93" s="77"/>
      <c r="D93" s="77"/>
      <c r="E93" s="77"/>
      <c r="F93" s="77"/>
      <c r="G93" s="77"/>
      <c r="H93" s="77"/>
      <c r="I93" s="77"/>
      <c r="J93" s="77"/>
      <c r="K93" s="77"/>
      <c r="L93" s="77"/>
      <c r="M93" s="77"/>
      <c r="N93" s="77"/>
      <c r="O93" s="77"/>
      <c r="P93" s="77"/>
    </row>
    <row r="94" ht="15.75" customHeight="1">
      <c r="A94" s="77"/>
      <c r="B94" s="77"/>
      <c r="C94" s="77"/>
      <c r="D94" s="77"/>
      <c r="E94" s="77"/>
      <c r="F94" s="77"/>
      <c r="G94" s="77"/>
      <c r="H94" s="77"/>
      <c r="I94" s="77"/>
      <c r="J94" s="77"/>
      <c r="K94" s="77"/>
      <c r="L94" s="77"/>
      <c r="M94" s="77"/>
      <c r="N94" s="77"/>
      <c r="O94" s="77"/>
      <c r="P94" s="77"/>
    </row>
    <row r="95" ht="15.75" customHeight="1">
      <c r="A95" s="77"/>
      <c r="B95" s="77"/>
      <c r="C95" s="77"/>
      <c r="D95" s="77"/>
      <c r="E95" s="77"/>
      <c r="F95" s="77"/>
      <c r="G95" s="77"/>
      <c r="H95" s="77"/>
      <c r="I95" s="77"/>
      <c r="J95" s="77"/>
      <c r="K95" s="77"/>
      <c r="L95" s="77"/>
      <c r="M95" s="77"/>
      <c r="N95" s="77"/>
      <c r="O95" s="77"/>
      <c r="P95" s="77"/>
    </row>
    <row r="96" ht="15.75" customHeight="1">
      <c r="A96" s="77"/>
      <c r="B96" s="77"/>
      <c r="C96" s="77"/>
      <c r="D96" s="77"/>
      <c r="E96" s="77"/>
      <c r="F96" s="77"/>
      <c r="G96" s="77"/>
      <c r="H96" s="77"/>
      <c r="I96" s="77"/>
      <c r="J96" s="77"/>
      <c r="K96" s="77"/>
      <c r="L96" s="77"/>
      <c r="M96" s="77"/>
      <c r="N96" s="77"/>
      <c r="O96" s="77"/>
      <c r="P96" s="77"/>
    </row>
    <row r="97" ht="15.75" customHeight="1">
      <c r="A97" s="77"/>
      <c r="B97" s="77"/>
      <c r="C97" s="77"/>
      <c r="D97" s="77"/>
      <c r="E97" s="77"/>
      <c r="F97" s="77"/>
      <c r="G97" s="77"/>
      <c r="H97" s="77"/>
      <c r="I97" s="77"/>
      <c r="J97" s="77"/>
      <c r="K97" s="77"/>
      <c r="L97" s="77"/>
      <c r="M97" s="77"/>
      <c r="N97" s="77"/>
      <c r="O97" s="77"/>
      <c r="P97" s="77"/>
    </row>
    <row r="98" ht="15.75" customHeight="1">
      <c r="A98" s="77"/>
      <c r="B98" s="77"/>
      <c r="C98" s="77"/>
      <c r="D98" s="77"/>
      <c r="E98" s="77"/>
      <c r="F98" s="77"/>
      <c r="G98" s="77"/>
      <c r="H98" s="77"/>
      <c r="I98" s="77"/>
      <c r="J98" s="77"/>
      <c r="K98" s="77"/>
      <c r="L98" s="77"/>
      <c r="M98" s="77"/>
      <c r="N98" s="77"/>
      <c r="O98" s="77"/>
      <c r="P98" s="77"/>
    </row>
    <row r="99" ht="15.75" customHeight="1">
      <c r="A99" s="77"/>
      <c r="B99" s="77"/>
      <c r="C99" s="77"/>
      <c r="D99" s="77"/>
      <c r="E99" s="77"/>
      <c r="F99" s="77"/>
      <c r="G99" s="77"/>
      <c r="H99" s="77"/>
      <c r="I99" s="77"/>
      <c r="J99" s="77"/>
      <c r="K99" s="77"/>
      <c r="L99" s="77"/>
      <c r="M99" s="77"/>
      <c r="N99" s="77"/>
      <c r="O99" s="77"/>
      <c r="P99" s="77"/>
    </row>
    <row r="100" ht="15.75" customHeight="1">
      <c r="A100" s="77"/>
      <c r="B100" s="77"/>
      <c r="C100" s="77"/>
      <c r="D100" s="77"/>
      <c r="E100" s="77"/>
      <c r="F100" s="77"/>
      <c r="G100" s="77"/>
      <c r="H100" s="77"/>
      <c r="I100" s="77"/>
      <c r="J100" s="77"/>
      <c r="K100" s="77"/>
      <c r="L100" s="77"/>
      <c r="M100" s="77"/>
      <c r="N100" s="77"/>
      <c r="O100" s="77"/>
      <c r="P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3">
    <tablePart r:id="rId5"/>
    <tablePart r:id="rId6"/>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5"/>
    <col customWidth="1" min="2" max="16" width="8.88"/>
    <col customWidth="1" min="17" max="26" width="11.25"/>
  </cols>
  <sheetData>
    <row r="1" ht="37.5" customHeight="1">
      <c r="A1" s="2" t="str">
        <f>'Input sheet'!A1</f>
        <v>Novo Nordisk (NYSE:NVO)</v>
      </c>
      <c r="B1" s="2"/>
      <c r="C1" s="2" t="s">
        <v>57</v>
      </c>
      <c r="D1" s="2">
        <f>'Input sheet'!D1</f>
        <v>39.4</v>
      </c>
      <c r="E1" s="7"/>
      <c r="F1" s="7"/>
      <c r="G1" s="7"/>
      <c r="H1" s="7"/>
      <c r="I1" s="7"/>
      <c r="J1" s="7"/>
      <c r="K1" s="7"/>
      <c r="L1" s="7"/>
      <c r="M1" s="7"/>
      <c r="N1" s="7"/>
      <c r="O1" s="7"/>
      <c r="P1" s="7"/>
    </row>
    <row r="2" ht="14.25" customHeight="1">
      <c r="A2" s="390" t="s">
        <v>506</v>
      </c>
      <c r="B2" s="391" t="inlineStr">
        <is>
          <t xml:space="preserve">Dec '16</t>
        </is>
      </c>
      <c r="C2" s="391" t="inlineStr">
        <is>
          <t xml:space="preserve">Dec '17</t>
        </is>
      </c>
      <c r="D2" s="391" t="inlineStr">
        <is>
          <t xml:space="preserve">Dec '18</t>
        </is>
      </c>
      <c r="E2" s="391" t="inlineStr">
        <is>
          <t xml:space="preserve">Dec '19</t>
        </is>
      </c>
      <c r="F2" s="391" t="inlineStr">
        <is>
          <t xml:space="preserve">Dec '20</t>
        </is>
      </c>
      <c r="G2" s="391" t="inlineStr">
        <is>
          <t xml:space="preserve">Dec '21</t>
        </is>
      </c>
      <c r="H2" s="391" t="inlineStr">
        <is>
          <t xml:space="preserve">Dec '22</t>
        </is>
      </c>
      <c r="I2" s="391" t="inlineStr">
        <is>
          <t xml:space="preserve">Dec '23</t>
        </is>
      </c>
      <c r="J2" s="391" t="inlineStr">
        <is>
          <t xml:space="preserve">Dec '24</t>
        </is>
      </c>
      <c r="K2" s="391" t="inlineStr">
        <is>
          <t xml:space="preserve">Dec '25</t>
        </is>
      </c>
      <c r="L2" s="416" t="inlineStr">
        <is>
          <t xml:space="preserve">LTM jun-26 (aj.)</t>
        </is>
      </c>
      <c r="M2" s="9" t="inlineStr">
        <is>
          <t xml:space="preserve">Dec '26 (E)</t>
        </is>
      </c>
      <c r="N2" s="9"/>
      <c r="O2" s="9"/>
      <c r="P2" s="9"/>
    </row>
    <row r="3" ht="14.25" customHeight="1">
      <c r="A3" s="393" t="s">
        <v>138</v>
      </c>
      <c r="B3" s="417">
        <v>5635.5</v>
      </c>
      <c r="C3" s="417">
        <v>5778.8</v>
      </c>
      <c r="D3" s="417">
        <v>6114.6</v>
      </c>
      <c r="E3" s="417">
        <v>5839.5</v>
      </c>
      <c r="F3" s="417">
        <v>6446.7</v>
      </c>
      <c r="G3" s="417">
        <v>7590.6</v>
      </c>
      <c r="H3" s="417">
        <v>7841.7</v>
      </c>
      <c r="I3" s="417">
        <v>12141.1</v>
      </c>
      <c r="J3" s="417">
        <v>14650.8</v>
      </c>
      <c r="K3" s="417">
        <v>15478.7</v>
      </c>
      <c r="L3" s="419">
        <v>18179.5</v>
      </c>
      <c r="M3" s="395"/>
      <c r="N3" s="9"/>
      <c r="O3" s="9"/>
      <c r="P3" s="9"/>
    </row>
    <row r="4" ht="14.25" customHeight="1">
      <c r="A4" s="393" t="s">
        <v>514</v>
      </c>
      <c r="B4" s="417">
        <v>474.5</v>
      </c>
      <c r="C4" s="417">
        <v>482.2</v>
      </c>
      <c r="D4" s="417">
        <v>621.3</v>
      </c>
      <c r="E4" s="417">
        <v>848.7</v>
      </c>
      <c r="F4" s="417">
        <v>880.1</v>
      </c>
      <c r="G4" s="417">
        <v>957.6</v>
      </c>
      <c r="H4" s="417">
        <v>1039.7</v>
      </c>
      <c r="I4" s="417">
        <v>1365.7</v>
      </c>
      <c r="J4" s="417">
        <v>2771.9</v>
      </c>
      <c r="K4" s="417">
        <v>3321.7</v>
      </c>
      <c r="L4" s="419">
        <v>3252.2</v>
      </c>
      <c r="M4" s="395"/>
      <c r="N4" s="9"/>
      <c r="O4" s="9"/>
      <c r="P4" s="9"/>
    </row>
    <row r="5" ht="14.25" customHeight="1">
      <c r="A5" s="393" t="s">
        <v>516</v>
      </c>
      <c r="B5" s="417"/>
      <c r="C5" s="417"/>
      <c r="D5" s="417"/>
      <c r="E5" s="417">
        <v>54.4</v>
      </c>
      <c r="F5" s="417">
        <v>125.9</v>
      </c>
      <c r="G5" s="417">
        <v>165.3</v>
      </c>
      <c r="H5" s="417">
        <v>217.3</v>
      </c>
      <c r="I5" s="417">
        <v>311.8</v>
      </c>
      <c r="J5" s="417">
        <v>332.1</v>
      </c>
      <c r="K5" s="417">
        <v>216.8</v>
      </c>
      <c r="L5" s="419">
        <v>151.8</v>
      </c>
      <c r="M5" s="395"/>
      <c r="N5" s="9"/>
      <c r="O5" s="9"/>
      <c r="P5" s="9"/>
    </row>
    <row r="6" ht="14.25" customHeight="1">
      <c r="A6" s="393" t="s">
        <v>518</v>
      </c>
      <c r="B6" s="417">
        <v>33.0</v>
      </c>
      <c r="C6" s="417">
        <v>-241.4</v>
      </c>
      <c r="D6" s="417">
        <v>425.8</v>
      </c>
      <c r="E6" s="417">
        <v>669.1</v>
      </c>
      <c r="F6" s="417">
        <v>694.6</v>
      </c>
      <c r="G6" s="417">
        <v>1661.6</v>
      </c>
      <c r="H6" s="417">
        <v>2066.6</v>
      </c>
      <c r="I6" s="417">
        <v>2874.7</v>
      </c>
      <c r="J6" s="417">
        <v>-736.8</v>
      </c>
      <c r="K6" s="417">
        <v>-1647.2</v>
      </c>
      <c r="L6" s="419">
        <v>-1210.7</v>
      </c>
      <c r="M6" s="395"/>
      <c r="N6" s="9"/>
      <c r="O6" s="9"/>
      <c r="P6" s="9"/>
    </row>
    <row r="7" ht="14.25" customHeight="1">
      <c r="A7" s="393" t="s">
        <v>519</v>
      </c>
      <c r="B7" s="417"/>
      <c r="C7" s="417"/>
      <c r="D7" s="417"/>
      <c r="E7" s="417">
        <v>-318.7</v>
      </c>
      <c r="F7" s="417">
        <v>-431.7</v>
      </c>
      <c r="G7" s="417">
        <v>-2051.8</v>
      </c>
      <c r="H7" s="417">
        <v>-1400.6</v>
      </c>
      <c r="I7" s="417">
        <v>-2061.7</v>
      </c>
      <c r="J7" s="417">
        <v>-1041.5</v>
      </c>
      <c r="K7" s="417">
        <v>165.2</v>
      </c>
      <c r="L7" s="419"/>
      <c r="M7" s="395"/>
      <c r="N7" s="9"/>
      <c r="O7" s="9"/>
      <c r="P7" s="9"/>
    </row>
    <row r="8" ht="14.25" customHeight="1">
      <c r="A8" s="393" t="s">
        <v>520</v>
      </c>
      <c r="B8" s="417"/>
      <c r="C8" s="417"/>
      <c r="D8" s="417"/>
      <c r="E8" s="417">
        <v>-59.7</v>
      </c>
      <c r="F8" s="417">
        <v>-98.1</v>
      </c>
      <c r="G8" s="417">
        <v>501.1</v>
      </c>
      <c r="H8" s="417">
        <v>948.6</v>
      </c>
      <c r="I8" s="417">
        <v>1092.3</v>
      </c>
      <c r="J8" s="417">
        <v>727.0</v>
      </c>
      <c r="K8" s="417">
        <v>395.6</v>
      </c>
      <c r="L8" s="419"/>
      <c r="M8" s="395"/>
      <c r="N8" s="9"/>
      <c r="O8" s="9"/>
      <c r="P8" s="9"/>
    </row>
    <row r="9" ht="14.25" customHeight="1">
      <c r="A9" s="393" t="s">
        <v>522</v>
      </c>
      <c r="B9" s="417"/>
      <c r="C9" s="417"/>
      <c r="D9" s="417"/>
      <c r="E9" s="417">
        <v>180.2</v>
      </c>
      <c r="F9" s="417">
        <v>194.9</v>
      </c>
      <c r="G9" s="417">
        <v>412.5</v>
      </c>
      <c r="H9" s="417">
        <v>565.8</v>
      </c>
      <c r="I9" s="417">
        <v>788.7</v>
      </c>
      <c r="J9" s="417">
        <v>1344.0</v>
      </c>
      <c r="K9" s="417">
        <v>657.2</v>
      </c>
      <c r="L9" s="419"/>
      <c r="M9" s="395"/>
      <c r="N9" s="9"/>
      <c r="O9" s="9"/>
      <c r="P9" s="9"/>
    </row>
    <row r="10" ht="14.25" customHeight="1">
      <c r="A10" s="393" t="s">
        <v>523</v>
      </c>
      <c r="B10" s="417">
        <v>1036.3</v>
      </c>
      <c r="C10" s="417">
        <v>219.6</v>
      </c>
      <c r="D10" s="417">
        <v>-99.3</v>
      </c>
      <c r="E10" s="417">
        <v>-200.0</v>
      </c>
      <c r="F10" s="417">
        <v>135.5</v>
      </c>
      <c r="G10" s="417">
        <v>-495.1</v>
      </c>
      <c r="H10" s="417">
        <v>-138.1</v>
      </c>
      <c r="I10" s="417">
        <v>-711.8</v>
      </c>
      <c r="J10" s="417">
        <v>-498.0</v>
      </c>
      <c r="K10" s="417">
        <v>-590.5</v>
      </c>
      <c r="L10" s="419">
        <v>217.0</v>
      </c>
      <c r="M10" s="395"/>
      <c r="N10" s="9"/>
      <c r="O10" s="9"/>
      <c r="P10" s="9"/>
    </row>
    <row r="11" ht="14.25" customHeight="1">
      <c r="A11" s="393" t="s">
        <v>524</v>
      </c>
      <c r="B11" s="417">
        <v>0.0</v>
      </c>
      <c r="C11" s="417">
        <v>0.0</v>
      </c>
      <c r="D11" s="417">
        <v>0.0</v>
      </c>
      <c r="E11" s="417">
        <v>0.0</v>
      </c>
      <c r="F11" s="417">
        <v>0.0</v>
      </c>
      <c r="G11" s="417">
        <v>0.0</v>
      </c>
      <c r="H11" s="417">
        <v>0.0</v>
      </c>
      <c r="I11" s="417">
        <v>0.0</v>
      </c>
      <c r="J11" s="417">
        <v>0.0</v>
      </c>
      <c r="K11" s="417">
        <v>0.0</v>
      </c>
      <c r="L11" s="419">
        <v>0.0</v>
      </c>
      <c r="M11" s="395"/>
      <c r="N11" s="9"/>
      <c r="O11" s="9"/>
      <c r="P11" s="9"/>
    </row>
    <row r="12" ht="14.25" customHeight="1">
      <c r="A12" s="393" t="s">
        <v>525</v>
      </c>
      <c r="B12" s="417">
        <v>0.0</v>
      </c>
      <c r="C12" s="417">
        <v>0.0</v>
      </c>
      <c r="D12" s="417">
        <v>0.0</v>
      </c>
      <c r="E12" s="417">
        <v>0.0</v>
      </c>
      <c r="F12" s="417">
        <v>0.0</v>
      </c>
      <c r="G12" s="417">
        <v>0.0</v>
      </c>
      <c r="H12" s="417">
        <v>0.0</v>
      </c>
      <c r="I12" s="417">
        <v>0.0</v>
      </c>
      <c r="J12" s="417">
        <v>0.0</v>
      </c>
      <c r="K12" s="417">
        <v>0.0</v>
      </c>
      <c r="L12" s="419">
        <v>0.0</v>
      </c>
      <c r="M12" s="395"/>
      <c r="N12" s="9"/>
      <c r="O12" s="9"/>
      <c r="P12" s="9"/>
    </row>
    <row r="13" ht="14.25" customHeight="1">
      <c r="A13" s="398" t="s">
        <v>526</v>
      </c>
      <c r="B13" s="420">
        <v>7179.3</v>
      </c>
      <c r="C13" s="420">
        <v>6239.2</v>
      </c>
      <c r="D13" s="420">
        <v>7062.5</v>
      </c>
      <c r="E13" s="420">
        <v>7013.5</v>
      </c>
      <c r="F13" s="420">
        <v>7948.0</v>
      </c>
      <c r="G13" s="420">
        <v>8741.8</v>
      </c>
      <c r="H13" s="420">
        <v>11141.0</v>
      </c>
      <c r="I13" s="420">
        <v>15800.9</v>
      </c>
      <c r="J13" s="420">
        <v>17549.4</v>
      </c>
      <c r="K13" s="420">
        <v>17997.4</v>
      </c>
      <c r="L13" s="422">
        <v>20589.8</v>
      </c>
      <c r="M13" s="423"/>
      <c r="N13" s="9"/>
      <c r="O13" s="9"/>
      <c r="P13" s="9"/>
    </row>
    <row r="14" ht="14.25" customHeight="1">
      <c r="A14" s="390" t="s">
        <v>528</v>
      </c>
      <c r="B14" s="391"/>
      <c r="C14" s="391"/>
      <c r="D14" s="391"/>
      <c r="E14" s="391"/>
      <c r="F14" s="391"/>
      <c r="G14" s="391"/>
      <c r="H14" s="391"/>
      <c r="I14" s="391"/>
      <c r="J14" s="391"/>
      <c r="K14" s="391"/>
      <c r="L14" s="416"/>
      <c r="M14" s="9" t="inlineStr">
        <is>
          <t xml:space="preserve">Dec '26 (E)</t>
        </is>
      </c>
      <c r="N14" s="9"/>
      <c r="O14" s="9"/>
      <c r="P14" s="9"/>
    </row>
    <row r="15" ht="14.25" customHeight="1">
      <c r="A15" s="393" t="s">
        <v>529</v>
      </c>
      <c r="B15" s="417">
        <v>-1050.3</v>
      </c>
      <c r="C15" s="417">
        <v>-1155.8</v>
      </c>
      <c r="D15" s="417">
        <v>-1525.3</v>
      </c>
      <c r="E15" s="417">
        <v>-1339.1</v>
      </c>
      <c r="F15" s="417">
        <v>-891.2</v>
      </c>
      <c r="G15" s="417">
        <v>-1006.9</v>
      </c>
      <c r="H15" s="417">
        <v>-1715.4</v>
      </c>
      <c r="I15" s="417">
        <v>-3744.1</v>
      </c>
      <c r="J15" s="417">
        <v>-6842.3</v>
      </c>
      <c r="K15" s="417">
        <v>-9087.7</v>
      </c>
      <c r="L15" s="419">
        <v>-8749.6</v>
      </c>
      <c r="M15" s="395"/>
      <c r="N15" s="9"/>
      <c r="O15" s="9"/>
      <c r="P15" s="9"/>
    </row>
    <row r="16" ht="14.25" customHeight="1">
      <c r="A16" s="393" t="s">
        <v>531</v>
      </c>
      <c r="B16" s="417">
        <v>1.0</v>
      </c>
      <c r="C16" s="417">
        <v>1.4</v>
      </c>
      <c r="D16" s="417">
        <v>2.1</v>
      </c>
      <c r="E16" s="417">
        <v>0.6</v>
      </c>
      <c r="F16" s="417">
        <v>1.1</v>
      </c>
      <c r="G16" s="417">
        <v>0.0</v>
      </c>
      <c r="H16" s="417">
        <v>0.0</v>
      </c>
      <c r="I16" s="417">
        <v>0.0</v>
      </c>
      <c r="J16" s="417">
        <v>0.0</v>
      </c>
      <c r="K16" s="417">
        <v>0.0</v>
      </c>
      <c r="L16" s="419">
        <v>0.0</v>
      </c>
      <c r="M16" s="395"/>
      <c r="N16" s="9"/>
      <c r="O16" s="9"/>
      <c r="P16" s="9"/>
    </row>
    <row r="17" ht="14.25" customHeight="1">
      <c r="A17" s="393" t="s">
        <v>532</v>
      </c>
      <c r="B17" s="417">
        <v>-78.9</v>
      </c>
      <c r="C17" s="417">
        <v>0.0</v>
      </c>
      <c r="D17" s="417">
        <v>0.0</v>
      </c>
      <c r="E17" s="417">
        <v>0.0</v>
      </c>
      <c r="F17" s="417">
        <v>0.0</v>
      </c>
      <c r="G17" s="417">
        <v>-1129.9</v>
      </c>
      <c r="H17" s="417">
        <v>-1351.0</v>
      </c>
      <c r="I17" s="417">
        <v>-1888.7</v>
      </c>
      <c r="J17" s="417">
        <v>-2760.5</v>
      </c>
      <c r="K17" s="417">
        <v>-75.3</v>
      </c>
      <c r="L17" s="419">
        <v>0.0</v>
      </c>
      <c r="M17" s="395"/>
      <c r="N17" s="9"/>
      <c r="O17" s="9"/>
      <c r="P17" s="9"/>
    </row>
    <row r="18" ht="14.25" customHeight="1">
      <c r="A18" s="393" t="s">
        <v>533</v>
      </c>
      <c r="B18" s="417">
        <v>306.7</v>
      </c>
      <c r="C18" s="417">
        <v>304.5</v>
      </c>
      <c r="D18" s="417">
        <v>0.0</v>
      </c>
      <c r="E18" s="417">
        <v>0.0</v>
      </c>
      <c r="F18" s="417">
        <v>0.0</v>
      </c>
      <c r="G18" s="417">
        <v>186.3</v>
      </c>
      <c r="H18" s="417">
        <v>938.5</v>
      </c>
      <c r="I18" s="417">
        <v>1198.4</v>
      </c>
      <c r="J18" s="417">
        <v>0.0</v>
      </c>
      <c r="K18" s="417">
        <v>0.0</v>
      </c>
      <c r="L18" s="419">
        <v>0.0</v>
      </c>
      <c r="M18" s="395"/>
      <c r="N18" s="9"/>
      <c r="O18" s="9"/>
      <c r="P18" s="9"/>
    </row>
    <row r="19" ht="14.25" customHeight="1">
      <c r="A19" s="393" t="s">
        <v>535</v>
      </c>
      <c r="B19" s="417">
        <v>0.0</v>
      </c>
      <c r="C19" s="417">
        <v>0.0</v>
      </c>
      <c r="D19" s="417">
        <v>0.0</v>
      </c>
      <c r="E19" s="417">
        <v>0.0</v>
      </c>
      <c r="F19" s="417">
        <v>0.0</v>
      </c>
      <c r="G19" s="417">
        <v>-2905.9</v>
      </c>
      <c r="H19" s="417">
        <v>-999.2</v>
      </c>
      <c r="I19" s="417">
        <v>0.0</v>
      </c>
      <c r="J19" s="417">
        <v>-11919.8</v>
      </c>
      <c r="K19" s="417">
        <v>0.0</v>
      </c>
      <c r="L19" s="419">
        <v>0.0</v>
      </c>
      <c r="M19" s="395"/>
      <c r="N19" s="9"/>
      <c r="O19" s="9"/>
      <c r="P19" s="9"/>
    </row>
    <row r="20" ht="14.25" customHeight="1">
      <c r="A20" s="393" t="s">
        <v>536</v>
      </c>
      <c r="B20" s="417">
        <v>0.0</v>
      </c>
      <c r="C20" s="417">
        <v>0.0</v>
      </c>
      <c r="D20" s="417">
        <v>0.0</v>
      </c>
      <c r="E20" s="417">
        <v>0.0</v>
      </c>
      <c r="F20" s="417">
        <v>0.0</v>
      </c>
      <c r="G20" s="417">
        <v>0.0</v>
      </c>
      <c r="H20" s="417">
        <v>0.0</v>
      </c>
      <c r="I20" s="417">
        <v>0.0</v>
      </c>
      <c r="J20" s="417">
        <v>0.0</v>
      </c>
      <c r="K20" s="417">
        <v>0.0</v>
      </c>
      <c r="L20" s="419">
        <v>0.0</v>
      </c>
      <c r="M20" s="395"/>
      <c r="N20" s="9"/>
      <c r="O20" s="9"/>
      <c r="P20" s="9"/>
    </row>
    <row r="21" ht="14.25" customHeight="1">
      <c r="A21" s="393" t="s">
        <v>537</v>
      </c>
      <c r="B21" s="417">
        <v>-187.5</v>
      </c>
      <c r="C21" s="417">
        <v>-145.9</v>
      </c>
      <c r="D21" s="417">
        <v>-388.9</v>
      </c>
      <c r="E21" s="417">
        <v>-386.9</v>
      </c>
      <c r="F21" s="417">
        <v>-2542.4</v>
      </c>
      <c r="G21" s="417">
        <v>-166.9</v>
      </c>
      <c r="H21" s="417">
        <v>-392.0</v>
      </c>
      <c r="I21" s="417">
        <v>-1933.7</v>
      </c>
      <c r="J21" s="417">
        <v>2823.2</v>
      </c>
      <c r="K21" s="417">
        <v>-2798.5</v>
      </c>
      <c r="L21" s="419">
        <v>-4292.5</v>
      </c>
      <c r="M21" s="395"/>
      <c r="N21" s="9"/>
      <c r="O21" s="9"/>
      <c r="P21" s="9"/>
    </row>
    <row r="22" ht="14.25" customHeight="1">
      <c r="A22" s="398" t="s">
        <v>538</v>
      </c>
      <c r="B22" s="420">
        <v>-1009.0</v>
      </c>
      <c r="C22" s="420">
        <v>-995.9</v>
      </c>
      <c r="D22" s="420">
        <v>-1912.2</v>
      </c>
      <c r="E22" s="420">
        <v>-1725.4</v>
      </c>
      <c r="F22" s="420">
        <v>-3432.5</v>
      </c>
      <c r="G22" s="420">
        <v>-5023.4</v>
      </c>
      <c r="H22" s="420">
        <v>-3519.1</v>
      </c>
      <c r="I22" s="420">
        <v>-6368.1</v>
      </c>
      <c r="J22" s="420">
        <v>-18699.4</v>
      </c>
      <c r="K22" s="420">
        <v>-11961.5</v>
      </c>
      <c r="L22" s="422">
        <v>-13042.1</v>
      </c>
      <c r="M22" s="400"/>
      <c r="N22" s="9"/>
      <c r="O22" s="9"/>
      <c r="P22" s="9"/>
    </row>
    <row r="23" ht="14.25" customHeight="1">
      <c r="A23" s="390" t="s">
        <v>539</v>
      </c>
      <c r="B23" s="391"/>
      <c r="C23" s="391"/>
      <c r="D23" s="391"/>
      <c r="E23" s="391"/>
      <c r="F23" s="391"/>
      <c r="G23" s="391"/>
      <c r="H23" s="391"/>
      <c r="I23" s="391"/>
      <c r="J23" s="391"/>
      <c r="K23" s="391"/>
      <c r="L23" s="416"/>
      <c r="M23" s="9" t="inlineStr">
        <is>
          <t xml:space="preserve">Dec '26 (E)</t>
        </is>
      </c>
      <c r="N23" s="9"/>
      <c r="O23" s="9"/>
      <c r="P23" s="9"/>
    </row>
    <row r="24" ht="14.25" customHeight="1">
      <c r="A24" s="393" t="s">
        <v>541</v>
      </c>
      <c r="B24" s="417">
        <v>0.0</v>
      </c>
      <c r="C24" s="417">
        <v>0.0</v>
      </c>
      <c r="D24" s="417">
        <v>0.0</v>
      </c>
      <c r="E24" s="417">
        <v>0.0</v>
      </c>
      <c r="F24" s="417">
        <v>0.0</v>
      </c>
      <c r="G24" s="417">
        <v>0.0</v>
      </c>
      <c r="H24" s="417">
        <v>0.0</v>
      </c>
      <c r="I24" s="417">
        <v>0.0</v>
      </c>
      <c r="J24" s="417">
        <v>0.0</v>
      </c>
      <c r="K24" s="417">
        <v>0.0</v>
      </c>
      <c r="L24" s="419">
        <v>0.0</v>
      </c>
      <c r="M24" s="395"/>
      <c r="N24" s="9"/>
      <c r="O24" s="9"/>
      <c r="P24" s="9"/>
    </row>
    <row r="25" ht="14.25" customHeight="1">
      <c r="A25" s="408" t="s">
        <v>543</v>
      </c>
      <c r="B25" s="425">
        <v>0.0</v>
      </c>
      <c r="C25" s="425">
        <v>0.0</v>
      </c>
      <c r="D25" s="425">
        <v>0.0</v>
      </c>
      <c r="E25" s="425">
        <v>0.0</v>
      </c>
      <c r="F25" s="425">
        <v>0.0</v>
      </c>
      <c r="G25" s="425">
        <v>0.0</v>
      </c>
      <c r="H25" s="425">
        <v>0.0</v>
      </c>
      <c r="I25" s="425">
        <v>0.0</v>
      </c>
      <c r="J25" s="425">
        <v>0.0</v>
      </c>
      <c r="K25" s="425">
        <v>0.0</v>
      </c>
      <c r="L25" s="426">
        <v>0.0</v>
      </c>
      <c r="M25" s="395"/>
      <c r="N25" s="9"/>
      <c r="O25" s="9"/>
      <c r="P25" s="9"/>
    </row>
    <row r="26" ht="14.25" customHeight="1">
      <c r="A26" s="393" t="s">
        <v>544</v>
      </c>
      <c r="B26" s="417">
        <v>0.0</v>
      </c>
      <c r="C26" s="417">
        <v>0.0</v>
      </c>
      <c r="D26" s="417">
        <v>14.9</v>
      </c>
      <c r="E26" s="417">
        <v>12.1</v>
      </c>
      <c r="F26" s="417">
        <v>869.3</v>
      </c>
      <c r="G26" s="417">
        <v>3522.2</v>
      </c>
      <c r="H26" s="417">
        <v>1583.9</v>
      </c>
      <c r="I26" s="417">
        <v>0.0</v>
      </c>
      <c r="J26" s="417">
        <v>11517.6</v>
      </c>
      <c r="K26" s="417">
        <v>15704.9</v>
      </c>
      <c r="L26" s="419">
        <v>10317.0</v>
      </c>
      <c r="M26" s="395"/>
      <c r="N26" s="9"/>
      <c r="O26" s="9"/>
      <c r="P26" s="9"/>
    </row>
    <row r="27" ht="14.25" customHeight="1">
      <c r="A27" s="393" t="s">
        <v>546</v>
      </c>
      <c r="B27" s="417">
        <v>0.0</v>
      </c>
      <c r="C27" s="417">
        <v>0.0</v>
      </c>
      <c r="D27" s="417">
        <v>0.0</v>
      </c>
      <c r="E27" s="417">
        <v>-123.2</v>
      </c>
      <c r="F27" s="417">
        <v>-145.3</v>
      </c>
      <c r="G27" s="417">
        <v>-1063.2</v>
      </c>
      <c r="H27" s="417">
        <v>-1923.9</v>
      </c>
      <c r="I27" s="417">
        <v>-212.8</v>
      </c>
      <c r="J27" s="417">
        <v>-919.1</v>
      </c>
      <c r="K27" s="417">
        <v>-11966.0</v>
      </c>
      <c r="L27" s="419">
        <v>-4628.0</v>
      </c>
      <c r="M27" s="395"/>
      <c r="N27" s="9"/>
      <c r="O27" s="9"/>
      <c r="P27" s="9"/>
    </row>
    <row r="28" ht="14.25" customHeight="1">
      <c r="A28" s="408" t="s">
        <v>547</v>
      </c>
      <c r="B28" s="425">
        <v>0.0</v>
      </c>
      <c r="C28" s="425">
        <v>0.0</v>
      </c>
      <c r="D28" s="425">
        <v>14.9</v>
      </c>
      <c r="E28" s="425">
        <v>-111.1</v>
      </c>
      <c r="F28" s="425">
        <v>723.9</v>
      </c>
      <c r="G28" s="425">
        <v>2459.0</v>
      </c>
      <c r="H28" s="425">
        <v>-340.1</v>
      </c>
      <c r="I28" s="425">
        <v>-212.8</v>
      </c>
      <c r="J28" s="425">
        <v>10598.6</v>
      </c>
      <c r="K28" s="425">
        <v>3738.9</v>
      </c>
      <c r="L28" s="426">
        <v>5689.0</v>
      </c>
      <c r="M28" s="395"/>
      <c r="N28" s="9"/>
      <c r="O28" s="9"/>
      <c r="P28" s="9"/>
    </row>
    <row r="29" ht="14.25" customHeight="1">
      <c r="A29" s="393" t="s">
        <v>548</v>
      </c>
      <c r="B29" s="417">
        <v>0.0</v>
      </c>
      <c r="C29" s="417">
        <v>0.0</v>
      </c>
      <c r="D29" s="417">
        <v>0.0</v>
      </c>
      <c r="E29" s="417">
        <v>0.0</v>
      </c>
      <c r="F29" s="417">
        <v>0.0</v>
      </c>
      <c r="G29" s="417">
        <v>0.0</v>
      </c>
      <c r="H29" s="417">
        <v>0.0</v>
      </c>
      <c r="I29" s="417">
        <v>0.0</v>
      </c>
      <c r="J29" s="417">
        <v>0.0</v>
      </c>
      <c r="K29" s="417">
        <v>0.0</v>
      </c>
      <c r="L29" s="419">
        <v>0.0</v>
      </c>
      <c r="M29" s="395"/>
      <c r="N29" s="9"/>
      <c r="O29" s="9"/>
      <c r="P29" s="9"/>
    </row>
    <row r="30" ht="14.25" customHeight="1">
      <c r="A30" s="393" t="s">
        <v>549</v>
      </c>
      <c r="B30" s="417">
        <v>-2237.4</v>
      </c>
      <c r="C30" s="417">
        <v>-2552.9</v>
      </c>
      <c r="D30" s="417">
        <v>-2464.2</v>
      </c>
      <c r="E30" s="417">
        <v>-2298.9</v>
      </c>
      <c r="F30" s="417">
        <v>-2578.6</v>
      </c>
      <c r="G30" s="417">
        <v>-3090.9</v>
      </c>
      <c r="H30" s="417">
        <v>-3401.6</v>
      </c>
      <c r="I30" s="417">
        <v>-4341.5</v>
      </c>
      <c r="J30" s="417">
        <v>-2927.8</v>
      </c>
      <c r="K30" s="417">
        <v>-209.7</v>
      </c>
      <c r="L30" s="419">
        <v>-921.0</v>
      </c>
      <c r="M30" s="395"/>
      <c r="N30" s="9"/>
      <c r="O30" s="9"/>
      <c r="P30" s="9"/>
    </row>
    <row r="31" ht="14.25" customHeight="1">
      <c r="A31" s="408" t="s">
        <v>550</v>
      </c>
      <c r="B31" s="425">
        <v>-2237.4</v>
      </c>
      <c r="C31" s="425">
        <v>-2552.9</v>
      </c>
      <c r="D31" s="425">
        <v>-2464.2</v>
      </c>
      <c r="E31" s="425">
        <v>-2298.9</v>
      </c>
      <c r="F31" s="425">
        <v>-2578.6</v>
      </c>
      <c r="G31" s="425">
        <v>-3090.9</v>
      </c>
      <c r="H31" s="425">
        <v>-3401.6</v>
      </c>
      <c r="I31" s="425">
        <v>-4341.5</v>
      </c>
      <c r="J31" s="425">
        <v>-2927.8</v>
      </c>
      <c r="K31" s="425">
        <v>-209.7</v>
      </c>
      <c r="L31" s="426">
        <v>-921.0</v>
      </c>
      <c r="M31" s="395"/>
      <c r="N31" s="9"/>
      <c r="O31" s="9"/>
      <c r="P31" s="9"/>
    </row>
    <row r="32" ht="14.25" customHeight="1">
      <c r="A32" s="393" t="s">
        <v>552</v>
      </c>
      <c r="B32" s="417">
        <v>-3541.1</v>
      </c>
      <c r="C32" s="417">
        <v>-2855.9</v>
      </c>
      <c r="D32" s="417">
        <v>-3015.2</v>
      </c>
      <c r="E32" s="417">
        <v>-2909.8</v>
      </c>
      <c r="F32" s="417">
        <v>-3078.3</v>
      </c>
      <c r="G32" s="417">
        <v>-3420.0</v>
      </c>
      <c r="H32" s="417">
        <v>-3573.5</v>
      </c>
      <c r="I32" s="417">
        <v>-4608.9</v>
      </c>
      <c r="J32" s="417">
        <v>-6403.6</v>
      </c>
      <c r="K32" s="417">
        <v>-7821.9</v>
      </c>
      <c r="L32" s="419">
        <v>-8114.5</v>
      </c>
      <c r="M32" s="395"/>
      <c r="N32" s="9"/>
      <c r="O32" s="9"/>
      <c r="P32" s="9"/>
    </row>
    <row r="33" ht="14.25" customHeight="1">
      <c r="A33" s="393" t="s">
        <v>553</v>
      </c>
      <c r="B33" s="417">
        <v>0.0</v>
      </c>
      <c r="C33" s="417">
        <v>0.0</v>
      </c>
      <c r="D33" s="417">
        <v>0.0</v>
      </c>
      <c r="E33" s="417">
        <v>0.0</v>
      </c>
      <c r="F33" s="417">
        <v>0.0</v>
      </c>
      <c r="G33" s="417">
        <v>0.0</v>
      </c>
      <c r="H33" s="417">
        <v>0.0</v>
      </c>
      <c r="I33" s="417">
        <v>0.0</v>
      </c>
      <c r="J33" s="417">
        <v>0.0</v>
      </c>
      <c r="K33" s="417">
        <v>0.0</v>
      </c>
      <c r="L33" s="419">
        <v>-126.0</v>
      </c>
      <c r="M33" s="395"/>
      <c r="N33" s="9"/>
      <c r="O33" s="9"/>
      <c r="P33" s="9"/>
    </row>
    <row r="34" ht="14.25" customHeight="1">
      <c r="A34" s="398" t="s">
        <v>554</v>
      </c>
      <c r="B34" s="420">
        <v>-5778.5</v>
      </c>
      <c r="C34" s="420">
        <v>-5408.8</v>
      </c>
      <c r="D34" s="420">
        <v>-5464.5</v>
      </c>
      <c r="E34" s="420">
        <v>-5319.7</v>
      </c>
      <c r="F34" s="420">
        <v>-4933.0</v>
      </c>
      <c r="G34" s="420">
        <v>-4051.9</v>
      </c>
      <c r="H34" s="420">
        <v>-7315.2</v>
      </c>
      <c r="I34" s="420">
        <v>-9163.3</v>
      </c>
      <c r="J34" s="420">
        <v>1267.2</v>
      </c>
      <c r="K34" s="420">
        <v>-4292.7</v>
      </c>
      <c r="L34" s="422">
        <v>-3472.5</v>
      </c>
      <c r="M34" s="400"/>
      <c r="N34" s="9"/>
      <c r="O34" s="9"/>
      <c r="P34" s="9"/>
    </row>
    <row r="35" ht="14.25" customHeight="1">
      <c r="A35" s="390" t="s">
        <v>555</v>
      </c>
      <c r="B35" s="391"/>
      <c r="C35" s="391"/>
      <c r="D35" s="391"/>
      <c r="E35" s="391"/>
      <c r="F35" s="391"/>
      <c r="G35" s="391"/>
      <c r="H35" s="391"/>
      <c r="I35" s="391"/>
      <c r="J35" s="391"/>
      <c r="K35" s="391"/>
      <c r="L35" s="416"/>
      <c r="M35" s="9" t="inlineStr">
        <is>
          <t xml:space="preserve">Dec '26 (E)</t>
        </is>
      </c>
      <c r="N35" s="9"/>
      <c r="O35" s="9"/>
      <c r="P35" s="9"/>
    </row>
    <row r="36" ht="14.25" customHeight="1">
      <c r="A36" s="398" t="s">
        <v>555</v>
      </c>
      <c r="B36" s="420">
        <v>6129.0</v>
      </c>
      <c r="C36" s="420">
        <v>5083.5</v>
      </c>
      <c r="D36" s="420">
        <v>5537.2</v>
      </c>
      <c r="E36" s="420">
        <v>5674.4</v>
      </c>
      <c r="F36" s="420">
        <v>7056.8</v>
      </c>
      <c r="G36" s="420">
        <v>7734.9</v>
      </c>
      <c r="H36" s="420">
        <v>9425.7</v>
      </c>
      <c r="I36" s="420">
        <v>12056.8</v>
      </c>
      <c r="J36" s="420">
        <v>10707.1</v>
      </c>
      <c r="K36" s="420">
        <v>8909.7</v>
      </c>
      <c r="L36" s="430">
        <v>11840.1</v>
      </c>
      <c r="M36" s="431"/>
      <c r="N36" s="9"/>
      <c r="O36" s="9"/>
      <c r="P36" s="9"/>
    </row>
    <row r="37" ht="14.25" customHeight="1">
      <c r="A37" s="398" t="s">
        <v>557</v>
      </c>
      <c r="B37" s="420">
        <v>5710.3</v>
      </c>
      <c r="C37" s="420">
        <v>5812.9</v>
      </c>
      <c r="D37" s="420">
        <v>6067.5</v>
      </c>
      <c r="E37" s="420">
        <v>6312.2</v>
      </c>
      <c r="F37" s="420">
        <v>6567.5</v>
      </c>
      <c r="G37" s="420">
        <v>7534.6</v>
      </c>
      <c r="H37" s="420">
        <v>8494.2</v>
      </c>
      <c r="I37" s="420">
        <v>11897.6</v>
      </c>
      <c r="J37" s="420">
        <v>14783.1</v>
      </c>
      <c r="K37" s="420">
        <v>15137.0</v>
      </c>
      <c r="L37" s="430">
        <v>14869.4</v>
      </c>
      <c r="M37" s="400"/>
      <c r="N37" s="9"/>
      <c r="O37" s="9"/>
      <c r="P37" s="9"/>
    </row>
    <row r="38" ht="14.25" customHeight="1">
      <c r="A38" s="398" t="s">
        <v>558</v>
      </c>
      <c r="B38" s="420">
        <v>6129.0</v>
      </c>
      <c r="C38" s="420">
        <v>5083.5</v>
      </c>
      <c r="D38" s="420">
        <v>5537.2</v>
      </c>
      <c r="E38" s="420">
        <v>5674.4</v>
      </c>
      <c r="F38" s="420">
        <v>7056.8</v>
      </c>
      <c r="G38" s="420">
        <v>7734.9</v>
      </c>
      <c r="H38" s="420">
        <v>9425.7</v>
      </c>
      <c r="I38" s="420">
        <v>12056.8</v>
      </c>
      <c r="J38" s="420">
        <v>10707.1</v>
      </c>
      <c r="K38" s="420">
        <v>8909.7</v>
      </c>
      <c r="L38" s="430">
        <v>11840.1</v>
      </c>
      <c r="M38" s="400"/>
      <c r="N38" s="9"/>
      <c r="O38" s="9"/>
      <c r="P38" s="9"/>
    </row>
    <row r="39" ht="14.25" customHeight="1">
      <c r="A39" s="398" t="s">
        <v>559</v>
      </c>
      <c r="B39" s="420">
        <v>6136.8</v>
      </c>
      <c r="C39" s="420">
        <v>5093.8</v>
      </c>
      <c r="D39" s="420">
        <v>5548.6</v>
      </c>
      <c r="E39" s="420">
        <v>5700.9</v>
      </c>
      <c r="F39" s="420">
        <v>7104.1</v>
      </c>
      <c r="G39" s="420">
        <v>7772.1</v>
      </c>
      <c r="H39" s="420">
        <v>9468.6</v>
      </c>
      <c r="I39" s="420">
        <v>12119.7</v>
      </c>
      <c r="J39" s="420">
        <v>10896.0</v>
      </c>
      <c r="K39" s="420">
        <v>9408.5</v>
      </c>
      <c r="L39" s="430">
        <v>12452.9</v>
      </c>
      <c r="M39" s="400"/>
      <c r="N39" s="9"/>
      <c r="O39" s="9"/>
      <c r="P39" s="9"/>
    </row>
    <row r="40" ht="14.25" customHeight="1">
      <c r="A40" s="398" t="s">
        <v>561</v>
      </c>
      <c r="B40" s="432">
        <v>391.8</v>
      </c>
      <c r="C40" s="432">
        <v>-165.5</v>
      </c>
      <c r="D40" s="432">
        <v>-314.2</v>
      </c>
      <c r="E40" s="432">
        <v>-31.6</v>
      </c>
      <c r="F40" s="432">
        <v>-417.5</v>
      </c>
      <c r="G40" s="432">
        <v>-333.5</v>
      </c>
      <c r="H40" s="432">
        <v>306.7</v>
      </c>
      <c r="I40" s="432">
        <v>269.6</v>
      </c>
      <c r="J40" s="432">
        <v>117.2</v>
      </c>
      <c r="K40" s="432">
        <v>1743.2</v>
      </c>
      <c r="L40" s="433">
        <v>4075.1</v>
      </c>
      <c r="M40" s="400"/>
      <c r="N40" s="9"/>
      <c r="O40" s="9"/>
      <c r="P40" s="9"/>
    </row>
    <row r="41" ht="14.25" customHeight="1">
      <c r="A41" s="9"/>
      <c r="B41" s="9"/>
      <c r="C41" s="9"/>
      <c r="D41" s="9"/>
      <c r="E41" s="9"/>
      <c r="F41" s="9"/>
      <c r="G41" s="9"/>
      <c r="H41" s="9"/>
      <c r="I41" s="9"/>
      <c r="J41" s="9"/>
      <c r="K41" s="9"/>
      <c r="L41" s="434"/>
      <c r="M41" s="9"/>
      <c r="N41" s="9"/>
      <c r="O41" s="9"/>
      <c r="P41" s="9"/>
    </row>
    <row r="42" ht="14.25" customHeight="1">
      <c r="A42" s="9"/>
      <c r="B42" s="9"/>
      <c r="C42" s="9"/>
      <c r="D42" s="9"/>
      <c r="E42" s="9"/>
      <c r="F42" s="9"/>
      <c r="G42" s="9"/>
      <c r="H42" s="9"/>
      <c r="I42" s="9"/>
      <c r="J42" s="9"/>
      <c r="K42" s="9"/>
      <c r="L42" s="434"/>
      <c r="M42" s="9"/>
      <c r="N42" s="9"/>
      <c r="O42" s="9"/>
      <c r="P42" s="9"/>
    </row>
    <row r="43" ht="14.25" customHeight="1">
      <c r="A43" s="9"/>
      <c r="B43" s="9"/>
      <c r="C43" s="9"/>
      <c r="D43" s="9"/>
      <c r="E43" s="9"/>
      <c r="F43" s="9"/>
      <c r="G43" s="9"/>
      <c r="H43" s="9"/>
      <c r="I43" s="9"/>
      <c r="J43" s="9"/>
      <c r="K43" s="9"/>
      <c r="L43" s="434"/>
      <c r="M43" s="9"/>
      <c r="N43" s="9"/>
      <c r="O43" s="9"/>
      <c r="P43" s="9"/>
    </row>
    <row r="44" ht="14.25" customHeight="1">
      <c r="A44" s="9"/>
      <c r="B44" s="9"/>
      <c r="C44" s="9"/>
      <c r="D44" s="9"/>
      <c r="E44" s="9"/>
      <c r="F44" s="9"/>
      <c r="G44" s="9"/>
      <c r="H44" s="9"/>
      <c r="I44" s="9"/>
      <c r="J44" s="9"/>
      <c r="K44" s="9"/>
      <c r="L44" s="434"/>
      <c r="M44" s="9"/>
      <c r="N44" s="9"/>
      <c r="O44" s="9"/>
      <c r="P44" s="9"/>
    </row>
    <row r="45" ht="14.25" customHeight="1">
      <c r="A45" s="9"/>
      <c r="B45" s="9"/>
      <c r="C45" s="9"/>
      <c r="D45" s="9"/>
      <c r="E45" s="9"/>
      <c r="F45" s="9"/>
      <c r="G45" s="9"/>
      <c r="H45" s="9"/>
      <c r="I45" s="9"/>
      <c r="J45" s="9"/>
      <c r="K45" s="9"/>
      <c r="L45" s="434"/>
      <c r="M45" s="9"/>
      <c r="N45" s="9"/>
      <c r="O45" s="9"/>
      <c r="P45" s="9"/>
    </row>
    <row r="46" ht="14.25" customHeight="1">
      <c r="A46" s="9"/>
      <c r="B46" s="9"/>
      <c r="C46" s="9"/>
      <c r="D46" s="9"/>
      <c r="E46" s="9"/>
      <c r="F46" s="9"/>
      <c r="G46" s="9"/>
      <c r="H46" s="9"/>
      <c r="I46" s="9"/>
      <c r="J46" s="9"/>
      <c r="K46" s="9"/>
      <c r="L46" s="434"/>
      <c r="M46" s="9"/>
      <c r="N46" s="9"/>
      <c r="O46" s="9"/>
      <c r="P46" s="9"/>
    </row>
    <row r="47" ht="14.25" customHeight="1">
      <c r="A47" s="9"/>
      <c r="B47" s="9"/>
      <c r="C47" s="9"/>
      <c r="D47" s="9"/>
      <c r="E47" s="9"/>
      <c r="F47" s="9"/>
      <c r="G47" s="9"/>
      <c r="H47" s="9"/>
      <c r="I47" s="9"/>
      <c r="J47" s="9"/>
      <c r="K47" s="9"/>
      <c r="L47" s="434"/>
      <c r="M47" s="9"/>
      <c r="N47" s="9"/>
      <c r="O47" s="9"/>
      <c r="P47" s="9"/>
    </row>
    <row r="48" ht="14.25" customHeight="1">
      <c r="A48" s="9"/>
      <c r="B48" s="9"/>
      <c r="C48" s="9"/>
      <c r="D48" s="9"/>
      <c r="E48" s="9"/>
      <c r="F48" s="9"/>
      <c r="G48" s="9"/>
      <c r="H48" s="9"/>
      <c r="I48" s="9"/>
      <c r="J48" s="9"/>
      <c r="K48" s="9"/>
      <c r="L48" s="434"/>
      <c r="M48" s="9"/>
      <c r="N48" s="9"/>
      <c r="O48" s="9"/>
      <c r="P48" s="9"/>
    </row>
    <row r="49" ht="14.25" customHeight="1">
      <c r="A49" s="9"/>
      <c r="B49" s="9"/>
      <c r="C49" s="9"/>
      <c r="D49" s="9"/>
      <c r="E49" s="9"/>
      <c r="F49" s="9"/>
      <c r="G49" s="9"/>
      <c r="H49" s="9"/>
      <c r="I49" s="9"/>
      <c r="J49" s="9"/>
      <c r="K49" s="9"/>
      <c r="L49" s="434"/>
      <c r="M49" s="9"/>
      <c r="N49" s="9"/>
      <c r="O49" s="9"/>
      <c r="P49" s="9"/>
    </row>
    <row r="50" ht="14.25" customHeight="1">
      <c r="A50" s="9"/>
      <c r="B50" s="9"/>
      <c r="C50" s="9"/>
      <c r="D50" s="9"/>
      <c r="E50" s="9"/>
      <c r="F50" s="9"/>
      <c r="G50" s="9"/>
      <c r="H50" s="9"/>
      <c r="I50" s="9"/>
      <c r="J50" s="9"/>
      <c r="K50" s="9"/>
      <c r="L50" s="434"/>
      <c r="M50" s="9"/>
      <c r="N50" s="9"/>
      <c r="O50" s="9"/>
      <c r="P50" s="9"/>
    </row>
    <row r="51" ht="14.25" customHeight="1">
      <c r="A51" s="9"/>
      <c r="B51" s="9"/>
      <c r="C51" s="9"/>
      <c r="D51" s="9"/>
      <c r="E51" s="9"/>
      <c r="F51" s="9"/>
      <c r="G51" s="9"/>
      <c r="H51" s="9"/>
      <c r="I51" s="9"/>
      <c r="J51" s="9"/>
      <c r="K51" s="9"/>
      <c r="L51" s="434"/>
      <c r="M51" s="9"/>
      <c r="N51" s="9"/>
      <c r="O51" s="9"/>
      <c r="P51" s="9"/>
    </row>
    <row r="52" ht="14.25" customHeight="1">
      <c r="A52" s="9"/>
      <c r="B52" s="9"/>
      <c r="C52" s="9"/>
      <c r="D52" s="9"/>
      <c r="E52" s="9"/>
      <c r="F52" s="9"/>
      <c r="G52" s="9"/>
      <c r="H52" s="9"/>
      <c r="I52" s="9"/>
      <c r="J52" s="9"/>
      <c r="K52" s="9"/>
      <c r="L52" s="434"/>
      <c r="M52" s="9"/>
      <c r="N52" s="9"/>
      <c r="O52" s="9"/>
      <c r="P52" s="9"/>
    </row>
    <row r="53" ht="14.25" customHeight="1">
      <c r="A53" s="9"/>
      <c r="B53" s="9"/>
      <c r="C53" s="9"/>
      <c r="D53" s="9"/>
      <c r="E53" s="9"/>
      <c r="F53" s="9"/>
      <c r="G53" s="9"/>
      <c r="H53" s="9"/>
      <c r="I53" s="9"/>
      <c r="J53" s="9"/>
      <c r="K53" s="9"/>
      <c r="L53" s="434"/>
      <c r="M53" s="9"/>
      <c r="N53" s="9"/>
      <c r="O53" s="9"/>
      <c r="P53" s="9"/>
    </row>
    <row r="54" ht="14.25" customHeight="1">
      <c r="A54" s="9"/>
      <c r="B54" s="9"/>
      <c r="C54" s="9"/>
      <c r="D54" s="9"/>
      <c r="E54" s="9"/>
      <c r="F54" s="9"/>
      <c r="G54" s="9"/>
      <c r="H54" s="9"/>
      <c r="I54" s="9"/>
      <c r="J54" s="9"/>
      <c r="K54" s="9"/>
      <c r="L54" s="434"/>
      <c r="M54" s="9"/>
      <c r="N54" s="9"/>
      <c r="O54" s="9"/>
      <c r="P54" s="9"/>
    </row>
    <row r="55" ht="14.25" customHeight="1">
      <c r="A55" s="9"/>
      <c r="B55" s="9"/>
      <c r="C55" s="9"/>
      <c r="D55" s="9"/>
      <c r="E55" s="9"/>
      <c r="F55" s="9"/>
      <c r="G55" s="9"/>
      <c r="H55" s="9"/>
      <c r="I55" s="9"/>
      <c r="J55" s="9"/>
      <c r="K55" s="9"/>
      <c r="L55" s="434"/>
      <c r="M55" s="9"/>
      <c r="N55" s="9"/>
      <c r="O55" s="9"/>
      <c r="P55" s="9"/>
    </row>
    <row r="56" ht="15.75" customHeight="1">
      <c r="A56" s="77"/>
      <c r="B56" s="77"/>
      <c r="C56" s="77"/>
      <c r="D56" s="77"/>
      <c r="E56" s="77"/>
      <c r="F56" s="77"/>
      <c r="G56" s="77"/>
      <c r="H56" s="77"/>
      <c r="I56" s="77"/>
      <c r="J56" s="77"/>
      <c r="K56" s="77"/>
      <c r="L56" s="77"/>
      <c r="M56" s="77"/>
      <c r="N56" s="77"/>
      <c r="O56" s="77"/>
      <c r="P56" s="77"/>
    </row>
    <row r="57" ht="15.75" customHeight="1">
      <c r="A57" s="77"/>
      <c r="B57" s="77"/>
      <c r="C57" s="77"/>
      <c r="D57" s="77"/>
      <c r="E57" s="77"/>
      <c r="F57" s="77"/>
      <c r="G57" s="77"/>
      <c r="H57" s="77"/>
      <c r="I57" s="77"/>
      <c r="J57" s="77"/>
      <c r="K57" s="77"/>
      <c r="L57" s="77"/>
      <c r="M57" s="77"/>
      <c r="N57" s="77"/>
      <c r="O57" s="77"/>
      <c r="P57" s="77"/>
    </row>
    <row r="58" ht="15.75" customHeight="1">
      <c r="A58" s="77"/>
      <c r="B58" s="77"/>
      <c r="C58" s="77"/>
      <c r="D58" s="77"/>
      <c r="E58" s="77"/>
      <c r="F58" s="77"/>
      <c r="G58" s="77"/>
      <c r="H58" s="77"/>
      <c r="I58" s="77"/>
      <c r="J58" s="77"/>
      <c r="K58" s="77"/>
      <c r="L58" s="77"/>
      <c r="M58" s="77"/>
      <c r="N58" s="77"/>
      <c r="O58" s="77"/>
      <c r="P58" s="77"/>
    </row>
    <row r="59" ht="15.75" customHeight="1">
      <c r="A59" s="77"/>
      <c r="B59" s="77"/>
      <c r="C59" s="77"/>
      <c r="D59" s="77"/>
      <c r="E59" s="77"/>
      <c r="F59" s="77"/>
      <c r="G59" s="77"/>
      <c r="H59" s="77"/>
      <c r="I59" s="77"/>
      <c r="J59" s="77"/>
      <c r="K59" s="77"/>
      <c r="L59" s="77"/>
      <c r="M59" s="77"/>
      <c r="N59" s="77"/>
      <c r="O59" s="77"/>
      <c r="P59" s="77"/>
    </row>
    <row r="60" ht="15.75" customHeight="1">
      <c r="A60" s="77"/>
      <c r="B60" s="77"/>
      <c r="C60" s="77"/>
      <c r="D60" s="77"/>
      <c r="E60" s="77"/>
      <c r="F60" s="77"/>
      <c r="G60" s="77"/>
      <c r="H60" s="77"/>
      <c r="I60" s="77"/>
      <c r="J60" s="77"/>
      <c r="K60" s="77"/>
      <c r="L60" s="77"/>
      <c r="M60" s="77"/>
      <c r="N60" s="77"/>
      <c r="O60" s="77"/>
      <c r="P60" s="77"/>
    </row>
    <row r="61" ht="15.75" customHeight="1">
      <c r="A61" s="77"/>
      <c r="B61" s="77"/>
      <c r="C61" s="77"/>
      <c r="D61" s="77"/>
      <c r="E61" s="77"/>
      <c r="F61" s="77"/>
      <c r="G61" s="77"/>
      <c r="H61" s="77"/>
      <c r="I61" s="77"/>
      <c r="J61" s="77"/>
      <c r="K61" s="77"/>
      <c r="L61" s="77"/>
      <c r="M61" s="77"/>
      <c r="N61" s="77"/>
      <c r="O61" s="77"/>
      <c r="P61" s="77"/>
    </row>
    <row r="62" ht="15.75" customHeight="1">
      <c r="A62" s="77"/>
      <c r="B62" s="77"/>
      <c r="C62" s="77"/>
      <c r="D62" s="77"/>
      <c r="E62" s="77"/>
      <c r="F62" s="77"/>
      <c r="G62" s="77"/>
      <c r="H62" s="77"/>
      <c r="I62" s="77"/>
      <c r="J62" s="77"/>
      <c r="K62" s="77"/>
      <c r="L62" s="77"/>
      <c r="M62" s="77"/>
      <c r="N62" s="77"/>
      <c r="O62" s="77"/>
      <c r="P62" s="77"/>
    </row>
    <row r="63" ht="15.75" customHeight="1">
      <c r="A63" s="77"/>
      <c r="B63" s="77"/>
      <c r="C63" s="77"/>
      <c r="D63" s="77"/>
      <c r="E63" s="77"/>
      <c r="F63" s="77"/>
      <c r="G63" s="77"/>
      <c r="H63" s="77"/>
      <c r="I63" s="77"/>
      <c r="J63" s="77"/>
      <c r="K63" s="77"/>
      <c r="L63" s="77"/>
      <c r="M63" s="77"/>
      <c r="N63" s="77"/>
      <c r="O63" s="77"/>
      <c r="P63" s="77"/>
    </row>
    <row r="64" ht="15.75" customHeight="1">
      <c r="A64" s="77"/>
      <c r="B64" s="77"/>
      <c r="C64" s="77"/>
      <c r="D64" s="77"/>
      <c r="E64" s="77"/>
      <c r="F64" s="77"/>
      <c r="G64" s="77"/>
      <c r="H64" s="77"/>
      <c r="I64" s="77"/>
      <c r="J64" s="77"/>
      <c r="K64" s="77"/>
      <c r="L64" s="77"/>
      <c r="M64" s="77"/>
      <c r="N64" s="77"/>
      <c r="O64" s="77"/>
      <c r="P64" s="77"/>
    </row>
    <row r="65" ht="15.75" customHeight="1">
      <c r="A65" s="77"/>
      <c r="B65" s="77"/>
      <c r="C65" s="77"/>
      <c r="D65" s="77"/>
      <c r="E65" s="77"/>
      <c r="F65" s="77"/>
      <c r="G65" s="77"/>
      <c r="H65" s="77"/>
      <c r="I65" s="77"/>
      <c r="J65" s="77"/>
      <c r="K65" s="77"/>
      <c r="L65" s="77"/>
      <c r="M65" s="77"/>
      <c r="N65" s="77"/>
      <c r="O65" s="77"/>
      <c r="P65" s="77"/>
    </row>
    <row r="66" ht="15.75" customHeight="1">
      <c r="A66" s="77"/>
      <c r="B66" s="77"/>
      <c r="C66" s="77"/>
      <c r="D66" s="77"/>
      <c r="E66" s="77"/>
      <c r="F66" s="77"/>
      <c r="G66" s="77"/>
      <c r="H66" s="77"/>
      <c r="I66" s="77"/>
      <c r="J66" s="77"/>
      <c r="K66" s="77"/>
      <c r="L66" s="77"/>
      <c r="M66" s="77"/>
      <c r="N66" s="77"/>
      <c r="O66" s="77"/>
      <c r="P66" s="77"/>
    </row>
    <row r="67" ht="15.75" customHeight="1">
      <c r="A67" s="77"/>
      <c r="B67" s="77"/>
      <c r="C67" s="77"/>
      <c r="D67" s="77"/>
      <c r="E67" s="77"/>
      <c r="F67" s="77"/>
      <c r="G67" s="77"/>
      <c r="H67" s="77"/>
      <c r="I67" s="77"/>
      <c r="J67" s="77"/>
      <c r="K67" s="77"/>
      <c r="L67" s="77"/>
      <c r="M67" s="77"/>
      <c r="N67" s="77"/>
      <c r="O67" s="77"/>
      <c r="P67" s="77"/>
    </row>
    <row r="68" ht="15.75" customHeight="1">
      <c r="A68" s="77"/>
      <c r="B68" s="77"/>
      <c r="C68" s="77"/>
      <c r="D68" s="77"/>
      <c r="E68" s="77"/>
      <c r="F68" s="77"/>
      <c r="G68" s="77"/>
      <c r="H68" s="77"/>
      <c r="I68" s="77"/>
      <c r="J68" s="77"/>
      <c r="K68" s="77"/>
      <c r="L68" s="77"/>
      <c r="M68" s="77"/>
      <c r="N68" s="77"/>
      <c r="O68" s="77"/>
      <c r="P68" s="77"/>
    </row>
    <row r="69" ht="15.75" customHeight="1">
      <c r="A69" s="77"/>
      <c r="B69" s="77"/>
      <c r="C69" s="77"/>
      <c r="D69" s="77"/>
      <c r="E69" s="77"/>
      <c r="F69" s="77"/>
      <c r="G69" s="77"/>
      <c r="H69" s="77"/>
      <c r="I69" s="77"/>
      <c r="J69" s="77"/>
      <c r="K69" s="77"/>
      <c r="L69" s="77"/>
      <c r="M69" s="77"/>
      <c r="N69" s="77"/>
      <c r="O69" s="77"/>
      <c r="P69" s="77"/>
    </row>
    <row r="70" ht="15.75" customHeight="1">
      <c r="A70" s="77"/>
      <c r="B70" s="77"/>
      <c r="C70" s="77"/>
      <c r="D70" s="77"/>
      <c r="E70" s="77"/>
      <c r="F70" s="77"/>
      <c r="G70" s="77"/>
      <c r="H70" s="77"/>
      <c r="I70" s="77"/>
      <c r="J70" s="77"/>
      <c r="K70" s="77"/>
      <c r="L70" s="77"/>
      <c r="M70" s="77"/>
      <c r="N70" s="77"/>
      <c r="O70" s="77"/>
      <c r="P70" s="77"/>
    </row>
    <row r="71" ht="15.75" customHeight="1">
      <c r="A71" s="77"/>
      <c r="B71" s="77"/>
      <c r="C71" s="77"/>
      <c r="D71" s="77"/>
      <c r="E71" s="77"/>
      <c r="F71" s="77"/>
      <c r="G71" s="77"/>
      <c r="H71" s="77"/>
      <c r="I71" s="77"/>
      <c r="J71" s="77"/>
      <c r="K71" s="77"/>
      <c r="L71" s="77"/>
      <c r="M71" s="77"/>
      <c r="N71" s="77"/>
      <c r="O71" s="77"/>
      <c r="P71" s="77"/>
    </row>
    <row r="72" ht="15.75" customHeight="1">
      <c r="A72" s="77"/>
      <c r="B72" s="77"/>
      <c r="C72" s="77"/>
      <c r="D72" s="77"/>
      <c r="E72" s="77"/>
      <c r="F72" s="77"/>
      <c r="G72" s="77"/>
      <c r="H72" s="77"/>
      <c r="I72" s="77"/>
      <c r="J72" s="77"/>
      <c r="K72" s="77"/>
      <c r="L72" s="77"/>
      <c r="M72" s="77"/>
      <c r="N72" s="77"/>
      <c r="O72" s="77"/>
      <c r="P72" s="77"/>
    </row>
    <row r="73" ht="15.75" customHeight="1">
      <c r="A73" s="77"/>
      <c r="B73" s="77"/>
      <c r="C73" s="77"/>
      <c r="D73" s="77"/>
      <c r="E73" s="77"/>
      <c r="F73" s="77"/>
      <c r="G73" s="77"/>
      <c r="H73" s="77"/>
      <c r="I73" s="77"/>
      <c r="J73" s="77"/>
      <c r="K73" s="77"/>
      <c r="L73" s="77"/>
      <c r="M73" s="77"/>
      <c r="N73" s="77"/>
      <c r="O73" s="77"/>
      <c r="P73" s="77"/>
    </row>
    <row r="74" ht="15.75" customHeight="1">
      <c r="A74" s="77"/>
      <c r="B74" s="77"/>
      <c r="C74" s="77"/>
      <c r="D74" s="77"/>
      <c r="E74" s="77"/>
      <c r="F74" s="77"/>
      <c r="G74" s="77"/>
      <c r="H74" s="77"/>
      <c r="I74" s="77"/>
      <c r="J74" s="77"/>
      <c r="K74" s="77"/>
      <c r="L74" s="77"/>
      <c r="M74" s="77"/>
      <c r="N74" s="77"/>
      <c r="O74" s="77"/>
      <c r="P74" s="77"/>
    </row>
    <row r="75" ht="15.75" customHeight="1">
      <c r="A75" s="77"/>
      <c r="B75" s="77"/>
      <c r="C75" s="77"/>
      <c r="D75" s="77"/>
      <c r="E75" s="77"/>
      <c r="F75" s="77"/>
      <c r="G75" s="77"/>
      <c r="H75" s="77"/>
      <c r="I75" s="77"/>
      <c r="J75" s="77"/>
      <c r="K75" s="77"/>
      <c r="L75" s="77"/>
      <c r="M75" s="77"/>
      <c r="N75" s="77"/>
      <c r="O75" s="77"/>
      <c r="P75" s="77"/>
    </row>
    <row r="76" ht="15.75" customHeight="1">
      <c r="A76" s="77"/>
      <c r="B76" s="77"/>
      <c r="C76" s="77"/>
      <c r="D76" s="77"/>
      <c r="E76" s="77"/>
      <c r="F76" s="77"/>
      <c r="G76" s="77"/>
      <c r="H76" s="77"/>
      <c r="I76" s="77"/>
      <c r="J76" s="77"/>
      <c r="K76" s="77"/>
      <c r="L76" s="77"/>
      <c r="M76" s="77"/>
      <c r="N76" s="77"/>
      <c r="O76" s="77"/>
      <c r="P76" s="77"/>
    </row>
    <row r="77" ht="15.75" customHeight="1">
      <c r="A77" s="77"/>
      <c r="B77" s="77"/>
      <c r="C77" s="77"/>
      <c r="D77" s="77"/>
      <c r="E77" s="77"/>
      <c r="F77" s="77"/>
      <c r="G77" s="77"/>
      <c r="H77" s="77"/>
      <c r="I77" s="77"/>
      <c r="J77" s="77"/>
      <c r="K77" s="77"/>
      <c r="L77" s="77"/>
      <c r="M77" s="77"/>
      <c r="N77" s="77"/>
      <c r="O77" s="77"/>
      <c r="P77" s="77"/>
    </row>
    <row r="78" ht="15.75" customHeight="1">
      <c r="A78" s="77"/>
      <c r="B78" s="77"/>
      <c r="C78" s="77"/>
      <c r="D78" s="77"/>
      <c r="E78" s="77"/>
      <c r="F78" s="77"/>
      <c r="G78" s="77"/>
      <c r="H78" s="77"/>
      <c r="I78" s="77"/>
      <c r="J78" s="77"/>
      <c r="K78" s="77"/>
      <c r="L78" s="77"/>
      <c r="M78" s="77"/>
      <c r="N78" s="77"/>
      <c r="O78" s="77"/>
      <c r="P78" s="77"/>
    </row>
    <row r="79" ht="15.75" customHeight="1">
      <c r="A79" s="77"/>
      <c r="B79" s="77"/>
      <c r="C79" s="77"/>
      <c r="D79" s="77"/>
      <c r="E79" s="77"/>
      <c r="F79" s="77"/>
      <c r="G79" s="77"/>
      <c r="H79" s="77"/>
      <c r="I79" s="77"/>
      <c r="J79" s="77"/>
      <c r="K79" s="77"/>
      <c r="L79" s="77"/>
      <c r="M79" s="77"/>
      <c r="N79" s="77"/>
      <c r="O79" s="77"/>
      <c r="P79" s="77"/>
    </row>
    <row r="80" ht="15.75" customHeight="1">
      <c r="A80" s="77"/>
      <c r="B80" s="77"/>
      <c r="C80" s="77"/>
      <c r="D80" s="77"/>
      <c r="E80" s="77"/>
      <c r="F80" s="77"/>
      <c r="G80" s="77"/>
      <c r="H80" s="77"/>
      <c r="I80" s="77"/>
      <c r="J80" s="77"/>
      <c r="K80" s="77"/>
      <c r="L80" s="77"/>
      <c r="M80" s="77"/>
      <c r="N80" s="77"/>
      <c r="O80" s="77"/>
      <c r="P80" s="77"/>
    </row>
    <row r="81" ht="15.75" customHeight="1">
      <c r="A81" s="77"/>
      <c r="B81" s="77"/>
      <c r="C81" s="77"/>
      <c r="D81" s="77"/>
      <c r="E81" s="77"/>
      <c r="F81" s="77"/>
      <c r="G81" s="77"/>
      <c r="H81" s="77"/>
      <c r="I81" s="77"/>
      <c r="J81" s="77"/>
      <c r="K81" s="77"/>
      <c r="L81" s="77"/>
      <c r="M81" s="77"/>
      <c r="N81" s="77"/>
      <c r="O81" s="77"/>
      <c r="P81" s="77"/>
    </row>
    <row r="82" ht="15.75" customHeight="1">
      <c r="A82" s="77"/>
      <c r="B82" s="77"/>
      <c r="C82" s="77"/>
      <c r="D82" s="77"/>
      <c r="E82" s="77"/>
      <c r="F82" s="77"/>
      <c r="G82" s="77"/>
      <c r="H82" s="77"/>
      <c r="I82" s="77"/>
      <c r="J82" s="77"/>
      <c r="K82" s="77"/>
      <c r="L82" s="77"/>
      <c r="M82" s="77"/>
      <c r="N82" s="77"/>
      <c r="O82" s="77"/>
      <c r="P82" s="77"/>
    </row>
    <row r="83" ht="15.75" customHeight="1">
      <c r="A83" s="77"/>
      <c r="B83" s="77"/>
      <c r="C83" s="77"/>
      <c r="D83" s="77"/>
      <c r="E83" s="77"/>
      <c r="F83" s="77"/>
      <c r="G83" s="77"/>
      <c r="H83" s="77"/>
      <c r="I83" s="77"/>
      <c r="J83" s="77"/>
      <c r="K83" s="77"/>
      <c r="L83" s="77"/>
      <c r="M83" s="77"/>
      <c r="N83" s="77"/>
      <c r="O83" s="77"/>
      <c r="P83" s="77"/>
    </row>
    <row r="84" ht="15.75" customHeight="1">
      <c r="A84" s="77"/>
      <c r="B84" s="77"/>
      <c r="C84" s="77"/>
      <c r="D84" s="77"/>
      <c r="E84" s="77"/>
      <c r="F84" s="77"/>
      <c r="G84" s="77"/>
      <c r="H84" s="77"/>
      <c r="I84" s="77"/>
      <c r="J84" s="77"/>
      <c r="K84" s="77"/>
      <c r="L84" s="77"/>
      <c r="M84" s="77"/>
      <c r="N84" s="77"/>
      <c r="O84" s="77"/>
      <c r="P84" s="77"/>
    </row>
    <row r="85" ht="15.75" customHeight="1">
      <c r="A85" s="77"/>
      <c r="B85" s="77"/>
      <c r="C85" s="77"/>
      <c r="D85" s="77"/>
      <c r="E85" s="77"/>
      <c r="F85" s="77"/>
      <c r="G85" s="77"/>
      <c r="H85" s="77"/>
      <c r="I85" s="77"/>
      <c r="J85" s="77"/>
      <c r="K85" s="77"/>
      <c r="L85" s="77"/>
      <c r="M85" s="77"/>
      <c r="N85" s="77"/>
      <c r="O85" s="77"/>
      <c r="P85" s="77"/>
    </row>
    <row r="86" ht="15.75" customHeight="1">
      <c r="A86" s="77"/>
      <c r="B86" s="77"/>
      <c r="C86" s="77"/>
      <c r="D86" s="77"/>
      <c r="E86" s="77"/>
      <c r="F86" s="77"/>
      <c r="G86" s="77"/>
      <c r="H86" s="77"/>
      <c r="I86" s="77"/>
      <c r="J86" s="77"/>
      <c r="K86" s="77"/>
      <c r="L86" s="77"/>
      <c r="M86" s="77"/>
      <c r="N86" s="77"/>
      <c r="O86" s="77"/>
      <c r="P86" s="77"/>
    </row>
    <row r="87" ht="15.75" customHeight="1">
      <c r="A87" s="77"/>
      <c r="B87" s="77"/>
      <c r="C87" s="77"/>
      <c r="D87" s="77"/>
      <c r="E87" s="77"/>
      <c r="F87" s="77"/>
      <c r="G87" s="77"/>
      <c r="H87" s="77"/>
      <c r="I87" s="77"/>
      <c r="J87" s="77"/>
      <c r="K87" s="77"/>
      <c r="L87" s="77"/>
      <c r="M87" s="77"/>
      <c r="N87" s="77"/>
      <c r="O87" s="77"/>
      <c r="P87" s="77"/>
    </row>
    <row r="88" ht="15.75" customHeight="1">
      <c r="A88" s="77"/>
      <c r="B88" s="77"/>
      <c r="C88" s="77"/>
      <c r="D88" s="77"/>
      <c r="E88" s="77"/>
      <c r="F88" s="77"/>
      <c r="G88" s="77"/>
      <c r="H88" s="77"/>
      <c r="I88" s="77"/>
      <c r="J88" s="77"/>
      <c r="K88" s="77"/>
      <c r="L88" s="77"/>
      <c r="M88" s="77"/>
      <c r="N88" s="77"/>
      <c r="O88" s="77"/>
      <c r="P88" s="77"/>
    </row>
    <row r="89" ht="15.75" customHeight="1">
      <c r="A89" s="77"/>
      <c r="B89" s="77"/>
      <c r="C89" s="77"/>
      <c r="D89" s="77"/>
      <c r="E89" s="77"/>
      <c r="F89" s="77"/>
      <c r="G89" s="77"/>
      <c r="H89" s="77"/>
      <c r="I89" s="77"/>
      <c r="J89" s="77"/>
      <c r="K89" s="77"/>
      <c r="L89" s="77"/>
      <c r="M89" s="77"/>
      <c r="N89" s="77"/>
      <c r="O89" s="77"/>
      <c r="P89" s="77"/>
    </row>
    <row r="90" ht="15.75" customHeight="1">
      <c r="A90" s="77"/>
      <c r="B90" s="77"/>
      <c r="C90" s="77"/>
      <c r="D90" s="77"/>
      <c r="E90" s="77"/>
      <c r="F90" s="77"/>
      <c r="G90" s="77"/>
      <c r="H90" s="77"/>
      <c r="I90" s="77"/>
      <c r="J90" s="77"/>
      <c r="K90" s="77"/>
      <c r="L90" s="77"/>
      <c r="M90" s="77"/>
      <c r="N90" s="77"/>
      <c r="O90" s="77"/>
      <c r="P90" s="77"/>
    </row>
    <row r="91" ht="15.75" customHeight="1">
      <c r="A91" s="77"/>
      <c r="B91" s="77"/>
      <c r="C91" s="77"/>
      <c r="D91" s="77"/>
      <c r="E91" s="77"/>
      <c r="F91" s="77"/>
      <c r="G91" s="77"/>
      <c r="H91" s="77"/>
      <c r="I91" s="77"/>
      <c r="J91" s="77"/>
      <c r="K91" s="77"/>
      <c r="L91" s="77"/>
      <c r="M91" s="77"/>
      <c r="N91" s="77"/>
      <c r="O91" s="77"/>
      <c r="P91" s="77"/>
    </row>
    <row r="92" ht="15.75" customHeight="1">
      <c r="A92" s="77"/>
      <c r="B92" s="77"/>
      <c r="C92" s="77"/>
      <c r="D92" s="77"/>
      <c r="E92" s="77"/>
      <c r="F92" s="77"/>
      <c r="G92" s="77"/>
      <c r="H92" s="77"/>
      <c r="I92" s="77"/>
      <c r="J92" s="77"/>
      <c r="K92" s="77"/>
      <c r="L92" s="77"/>
      <c r="M92" s="77"/>
      <c r="N92" s="77"/>
      <c r="O92" s="77"/>
      <c r="P92" s="77"/>
    </row>
    <row r="93" ht="15.75" customHeight="1">
      <c r="A93" s="77"/>
      <c r="B93" s="77"/>
      <c r="C93" s="77"/>
      <c r="D93" s="77"/>
      <c r="E93" s="77"/>
      <c r="F93" s="77"/>
      <c r="G93" s="77"/>
      <c r="H93" s="77"/>
      <c r="I93" s="77"/>
      <c r="J93" s="77"/>
      <c r="K93" s="77"/>
      <c r="L93" s="77"/>
      <c r="M93" s="77"/>
      <c r="N93" s="77"/>
      <c r="O93" s="77"/>
      <c r="P93" s="77"/>
    </row>
    <row r="94" ht="15.75" customHeight="1">
      <c r="A94" s="77"/>
      <c r="B94" s="77"/>
      <c r="C94" s="77"/>
      <c r="D94" s="77"/>
      <c r="E94" s="77"/>
      <c r="F94" s="77"/>
      <c r="G94" s="77"/>
      <c r="H94" s="77"/>
      <c r="I94" s="77"/>
      <c r="J94" s="77"/>
      <c r="K94" s="77"/>
      <c r="L94" s="77"/>
      <c r="M94" s="77"/>
      <c r="N94" s="77"/>
      <c r="O94" s="77"/>
      <c r="P94" s="77"/>
    </row>
    <row r="95" ht="15.75" customHeight="1">
      <c r="A95" s="77"/>
      <c r="B95" s="77"/>
      <c r="C95" s="77"/>
      <c r="D95" s="77"/>
      <c r="E95" s="77"/>
      <c r="F95" s="77"/>
      <c r="G95" s="77"/>
      <c r="H95" s="77"/>
      <c r="I95" s="77"/>
      <c r="J95" s="77"/>
      <c r="K95" s="77"/>
      <c r="L95" s="77"/>
      <c r="M95" s="77"/>
      <c r="N95" s="77"/>
      <c r="O95" s="77"/>
      <c r="P95" s="77"/>
    </row>
    <row r="96" ht="15.75" customHeight="1">
      <c r="A96" s="77"/>
      <c r="B96" s="77"/>
      <c r="C96" s="77"/>
      <c r="D96" s="77"/>
      <c r="E96" s="77"/>
      <c r="F96" s="77"/>
      <c r="G96" s="77"/>
      <c r="H96" s="77"/>
      <c r="I96" s="77"/>
      <c r="J96" s="77"/>
      <c r="K96" s="77"/>
      <c r="L96" s="77"/>
      <c r="M96" s="77"/>
      <c r="N96" s="77"/>
      <c r="O96" s="77"/>
      <c r="P96" s="77"/>
    </row>
    <row r="97" ht="15.75" customHeight="1">
      <c r="A97" s="77"/>
      <c r="B97" s="77"/>
      <c r="C97" s="77"/>
      <c r="D97" s="77"/>
      <c r="E97" s="77"/>
      <c r="F97" s="77"/>
      <c r="G97" s="77"/>
      <c r="H97" s="77"/>
      <c r="I97" s="77"/>
      <c r="J97" s="77"/>
      <c r="K97" s="77"/>
      <c r="L97" s="77"/>
      <c r="M97" s="77"/>
      <c r="N97" s="77"/>
      <c r="O97" s="77"/>
      <c r="P97" s="77"/>
    </row>
    <row r="98" ht="15.75" customHeight="1">
      <c r="A98" s="77"/>
      <c r="B98" s="77"/>
      <c r="C98" s="77"/>
      <c r="D98" s="77"/>
      <c r="E98" s="77"/>
      <c r="F98" s="77"/>
      <c r="G98" s="77"/>
      <c r="H98" s="77"/>
      <c r="I98" s="77"/>
      <c r="J98" s="77"/>
      <c r="K98" s="77"/>
      <c r="L98" s="77"/>
      <c r="M98" s="77"/>
      <c r="N98" s="77"/>
      <c r="O98" s="77"/>
      <c r="P98" s="77"/>
    </row>
    <row r="99" ht="15.75" customHeight="1">
      <c r="A99" s="77"/>
      <c r="B99" s="77"/>
      <c r="C99" s="77"/>
      <c r="D99" s="77"/>
      <c r="E99" s="77"/>
      <c r="F99" s="77"/>
      <c r="G99" s="77"/>
      <c r="H99" s="77"/>
      <c r="I99" s="77"/>
      <c r="J99" s="77"/>
      <c r="K99" s="77"/>
      <c r="L99" s="77"/>
      <c r="M99" s="77"/>
      <c r="N99" s="77"/>
      <c r="O99" s="77"/>
      <c r="P99" s="77"/>
    </row>
    <row r="100" ht="15.75" customHeight="1">
      <c r="A100" s="77"/>
      <c r="B100" s="77"/>
      <c r="C100" s="77"/>
      <c r="D100" s="77"/>
      <c r="E100" s="77"/>
      <c r="F100" s="77"/>
      <c r="G100" s="77"/>
      <c r="H100" s="77"/>
      <c r="I100" s="77"/>
      <c r="J100" s="77"/>
      <c r="K100" s="77"/>
      <c r="L100" s="77"/>
      <c r="M100" s="77"/>
      <c r="N100" s="77"/>
      <c r="O100" s="77"/>
      <c r="P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4">
    <tablePart r:id="rId6"/>
    <tablePart r:id="rId7"/>
    <tablePart r:id="rId8"/>
    <tablePart r:id="rId9"/>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9.38"/>
    <col customWidth="1" min="2" max="15" width="8.88"/>
    <col customWidth="1" min="16" max="26" width="11.25"/>
  </cols>
  <sheetData>
    <row r="1" ht="37.5" customHeight="1">
      <c r="A1" s="2" t="str">
        <f>'Input sheet'!A1</f>
        <v>Novo Nordisk (NYSE:NVO)</v>
      </c>
      <c r="B1" s="2"/>
      <c r="C1" s="2" t="s">
        <v>57</v>
      </c>
      <c r="D1" s="2">
        <f>'Input sheet'!D1</f>
        <v>39.4</v>
      </c>
      <c r="E1" s="7"/>
      <c r="F1" s="7"/>
      <c r="G1" s="7"/>
      <c r="H1" s="7"/>
      <c r="I1" s="7"/>
      <c r="J1" s="7"/>
      <c r="K1" s="7"/>
      <c r="L1" s="7"/>
      <c r="M1" s="7"/>
      <c r="N1" s="7"/>
      <c r="O1" s="7"/>
    </row>
    <row r="2" ht="14.25" customHeight="1">
      <c r="A2" s="442" t="s">
        <v>569</v>
      </c>
      <c r="B2" s="443" t="inlineStr">
        <is>
          <t xml:space="preserve">Dec '16</t>
        </is>
      </c>
      <c r="C2" s="443" t="inlineStr">
        <is>
          <t xml:space="preserve">Dec '17</t>
        </is>
      </c>
      <c r="D2" s="443" t="inlineStr">
        <is>
          <t xml:space="preserve">Dec '18</t>
        </is>
      </c>
      <c r="E2" s="443" t="inlineStr">
        <is>
          <t xml:space="preserve">Dec '19</t>
        </is>
      </c>
      <c r="F2" s="443" t="inlineStr">
        <is>
          <t xml:space="preserve">Dec '20</t>
        </is>
      </c>
      <c r="G2" s="443" t="inlineStr">
        <is>
          <t xml:space="preserve">Dec '21</t>
        </is>
      </c>
      <c r="H2" s="443" t="inlineStr">
        <is>
          <t xml:space="preserve">Dec '22</t>
        </is>
      </c>
      <c r="I2" s="443" t="inlineStr">
        <is>
          <t xml:space="preserve">Dec '23</t>
        </is>
      </c>
      <c r="J2" s="443" t="inlineStr">
        <is>
          <t xml:space="preserve">Dec '24</t>
        </is>
      </c>
      <c r="K2" s="443" t="inlineStr">
        <is>
          <t xml:space="preserve">Dec '25</t>
        </is>
      </c>
      <c r="L2" s="445" t="s">
        <v>391</v>
      </c>
      <c r="M2" s="9"/>
      <c r="N2" s="9"/>
      <c r="O2" s="9"/>
    </row>
    <row r="3" ht="14.25" customHeight="1">
      <c r="A3" s="401" t="s">
        <v>571</v>
      </c>
      <c r="B3" s="447">
        <v>18.08</v>
      </c>
      <c r="C3" s="447">
        <v>26.98</v>
      </c>
      <c r="D3" s="447">
        <v>22.85</v>
      </c>
      <c r="E3" s="447">
        <v>29.09</v>
      </c>
      <c r="F3" s="447">
        <v>35.21</v>
      </c>
      <c r="G3" s="447">
        <v>56.05</v>
      </c>
      <c r="H3" s="447">
        <v>67.27</v>
      </c>
      <c r="I3" s="447">
        <v>103.49</v>
      </c>
      <c r="J3" s="447">
        <v>86.93</v>
      </c>
      <c r="K3" s="447">
        <v>51.13</v>
      </c>
      <c r="L3" s="452">
        <f>'Input sheet'!D1</f>
        <v>39.4</v>
      </c>
      <c r="M3" s="9"/>
      <c r="N3" s="9"/>
      <c r="O3" s="9"/>
    </row>
    <row r="4" ht="14.25" customHeight="1">
      <c r="A4" s="401" t="s">
        <v>577</v>
      </c>
      <c r="B4" s="458">
        <f>IFERROR('Income Statement'!B27,"")</f>
        <v>5060.0</v>
      </c>
      <c r="C4" s="458">
        <f>IFERROR('Income Statement'!C27,"")</f>
        <v>4945.5</v>
      </c>
      <c r="D4" s="458">
        <f>IFERROR('Income Statement'!D27,"")</f>
        <v>4840.6</v>
      </c>
      <c r="E4" s="458">
        <f>IFERROR('Income Statement'!E27,"")</f>
        <v>4748.6</v>
      </c>
      <c r="F4" s="458">
        <f>IFERROR('Income Statement'!F27,"")</f>
        <v>4667.8</v>
      </c>
      <c r="G4" s="458">
        <f>IFERROR('Income Statement'!G27,"")</f>
        <v>4593.2</v>
      </c>
      <c r="H4" s="458">
        <f>IFERROR('Income Statement'!H27,"")</f>
        <v>4530.6</v>
      </c>
      <c r="I4" s="458">
        <f>IFERROR('Income Statement'!I27,"")</f>
        <v>4482.8</v>
      </c>
      <c r="J4" s="458">
        <f>IFERROR('Income Statement'!J27,"")</f>
        <v>4453.9</v>
      </c>
      <c r="K4" s="458">
        <f>IFERROR('Income Statement'!K27,"")</f>
        <v>4443.0</v>
      </c>
      <c r="L4" s="464">
        <f>IFERROR('Income Statement'!L27,"")</f>
        <v>4416.8</v>
      </c>
      <c r="M4" s="9"/>
      <c r="N4" s="9"/>
      <c r="O4" s="9"/>
    </row>
    <row r="5" ht="14.25" customHeight="1">
      <c r="A5" s="401" t="s">
        <v>71</v>
      </c>
      <c r="B5" s="458">
        <f t="shared" ref="B5:L5" si="1">IFERROR(B3*B4,"")</f>
        <v>91484.8</v>
      </c>
      <c r="C5" s="458">
        <f t="shared" si="1"/>
        <v>133429.59</v>
      </c>
      <c r="D5" s="458">
        <f t="shared" si="1"/>
        <v>110607.71</v>
      </c>
      <c r="E5" s="458">
        <f t="shared" si="1"/>
        <v>138136.774</v>
      </c>
      <c r="F5" s="458">
        <f t="shared" si="1"/>
        <v>164353.238</v>
      </c>
      <c r="G5" s="458">
        <f t="shared" si="1"/>
        <v>257448.86</v>
      </c>
      <c r="H5" s="458">
        <f t="shared" si="1"/>
        <v>304773.462</v>
      </c>
      <c r="I5" s="458">
        <f t="shared" si="1"/>
        <v>463924.972</v>
      </c>
      <c r="J5" s="458">
        <f t="shared" si="1"/>
        <v>387177.527</v>
      </c>
      <c r="K5" s="458">
        <f t="shared" si="1"/>
        <v>227170.59</v>
      </c>
      <c r="L5" s="464">
        <f t="shared" si="1"/>
        <v>174021.92</v>
      </c>
      <c r="M5" s="9"/>
      <c r="N5" s="9"/>
      <c r="O5" s="9"/>
    </row>
    <row r="6" ht="14.25" customHeight="1">
      <c r="A6" s="401" t="s">
        <v>585</v>
      </c>
      <c r="B6" s="458">
        <f>IFERROR(B5+('Balance Sheet'!B20+'Balance Sheet'!B21+'Balance Sheet'!B25+'Balance Sheet'!B26)-'Balance Sheet'!B5,"")</f>
        <v>88582.5</v>
      </c>
      <c r="C6" s="458">
        <f>IFERROR(C5+('Balance Sheet'!C20+'Balance Sheet'!C21+'Balance Sheet'!C25+'Balance Sheet'!C26)-'Balance Sheet'!C5,"")</f>
        <v>130665.59</v>
      </c>
      <c r="D6" s="458">
        <f>IFERROR(D5+('Balance Sheet'!D20+'Balance Sheet'!D21+'Balance Sheet'!D25+'Balance Sheet'!D26)-'Balance Sheet'!D5,"")</f>
        <v>108288.81</v>
      </c>
      <c r="E6" s="458">
        <f>IFERROR(E5+('Balance Sheet'!E20+'Balance Sheet'!E21+'Balance Sheet'!E25+'Balance Sheet'!E26)-'Balance Sheet'!E5,"")</f>
        <v>136483.974</v>
      </c>
      <c r="F6" s="458">
        <f>IFERROR(F5+('Balance Sheet'!F20+'Balance Sheet'!F21+'Balance Sheet'!F25+'Balance Sheet'!F26)-'Balance Sheet'!F5,"")</f>
        <v>163957.338</v>
      </c>
      <c r="G6" s="458">
        <f>IFERROR(G5+('Balance Sheet'!G20+'Balance Sheet'!G21+'Balance Sheet'!G25+'Balance Sheet'!G26)-'Balance Sheet'!G5,"")</f>
        <v>258843.96</v>
      </c>
      <c r="H6" s="458">
        <f>IFERROR(H5+('Balance Sheet'!H20+'Balance Sheet'!H21+'Balance Sheet'!H25+'Balance Sheet'!H26)-'Balance Sheet'!H5,"")</f>
        <v>305090.362</v>
      </c>
      <c r="I6" s="458">
        <f>IFERROR(I5+('Balance Sheet'!I20+'Balance Sheet'!I21+'Balance Sheet'!I25+'Balance Sheet'!I26)-'Balance Sheet'!I5,"")</f>
        <v>463447.072</v>
      </c>
      <c r="J6" s="458">
        <f>IFERROR(J5+('Balance Sheet'!J20+'Balance Sheet'!J21+'Balance Sheet'!J25+'Balance Sheet'!J26)-'Balance Sheet'!J5,"")</f>
        <v>397831.327</v>
      </c>
      <c r="K6" s="458">
        <f>IFERROR(K5+('Balance Sheet'!K20+'Balance Sheet'!K21+'Balance Sheet'!K25+'Balance Sheet'!K26)-'Balance Sheet'!K5,"")</f>
        <v>243531.19</v>
      </c>
      <c r="L6" s="464">
        <f>IFERROR(L5+('Balance Sheet'!L20+'Balance Sheet'!L21+'Balance Sheet'!L25+'Balance Sheet'!L26)-'Balance Sheet'!L5,"")</f>
        <v>188525.82</v>
      </c>
      <c r="M6" s="9"/>
      <c r="N6" s="9"/>
      <c r="O6" s="9"/>
    </row>
    <row r="7" ht="14.25" customHeight="1">
      <c r="A7" s="401" t="s">
        <v>588</v>
      </c>
      <c r="B7" s="465">
        <f>IFERROR(-'Cash Flow Statement'!B32/B5,"")</f>
        <v>0.0387069764594774</v>
      </c>
      <c r="C7" s="465">
        <f>IFERROR(-'Cash Flow Statement'!C32/C5,"")</f>
        <v>0.0214037980630833</v>
      </c>
      <c r="D7" s="465">
        <f>IFERROR(-'Cash Flow Statement'!D32/D5,"")</f>
        <v>0.0272603058141245</v>
      </c>
      <c r="E7" s="465">
        <f>IFERROR(-'Cash Flow Statement'!E32/E5,"")</f>
        <v>0.0210646297560127</v>
      </c>
      <c r="F7" s="465">
        <f>IFERROR(-'Cash Flow Statement'!F32/F5,"")</f>
        <v>0.0187297800606764</v>
      </c>
      <c r="G7" s="465">
        <f>IFERROR(-'Cash Flow Statement'!G32/G5,"")</f>
        <v>0.0132841916643173</v>
      </c>
      <c r="H7" s="465">
        <f>IFERROR(-'Cash Flow Statement'!H32/H5,"")</f>
        <v>0.0117251022334746</v>
      </c>
      <c r="I7" s="465">
        <f>IFERROR(-'Cash Flow Statement'!I32/I5,"")</f>
        <v>0.00993458054247617</v>
      </c>
      <c r="J7" s="465">
        <f>IFERROR(-'Cash Flow Statement'!J32/J5,"")</f>
        <v>0.0165391830709224</v>
      </c>
      <c r="K7" s="465">
        <f>IFERROR(-'Cash Flow Statement'!K32/K5,"")</f>
        <v>0.0344318338038388</v>
      </c>
      <c r="L7" s="466">
        <f>IFERROR(-'Cash Flow Statement'!L32/L5,"")</f>
        <v>0.0466291832661081</v>
      </c>
      <c r="M7" s="9"/>
      <c r="N7" s="9"/>
      <c r="O7" s="9"/>
    </row>
    <row r="8" ht="14.25" customHeight="1">
      <c r="A8" s="401" t="s">
        <v>592</v>
      </c>
      <c r="B8" s="465">
        <f>IFERROR(-'Cash Flow Statement'!B30/B5,"")</f>
        <v>0.0244565217391304</v>
      </c>
      <c r="C8" s="465">
        <f>IFERROR(-'Cash Flow Statement'!C30/C5,"")</f>
        <v>0.0191329374541284</v>
      </c>
      <c r="D8" s="465">
        <f>IFERROR(-'Cash Flow Statement'!D30/D5,"")</f>
        <v>0.022278736265311</v>
      </c>
      <c r="E8" s="465">
        <f>IFERROR(-'Cash Flow Statement'!E30/E5,"")</f>
        <v>0.0166422013011539</v>
      </c>
      <c r="F8" s="465">
        <f>IFERROR(-'Cash Flow Statement'!F30/F5,"")</f>
        <v>0.0156893775345029</v>
      </c>
      <c r="G8" s="465">
        <f>IFERROR(-'Cash Flow Statement'!G30/G5,"")</f>
        <v>0.0120058795366194</v>
      </c>
      <c r="H8" s="465">
        <f>IFERROR(-'Cash Flow Statement'!H30/H5,"")</f>
        <v>0.0111610767475549</v>
      </c>
      <c r="I8" s="465">
        <f>IFERROR(-'Cash Flow Statement'!I30/I5,"")</f>
        <v>0.00935819423835628</v>
      </c>
      <c r="J8" s="465">
        <f>IFERROR(-'Cash Flow Statement'!J30/J5,"")</f>
        <v>0.00756190583344472</v>
      </c>
      <c r="K8" s="465">
        <f>IFERROR(-'Cash Flow Statement'!K30/K5,"")</f>
        <v>0.000923094842514605</v>
      </c>
      <c r="L8" s="466">
        <f>IFERROR(-'Cash Flow Statement'!L30/L5,"")</f>
        <v>0.00529243672291399</v>
      </c>
      <c r="M8" s="9"/>
      <c r="N8" s="9"/>
      <c r="O8" s="9"/>
    </row>
    <row r="9" ht="14.25" customHeight="1">
      <c r="A9" s="401" t="s">
        <v>593</v>
      </c>
      <c r="B9" s="465">
        <f>IFERROR(-'Cash Flow Statement'!B28/B5,"")</f>
        <v>0.0</v>
      </c>
      <c r="C9" s="465">
        <f>IFERROR(-'Cash Flow Statement'!C28/C5,"")</f>
        <v>0.0</v>
      </c>
      <c r="D9" s="465">
        <f>IFERROR(-'Cash Flow Statement'!D28/D5,"")</f>
        <v>-0.000134710319922544</v>
      </c>
      <c r="E9" s="465">
        <f>IFERROR(-'Cash Flow Statement'!E28/E5,"")</f>
        <v>0.000804275333663142</v>
      </c>
      <c r="F9" s="465">
        <f>IFERROR(-'Cash Flow Statement'!F28/F5,"")</f>
        <v>-0.00440453749989398</v>
      </c>
      <c r="G9" s="465">
        <f>IFERROR(-'Cash Flow Statement'!G28/G5,"")</f>
        <v>-0.00955141149197553</v>
      </c>
      <c r="H9" s="465">
        <f>IFERROR(-'Cash Flow Statement'!H28/H5,"")</f>
        <v>0.00111591080722114</v>
      </c>
      <c r="I9" s="465">
        <f>IFERROR(-'Cash Flow Statement'!I28/I5,"")</f>
        <v>0.000458694859823153</v>
      </c>
      <c r="J9" s="465">
        <f>IFERROR(-'Cash Flow Statement'!J28/J5,"")</f>
        <v>-0.0273740061364667</v>
      </c>
      <c r="K9" s="465">
        <f>IFERROR(-'Cash Flow Statement'!K28/K5,"")</f>
        <v>-0.0164585565411438</v>
      </c>
      <c r="L9" s="466">
        <f>IFERROR(-'Cash Flow Statement'!L28/L5,"")</f>
        <v>-0.0326912839485968</v>
      </c>
      <c r="M9" s="9"/>
      <c r="N9" s="9"/>
      <c r="O9" s="9"/>
    </row>
    <row r="10" ht="14.25" customHeight="1">
      <c r="A10" s="401" t="s">
        <v>595</v>
      </c>
      <c r="B10" s="465">
        <f t="shared" ref="B10:L10" si="2">IFERROR(B7+B8+B9,"")</f>
        <v>0.0631634981986079</v>
      </c>
      <c r="C10" s="465">
        <f t="shared" si="2"/>
        <v>0.0405367355172117</v>
      </c>
      <c r="D10" s="465">
        <f t="shared" si="2"/>
        <v>0.049404331759513</v>
      </c>
      <c r="E10" s="465">
        <f t="shared" si="2"/>
        <v>0.0385111063908297</v>
      </c>
      <c r="F10" s="465">
        <f t="shared" si="2"/>
        <v>0.0300146200952853</v>
      </c>
      <c r="G10" s="465">
        <f t="shared" si="2"/>
        <v>0.0157386597089612</v>
      </c>
      <c r="H10" s="465">
        <f t="shared" si="2"/>
        <v>0.0240020897882507</v>
      </c>
      <c r="I10" s="465">
        <f t="shared" si="2"/>
        <v>0.0197514696406556</v>
      </c>
      <c r="J10" s="465">
        <f t="shared" si="2"/>
        <v>-0.00327291723209958</v>
      </c>
      <c r="K10" s="465">
        <f t="shared" si="2"/>
        <v>0.0188963721052096</v>
      </c>
      <c r="L10" s="466">
        <f t="shared" si="2"/>
        <v>0.0192303360404253</v>
      </c>
      <c r="M10" s="9"/>
      <c r="N10" s="9"/>
      <c r="O10" s="9"/>
    </row>
    <row r="11" ht="14.25" customHeight="1">
      <c r="A11" s="401" t="s">
        <v>596</v>
      </c>
      <c r="B11" s="469">
        <f>IFERROR(B5/'Income Statement'!B3,"")</f>
        <v>5.5077814101059</v>
      </c>
      <c r="C11" s="469">
        <f>IFERROR(C5/'Income Statement'!C3,"")</f>
        <v>7.88213621138817</v>
      </c>
      <c r="D11" s="469">
        <f>IFERROR(D5/'Income Statement'!D3,"")</f>
        <v>6.24821124938567</v>
      </c>
      <c r="E11" s="469">
        <f>IFERROR(E5/'Income Statement'!E3,"")</f>
        <v>7.55122225076941</v>
      </c>
      <c r="F11" s="469">
        <f>IFERROR(F5/'Income Statement'!F3,"")</f>
        <v>8.46248148949097</v>
      </c>
      <c r="G11" s="469">
        <f>IFERROR(G5/'Income Statement'!G3,"")</f>
        <v>11.5039863086541</v>
      </c>
      <c r="H11" s="469">
        <f>IFERROR(H5/'Income Statement'!H3,"")</f>
        <v>12.1954263969141</v>
      </c>
      <c r="I11" s="469">
        <f>IFERROR(I5/'Income Statement'!I3,"")</f>
        <v>13.7673409600119</v>
      </c>
      <c r="J11" s="469">
        <f>IFERROR(J5/'Income Statement'!J3,"")</f>
        <v>9.19002347484702</v>
      </c>
      <c r="K11" s="469">
        <f>IFERROR(K5/'Income Statement'!K3,"")</f>
        <v>4.86421661413546</v>
      </c>
      <c r="L11" s="471">
        <f>IFERROR(L5/'Income Statement'!L3,"")</f>
        <v>3.68268404223126</v>
      </c>
      <c r="M11" s="9"/>
      <c r="N11" s="9"/>
      <c r="O11" s="9"/>
    </row>
    <row r="12" ht="14.25" customHeight="1">
      <c r="A12" s="401" t="s">
        <v>600</v>
      </c>
      <c r="B12" s="469">
        <f>IFERROR(B5/'Income Statement'!B6,"")</f>
        <v>6.50822377781572</v>
      </c>
      <c r="C12" s="469">
        <f>IFERROR(C5/'Income Statement'!C6,"")</f>
        <v>9.3596047952076</v>
      </c>
      <c r="D12" s="469">
        <f>IFERROR(D5/'Income Statement'!D6,"")</f>
        <v>7.4165667578586</v>
      </c>
      <c r="E12" s="469">
        <f>IFERROR(E5/'Income Statement'!E6,"")</f>
        <v>9.03935910271763</v>
      </c>
      <c r="F12" s="469">
        <f>IFERROR(F5/'Income Statement'!F6,"")</f>
        <v>10.1333767803194</v>
      </c>
      <c r="G12" s="469">
        <f>IFERROR(G5/'Income Statement'!G6,"")</f>
        <v>13.8273605173266</v>
      </c>
      <c r="H12" s="469">
        <f>IFERROR(H5/'Income Statement'!H6,"")</f>
        <v>14.5315670474701</v>
      </c>
      <c r="I12" s="469">
        <f>IFERROR(I5/'Income Statement'!I6,"")</f>
        <v>16.2731586959724</v>
      </c>
      <c r="J12" s="469">
        <f>IFERROR(J5/'Income Statement'!J6,"")</f>
        <v>10.8540651001368</v>
      </c>
      <c r="K12" s="469">
        <f>IFERROR(K5/'Income Statement'!K6,"")</f>
        <v>6.00678468494672</v>
      </c>
      <c r="L12" s="471">
        <f>IFERROR(L5/'Income Statement'!L6,"")</f>
        <v>4.66531693350348</v>
      </c>
      <c r="M12" s="9"/>
      <c r="N12" s="9"/>
      <c r="O12" s="9"/>
    </row>
    <row r="13" ht="14.25" customHeight="1">
      <c r="A13" s="401" t="s">
        <v>109</v>
      </c>
      <c r="B13" s="469">
        <f>IFERROR(B3/'Income Statement'!B24,"")</f>
        <v>16.2589928057554</v>
      </c>
      <c r="C13" s="469">
        <f>IFERROR(C3/'Income Statement'!C24,"")</f>
        <v>23.138936535163</v>
      </c>
      <c r="D13" s="469">
        <f>IFERROR(D3/'Income Statement'!D24,"")</f>
        <v>18.1205392545599</v>
      </c>
      <c r="E13" s="469">
        <f>IFERROR(E3/'Income Statement'!E24,"")</f>
        <v>23.6889250814332</v>
      </c>
      <c r="F13" s="469">
        <f>IFERROR(F3/'Income Statement'!F24,"")</f>
        <v>25.5515239477504</v>
      </c>
      <c r="G13" s="469">
        <f>IFERROR(G3/'Income Statement'!G24,"")</f>
        <v>34.0109223300971</v>
      </c>
      <c r="H13" s="469">
        <f>IFERROR(H3/'Income Statement'!H24,"")</f>
        <v>38.9745075318656</v>
      </c>
      <c r="I13" s="469">
        <f>IFERROR(I3/'Income Statement'!I24,"")</f>
        <v>38.3154387263976</v>
      </c>
      <c r="J13" s="469">
        <f>IFERROR(J3/'Income Statement'!J24,"")</f>
        <v>26.4788303381054</v>
      </c>
      <c r="K13" s="469">
        <f>IFERROR(K3/'Income Statement'!K24,"")</f>
        <v>14.6925287356322</v>
      </c>
      <c r="L13" s="471">
        <f>IFERROR(L3/'Income Statement'!L24,"")</f>
        <v>11.1614730878187</v>
      </c>
      <c r="M13" s="9"/>
      <c r="N13" s="9"/>
      <c r="O13" s="9"/>
    </row>
    <row r="14" ht="14.25" customHeight="1">
      <c r="A14" s="401" t="s">
        <v>603</v>
      </c>
      <c r="B14" s="465">
        <f>IFERROR('Income Statement'!B22/B5,"")</f>
        <v>0.0616003970058414</v>
      </c>
      <c r="C14" s="465">
        <f>IFERROR('Income Statement'!C22/C5,"")</f>
        <v>0.043309733620556</v>
      </c>
      <c r="D14" s="465">
        <f>IFERROR('Income Statement'!D22/D5,"")</f>
        <v>0.0552818605502275</v>
      </c>
      <c r="E14" s="465">
        <f>IFERROR('Income Statement'!E22/E5,"")</f>
        <v>0.0422733196302963</v>
      </c>
      <c r="F14" s="465">
        <f>IFERROR('Income Statement'!F22/F5,"")</f>
        <v>0.0392246607274023</v>
      </c>
      <c r="G14" s="465">
        <f>IFERROR('Income Statement'!G22/G5,"")</f>
        <v>0.0294839138149612</v>
      </c>
      <c r="H14" s="465">
        <f>IFERROR('Income Statement'!H22/H5,"")</f>
        <v>0.0257296024021934</v>
      </c>
      <c r="I14" s="465">
        <f>IFERROR('Income Statement'!I22/I5,"")</f>
        <v>0.0261703955009346</v>
      </c>
      <c r="J14" s="465">
        <f>IFERROR('Income Statement'!J22/J5,"")</f>
        <v>0.0378400061427119</v>
      </c>
      <c r="K14" s="465">
        <f>IFERROR('Income Statement'!K22/K5,"")</f>
        <v>0.0681369009958551</v>
      </c>
      <c r="L14" s="466">
        <f>IFERROR('Income Statement'!L22/L5,"")</f>
        <v>0.0901173829136008</v>
      </c>
      <c r="M14" s="9"/>
      <c r="N14" s="9"/>
      <c r="O14" s="9"/>
    </row>
    <row r="15" ht="14.25" customHeight="1">
      <c r="A15" s="401" t="s">
        <v>111</v>
      </c>
      <c r="B15" s="469">
        <f>IFERROR(B5/'Cash Flow Statement'!B13,"")</f>
        <v>12.7428579387963</v>
      </c>
      <c r="C15" s="469">
        <f>IFERROR(C5/'Cash Flow Statement'!C13,"")</f>
        <v>21.385688870368</v>
      </c>
      <c r="D15" s="469">
        <f>IFERROR(D5/'Cash Flow Statement'!D13,"")</f>
        <v>15.6612686725664</v>
      </c>
      <c r="E15" s="469">
        <f>IFERROR(E5/'Cash Flow Statement'!E13,"")</f>
        <v>19.6958400228131</v>
      </c>
      <c r="F15" s="469">
        <f>IFERROR(F5/'Cash Flow Statement'!F13,"")</f>
        <v>20.6785654252642</v>
      </c>
      <c r="G15" s="469">
        <f>IFERROR(G5/'Cash Flow Statement'!G13,"")</f>
        <v>29.4503260198129</v>
      </c>
      <c r="H15" s="469">
        <f>IFERROR(H5/'Cash Flow Statement'!H13,"")</f>
        <v>27.3560238757742</v>
      </c>
      <c r="I15" s="469">
        <f>IFERROR(I5/'Cash Flow Statement'!I13,"")</f>
        <v>29.3606675569113</v>
      </c>
      <c r="J15" s="469">
        <f>IFERROR(J5/'Cash Flow Statement'!J13,"")</f>
        <v>22.0621518114579</v>
      </c>
      <c r="K15" s="469">
        <f>IFERROR(K5/'Cash Flow Statement'!K13,"")</f>
        <v>12.6224115705602</v>
      </c>
      <c r="L15" s="471">
        <f>IFERROR(L5/'Cash Flow Statement'!L13,"")</f>
        <v>8.45185091647321</v>
      </c>
      <c r="M15" s="9"/>
      <c r="N15" s="9"/>
      <c r="O15" s="9"/>
    </row>
    <row r="16" ht="14.25" customHeight="1">
      <c r="A16" s="401" t="s">
        <v>610</v>
      </c>
      <c r="B16" s="469">
        <f>IFERROR(B5/'Cash Flow Statement'!B36,"")</f>
        <v>14.9265459291891</v>
      </c>
      <c r="C16" s="469">
        <f>IFERROR(C5/'Cash Flow Statement'!C36,"")</f>
        <v>26.2475833579227</v>
      </c>
      <c r="D16" s="469">
        <f>IFERROR(D5/'Cash Flow Statement'!D36,"")</f>
        <v>19.9753864769198</v>
      </c>
      <c r="E16" s="469">
        <f>IFERROR(E5/'Cash Flow Statement'!E36,"")</f>
        <v>24.3438555618215</v>
      </c>
      <c r="F16" s="469">
        <f>IFERROR(F5/'Cash Flow Statement'!F36,"")</f>
        <v>23.2900518648679</v>
      </c>
      <c r="G16" s="469">
        <f>IFERROR(G5/'Cash Flow Statement'!G36,"")</f>
        <v>33.2840579710145</v>
      </c>
      <c r="H16" s="469">
        <f>IFERROR(H5/'Cash Flow Statement'!H36,"")</f>
        <v>32.3343053566313</v>
      </c>
      <c r="I16" s="469">
        <f>IFERROR(I5/'Cash Flow Statement'!I36,"")</f>
        <v>38.4782837900604</v>
      </c>
      <c r="J16" s="469">
        <f>IFERROR(J5/'Cash Flow Statement'!J36,"")</f>
        <v>36.1608210439802</v>
      </c>
      <c r="K16" s="469">
        <f>IFERROR(K5/'Cash Flow Statement'!K36,"")</f>
        <v>25.4969965318698</v>
      </c>
      <c r="L16" s="471">
        <f>IFERROR(L5/'Cash Flow Statement'!L36,"")</f>
        <v>14.6976731615442</v>
      </c>
      <c r="M16" s="9"/>
      <c r="N16" s="9"/>
      <c r="O16" s="9"/>
    </row>
    <row r="17" ht="14.25" customHeight="1">
      <c r="A17" s="401" t="s">
        <v>613</v>
      </c>
      <c r="B17" s="465">
        <f>IFERROR('Cash Flow Statement'!B36/B5,"")</f>
        <v>0.0669947357375214</v>
      </c>
      <c r="C17" s="465">
        <f>IFERROR('Cash Flow Statement'!C36/C5,"")</f>
        <v>0.0380987455631094</v>
      </c>
      <c r="D17" s="465">
        <f>IFERROR('Cash Flow Statement'!D36/D5,"")</f>
        <v>0.0500616096292022</v>
      </c>
      <c r="E17" s="465">
        <f>IFERROR('Cash Flow Statement'!E36/E5,"")</f>
        <v>0.0410781273927825</v>
      </c>
      <c r="F17" s="465">
        <f>IFERROR('Cash Flow Statement'!F36/F5,"")</f>
        <v>0.0429367871657022</v>
      </c>
      <c r="G17" s="465">
        <f>IFERROR('Cash Flow Statement'!G36/G5,"")</f>
        <v>0.0300444134807977</v>
      </c>
      <c r="H17" s="465">
        <f>IFERROR('Cash Flow Statement'!H36/H5,"")</f>
        <v>0.0309269053090981</v>
      </c>
      <c r="I17" s="465">
        <f>IFERROR('Cash Flow Statement'!I36/I5,"")</f>
        <v>0.0259886850841907</v>
      </c>
      <c r="J17" s="465">
        <f>IFERROR('Cash Flow Statement'!J36/J5,"")</f>
        <v>0.0276542393432871</v>
      </c>
      <c r="K17" s="465">
        <f>IFERROR('Cash Flow Statement'!K36/K5,"")</f>
        <v>0.0392203057622908</v>
      </c>
      <c r="L17" s="466">
        <f>IFERROR('Cash Flow Statement'!L36/L5,"")</f>
        <v>0.0680379805026861</v>
      </c>
      <c r="M17" s="9"/>
      <c r="N17" s="9"/>
      <c r="O17" s="9"/>
    </row>
    <row r="18" ht="14.25" customHeight="1">
      <c r="A18" s="401" t="s">
        <v>615</v>
      </c>
      <c r="B18" s="469">
        <f>IFERROR(B5/'Balance Sheet'!B35,"")</f>
        <v>14.2532990574122</v>
      </c>
      <c r="C18" s="469">
        <f>IFERROR(C5/'Balance Sheet'!C35,"")</f>
        <v>16.6273617705335</v>
      </c>
      <c r="D18" s="469">
        <f>IFERROR(D5/'Balance Sheet'!D35,"")</f>
        <v>13.915194937537</v>
      </c>
      <c r="E18" s="469">
        <f>IFERROR(E5/'Balance Sheet'!E35,"")</f>
        <v>15.9518654441314</v>
      </c>
      <c r="F18" s="469">
        <f>IFERROR(F5/'Balance Sheet'!F35,"")</f>
        <v>15.7379741647595</v>
      </c>
      <c r="G18" s="469">
        <f>IFERROR(G5/'Balance Sheet'!G35,"")</f>
        <v>23.8931656612529</v>
      </c>
      <c r="H18" s="469">
        <f>IFERROR(H5/'Balance Sheet'!H35,"")</f>
        <v>25.4525113995089</v>
      </c>
      <c r="I18" s="469">
        <f>IFERROR(I5/'Balance Sheet'!I35,"")</f>
        <v>29.3638267760393</v>
      </c>
      <c r="J18" s="469">
        <f>IFERROR(J5/'Balance Sheet'!J35,"")</f>
        <v>19.3704017390347</v>
      </c>
      <c r="K18" s="469">
        <f>IFERROR(K5/'Balance Sheet'!K35,"")</f>
        <v>7.44155526364926</v>
      </c>
      <c r="L18" s="471">
        <f>IFERROR(L5/'Balance Sheet'!L35,"")</f>
        <v>5.15903295139558</v>
      </c>
      <c r="M18" s="9"/>
      <c r="N18" s="9"/>
      <c r="O18" s="9"/>
    </row>
    <row r="19" ht="14.25" customHeight="1">
      <c r="A19" s="401" t="s">
        <v>616</v>
      </c>
      <c r="B19" s="469">
        <f>IFERROR(B6/'Income Statement'!B3,"")</f>
        <v>5.33305037296585</v>
      </c>
      <c r="C19" s="469">
        <f>IFERROR(C6/'Income Statement'!C3,"")</f>
        <v>7.71885740277999</v>
      </c>
      <c r="D19" s="469">
        <f>IFERROR(D6/'Income Statement'!D3,"")</f>
        <v>6.11721697180593</v>
      </c>
      <c r="E19" s="469">
        <f>IFERROR(E6/'Income Statement'!E3,"")</f>
        <v>7.46087223191005</v>
      </c>
      <c r="F19" s="469">
        <f>IFERROR(F6/'Income Statement'!F3,"")</f>
        <v>8.44209675924496</v>
      </c>
      <c r="G19" s="469">
        <f>IFERROR(G6/'Income Statement'!G3,"")</f>
        <v>11.5663257235546</v>
      </c>
      <c r="H19" s="469">
        <f>IFERROR(H6/'Income Statement'!H3,"")</f>
        <v>12.2081070633993</v>
      </c>
      <c r="I19" s="469">
        <f>IFERROR(I6/'Income Statement'!I3,"")</f>
        <v>13.7531588990281</v>
      </c>
      <c r="J19" s="469">
        <f>IFERROR(J6/'Income Statement'!J3,"")</f>
        <v>9.44290145786158</v>
      </c>
      <c r="K19" s="469">
        <f>IFERROR(K6/'Income Statement'!K3,"")</f>
        <v>5.21453265785056</v>
      </c>
      <c r="L19" s="471">
        <f>IFERROR(L6/'Income Statement'!L3,"")</f>
        <v>3.98961825534716</v>
      </c>
      <c r="M19" s="9"/>
      <c r="N19" s="9"/>
      <c r="O19" s="9"/>
    </row>
    <row r="20" ht="14.25" customHeight="1">
      <c r="A20" s="401" t="s">
        <v>618</v>
      </c>
      <c r="B20" s="469">
        <f>IFERROR(B6/'Income Statement'!B6,"")</f>
        <v>6.30175431108076</v>
      </c>
      <c r="C20" s="469">
        <f>IFERROR(C6/'Income Statement'!C6,"")</f>
        <v>9.16572015796968</v>
      </c>
      <c r="D20" s="469">
        <f>IFERROR(D6/'Income Statement'!D6,"")</f>
        <v>7.26107780817509</v>
      </c>
      <c r="E20" s="469">
        <f>IFERROR(E6/'Income Statement'!E6,"")</f>
        <v>8.93120359645851</v>
      </c>
      <c r="F20" s="469">
        <f>IFERROR(F6/'Income Statement'!F6,"")</f>
        <v>10.1089671373081</v>
      </c>
      <c r="G20" s="469">
        <f>IFERROR(G6/'Income Statement'!G6,"")</f>
        <v>13.9022901583346</v>
      </c>
      <c r="H20" s="469">
        <f>IFERROR(H6/'Income Statement'!H6,"")</f>
        <v>14.5466768065913</v>
      </c>
      <c r="I20" s="469">
        <f>IFERROR(I6/'Income Statement'!I6,"")</f>
        <v>16.256395333338</v>
      </c>
      <c r="J20" s="469">
        <f>IFERROR(J6/'Income Statement'!J6,"")</f>
        <v>11.1527318116576</v>
      </c>
      <c r="K20" s="469">
        <f>IFERROR(K6/'Income Statement'!K6,"")</f>
        <v>6.43938734498533</v>
      </c>
      <c r="L20" s="471">
        <f>IFERROR(L6/'Income Statement'!L6,"")</f>
        <v>5.05414892818462</v>
      </c>
      <c r="M20" s="9"/>
      <c r="N20" s="9"/>
      <c r="O20" s="9"/>
    </row>
    <row r="21" ht="14.25" customHeight="1">
      <c r="A21" s="401" t="s">
        <v>107</v>
      </c>
      <c r="B21" s="469">
        <f>IFERROR(B6/'Income Statement'!B28,"")</f>
        <v>11.5472605686129</v>
      </c>
      <c r="C21" s="469">
        <f>IFERROR(C6/'Income Statement'!C28,"")</f>
        <v>16.5328327049118</v>
      </c>
      <c r="D21" s="469">
        <f>IFERROR(D6/'Income Statement'!D28,"")</f>
        <v>13.3683287245074</v>
      </c>
      <c r="E21" s="469">
        <f>IFERROR(E6/'Income Statement'!E28,"")</f>
        <v>15.6573981576019</v>
      </c>
      <c r="F21" s="469">
        <f>IFERROR(F6/'Income Statement'!F28,"")</f>
        <v>17.8975142180353</v>
      </c>
      <c r="G21" s="469">
        <f>IFERROR(G6/'Income Statement'!G28,"")</f>
        <v>25.1828031054813</v>
      </c>
      <c r="H21" s="469">
        <f>IFERROR(H6/'Income Statement'!H28,"")</f>
        <v>26.2900146491107</v>
      </c>
      <c r="I21" s="469">
        <f>IFERROR(I6/'Income Statement'!I28,"")</f>
        <v>28.5240325955833</v>
      </c>
      <c r="J21" s="469">
        <f>IFERROR(J6/'Income Statement'!J28,"")</f>
        <v>18.5983313776548</v>
      </c>
      <c r="K21" s="469">
        <f>IFERROR(K6/'Income Statement'!K28,"")</f>
        <v>10.7699977887847</v>
      </c>
      <c r="L21" s="471">
        <f>IFERROR(L6/'Income Statement'!L28,"")</f>
        <v>8.47421315233515</v>
      </c>
      <c r="M21" s="9"/>
      <c r="N21" s="9"/>
      <c r="O21" s="9"/>
    </row>
    <row r="22" ht="14.25" customHeight="1">
      <c r="A22" s="401" t="s">
        <v>624</v>
      </c>
      <c r="B22" s="469">
        <f>IFERROR(B6/'Income Statement'!B12,"")</f>
        <v>12.3085954868831</v>
      </c>
      <c r="C22" s="469">
        <f>IFERROR(C6/'Income Statement'!C12,"")</f>
        <v>17.6070702851291</v>
      </c>
      <c r="D22" s="469">
        <f>IFERROR(D6/'Income Statement'!D12,"")</f>
        <v>14.4788557446752</v>
      </c>
      <c r="E22" s="469">
        <f>IFERROR(E6/'Income Statement'!E12,"")</f>
        <v>17.3462766579396</v>
      </c>
      <c r="F22" s="469">
        <f>IFERROR(F6/'Income Statement'!F12,"")</f>
        <v>19.7999369618511</v>
      </c>
      <c r="G22" s="469">
        <f>IFERROR(G6/'Income Statement'!G12,"")</f>
        <v>27.7699774702285</v>
      </c>
      <c r="H22" s="469">
        <f>IFERROR(H6/'Income Statement'!H12,"")</f>
        <v>28.8771863967213</v>
      </c>
      <c r="I22" s="469">
        <f>IFERROR(I6/'Income Statement'!I12,"")</f>
        <v>31.1416601374824</v>
      </c>
      <c r="J22" s="469">
        <f>IFERROR(J6/'Income Statement'!J12,"")</f>
        <v>21.3671840827551</v>
      </c>
      <c r="K22" s="469">
        <f>IFERROR(K6/'Income Statement'!K12,"")</f>
        <v>12.6245413497976</v>
      </c>
      <c r="L22" s="471">
        <f>IFERROR(L6/'Income Statement'!L12,"")</f>
        <v>9.9251279297492</v>
      </c>
      <c r="M22" s="9"/>
      <c r="N22" s="9"/>
      <c r="O22" s="9"/>
    </row>
    <row r="23" ht="14.25" customHeight="1">
      <c r="A23" s="401" t="s">
        <v>627</v>
      </c>
      <c r="B23" s="469">
        <f>IFERROR(B6/'Cash Flow Statement'!B13,"")</f>
        <v>12.338598470603</v>
      </c>
      <c r="C23" s="469">
        <f>IFERROR(C6/'Cash Flow Statement'!C13,"")</f>
        <v>20.9426833568406</v>
      </c>
      <c r="D23" s="469">
        <f>IFERROR(D6/'Cash Flow Statement'!D13,"")</f>
        <v>15.3329288495575</v>
      </c>
      <c r="E23" s="469">
        <f>IFERROR(E6/'Cash Flow Statement'!E13,"")</f>
        <v>19.460180223854</v>
      </c>
      <c r="F23" s="469">
        <f>IFERROR(F6/'Cash Flow Statement'!F13,"")</f>
        <v>20.6287541519879</v>
      </c>
      <c r="G23" s="469">
        <f>IFERROR(G6/'Cash Flow Statement'!G13,"")</f>
        <v>29.6099155780274</v>
      </c>
      <c r="H23" s="469">
        <f>IFERROR(H6/'Cash Flow Statement'!H13,"")</f>
        <v>27.3844683601113</v>
      </c>
      <c r="I23" s="469">
        <f>IFERROR(I6/'Cash Flow Statement'!I13,"")</f>
        <v>29.3304224442912</v>
      </c>
      <c r="J23" s="469">
        <f>IFERROR(J6/'Cash Flow Statement'!J13,"")</f>
        <v>22.669226697209</v>
      </c>
      <c r="K23" s="469">
        <f>IFERROR(K6/'Cash Flow Statement'!K13,"")</f>
        <v>13.5314651005145</v>
      </c>
      <c r="L23" s="471">
        <f>IFERROR(L6/'Cash Flow Statement'!L13,"")</f>
        <v>9.15627252328823</v>
      </c>
      <c r="M23" s="9"/>
      <c r="N23" s="9"/>
      <c r="O23" s="9"/>
    </row>
    <row r="24" ht="14.25" customHeight="1">
      <c r="A24" s="401" t="s">
        <v>632</v>
      </c>
      <c r="B24" s="469">
        <f>IFERROR(B6/'Cash Flow Statement'!B36,"")</f>
        <v>14.4530102790015</v>
      </c>
      <c r="C24" s="469">
        <f>IFERROR(C6/'Cash Flow Statement'!C36,"")</f>
        <v>25.7038634798859</v>
      </c>
      <c r="D24" s="469">
        <f>IFERROR(D6/'Cash Flow Statement'!D36,"")</f>
        <v>19.5566008090732</v>
      </c>
      <c r="E24" s="469">
        <f>IFERROR(E6/'Cash Flow Statement'!E36,"")</f>
        <v>24.0525824756803</v>
      </c>
      <c r="F24" s="469">
        <f>IFERROR(F6/'Cash Flow Statement'!F36,"")</f>
        <v>23.2339499489854</v>
      </c>
      <c r="G24" s="469">
        <f>IFERROR(G6/'Cash Flow Statement'!G36,"")</f>
        <v>33.4644222937595</v>
      </c>
      <c r="H24" s="469">
        <f>IFERROR(H6/'Cash Flow Statement'!H36,"")</f>
        <v>32.3679262017675</v>
      </c>
      <c r="I24" s="469">
        <f>IFERROR(I6/'Cash Flow Statement'!I36,"")</f>
        <v>38.4386464070068</v>
      </c>
      <c r="J24" s="469">
        <f>IFERROR(J6/'Cash Flow Statement'!J36,"")</f>
        <v>37.1558430387313</v>
      </c>
      <c r="K24" s="469">
        <f>IFERROR(K6/'Cash Flow Statement'!K36,"")</f>
        <v>27.3332648686263</v>
      </c>
      <c r="L24" s="485">
        <f>IFERROR(L6/'Cash Flow Statement'!L36,"")</f>
        <v>15.9226543694732</v>
      </c>
      <c r="M24" s="9"/>
      <c r="N24" s="9"/>
      <c r="O24" s="9"/>
    </row>
    <row r="25" ht="14.25" customHeight="1">
      <c r="A25" s="9"/>
      <c r="B25" s="9"/>
      <c r="C25" s="9"/>
      <c r="D25" s="9"/>
      <c r="E25" s="9"/>
      <c r="F25" s="9"/>
      <c r="G25" s="9"/>
      <c r="H25" s="9"/>
      <c r="I25" s="9"/>
      <c r="J25" s="9"/>
      <c r="K25" s="9"/>
      <c r="L25" s="9"/>
      <c r="M25" s="9"/>
      <c r="N25" s="9"/>
      <c r="O25" s="9"/>
    </row>
    <row r="26" ht="14.25" customHeight="1">
      <c r="A26" s="9"/>
      <c r="B26" s="9"/>
      <c r="C26" s="9"/>
      <c r="D26" s="9"/>
      <c r="E26" s="9"/>
      <c r="F26" s="9"/>
      <c r="G26" s="9"/>
      <c r="H26" s="9"/>
      <c r="I26" s="9"/>
      <c r="J26" s="9"/>
      <c r="K26" s="9"/>
      <c r="L26" s="9"/>
      <c r="M26" s="9"/>
      <c r="N26" s="9"/>
      <c r="O26" s="9"/>
    </row>
    <row r="27" ht="14.25" customHeight="1">
      <c r="A27" s="9"/>
      <c r="B27" s="9"/>
      <c r="C27" s="9"/>
      <c r="D27" s="9"/>
      <c r="E27" s="9"/>
      <c r="F27" s="9"/>
      <c r="G27" s="9"/>
      <c r="H27" s="9"/>
      <c r="I27" s="9"/>
      <c r="J27" s="9"/>
      <c r="K27" s="9"/>
      <c r="L27" s="9"/>
      <c r="M27" s="9"/>
      <c r="N27" s="9"/>
      <c r="O27" s="9"/>
    </row>
    <row r="28" ht="14.25" customHeight="1">
      <c r="A28" s="9"/>
      <c r="B28" s="9"/>
      <c r="C28" s="9"/>
      <c r="D28" s="9"/>
      <c r="E28" s="9"/>
      <c r="F28" s="9"/>
      <c r="G28" s="9"/>
      <c r="H28" s="9"/>
      <c r="I28" s="9"/>
      <c r="J28" s="9"/>
      <c r="K28" s="9"/>
      <c r="L28" s="9"/>
      <c r="M28" s="9"/>
      <c r="N28" s="9"/>
      <c r="O28" s="9"/>
    </row>
    <row r="29" ht="14.25" customHeight="1">
      <c r="A29" s="9"/>
      <c r="B29" s="9"/>
      <c r="C29" s="9"/>
      <c r="D29" s="9"/>
      <c r="E29" s="9"/>
      <c r="F29" s="9"/>
      <c r="G29" s="9"/>
      <c r="H29" s="9"/>
      <c r="I29" s="9"/>
      <c r="J29" s="9"/>
      <c r="K29" s="9"/>
      <c r="L29" s="9"/>
      <c r="M29" s="9"/>
      <c r="N29" s="9"/>
      <c r="O29" s="9"/>
    </row>
    <row r="30" ht="14.25" customHeight="1">
      <c r="A30" s="9"/>
      <c r="B30" s="9"/>
      <c r="C30" s="9"/>
      <c r="D30" s="9"/>
      <c r="E30" s="9"/>
      <c r="F30" s="9"/>
      <c r="G30" s="9"/>
      <c r="H30" s="9"/>
      <c r="I30" s="9"/>
      <c r="J30" s="9"/>
      <c r="K30" s="9"/>
      <c r="L30" s="9"/>
      <c r="M30" s="9"/>
      <c r="N30" s="9"/>
      <c r="O30" s="9"/>
    </row>
    <row r="31" ht="14.25" customHeight="1">
      <c r="A31" s="9"/>
      <c r="B31" s="9"/>
      <c r="C31" s="9"/>
      <c r="D31" s="9"/>
      <c r="E31" s="9"/>
      <c r="F31" s="9"/>
      <c r="G31" s="9"/>
      <c r="H31" s="9"/>
      <c r="I31" s="9"/>
      <c r="J31" s="9"/>
      <c r="K31" s="9"/>
      <c r="L31" s="9"/>
      <c r="M31" s="9"/>
      <c r="N31" s="9"/>
      <c r="O31" s="9"/>
    </row>
    <row r="32" ht="14.25" customHeight="1">
      <c r="A32" s="9"/>
      <c r="B32" s="9"/>
      <c r="C32" s="9"/>
      <c r="D32" s="9"/>
      <c r="E32" s="9"/>
      <c r="F32" s="9"/>
      <c r="G32" s="9"/>
      <c r="H32" s="9"/>
      <c r="I32" s="9"/>
      <c r="J32" s="9"/>
      <c r="K32" s="9"/>
      <c r="L32" s="9"/>
      <c r="M32" s="9"/>
      <c r="N32" s="9"/>
      <c r="O32" s="9"/>
    </row>
    <row r="33" ht="14.25" customHeight="1">
      <c r="A33" s="9"/>
      <c r="B33" s="9"/>
      <c r="C33" s="9"/>
      <c r="D33" s="9"/>
      <c r="E33" s="9"/>
      <c r="F33" s="9"/>
      <c r="G33" s="9"/>
      <c r="H33" s="9"/>
      <c r="I33" s="9"/>
      <c r="J33" s="9"/>
      <c r="K33" s="9"/>
      <c r="L33" s="9"/>
      <c r="M33" s="9"/>
      <c r="N33" s="9"/>
      <c r="O33" s="9"/>
    </row>
    <row r="34" ht="14.25" customHeight="1">
      <c r="A34" s="9"/>
      <c r="B34" s="9"/>
      <c r="C34" s="9"/>
      <c r="D34" s="9"/>
      <c r="E34" s="9"/>
      <c r="F34" s="9"/>
      <c r="G34" s="9"/>
      <c r="H34" s="9"/>
      <c r="I34" s="9"/>
      <c r="J34" s="9"/>
      <c r="K34" s="9"/>
      <c r="L34" s="9"/>
      <c r="M34" s="9"/>
      <c r="N34" s="9"/>
      <c r="O34" s="9"/>
    </row>
    <row r="35" ht="14.25" customHeight="1">
      <c r="A35" s="9"/>
      <c r="B35" s="9"/>
      <c r="C35" s="9"/>
      <c r="D35" s="9"/>
      <c r="E35" s="9"/>
      <c r="F35" s="9"/>
      <c r="G35" s="9"/>
      <c r="H35" s="9"/>
      <c r="I35" s="9"/>
      <c r="J35" s="9"/>
      <c r="K35" s="9"/>
      <c r="L35" s="9"/>
      <c r="M35" s="9"/>
      <c r="N35" s="9"/>
      <c r="O35" s="9"/>
    </row>
    <row r="36" ht="14.25" customHeight="1">
      <c r="A36" s="9"/>
      <c r="B36" s="9"/>
      <c r="C36" s="9"/>
      <c r="D36" s="9"/>
      <c r="E36" s="9"/>
      <c r="F36" s="9"/>
      <c r="G36" s="9"/>
      <c r="H36" s="9"/>
      <c r="I36" s="9"/>
      <c r="J36" s="9"/>
      <c r="K36" s="9"/>
      <c r="L36" s="9"/>
      <c r="M36" s="9"/>
      <c r="N36" s="9"/>
      <c r="O36" s="9"/>
    </row>
    <row r="37" ht="14.25" customHeight="1">
      <c r="A37" s="9"/>
      <c r="B37" s="9"/>
      <c r="C37" s="9"/>
      <c r="D37" s="9"/>
      <c r="E37" s="9"/>
      <c r="F37" s="9"/>
      <c r="G37" s="9"/>
      <c r="H37" s="9"/>
      <c r="I37" s="9"/>
      <c r="J37" s="9"/>
      <c r="K37" s="9"/>
      <c r="L37" s="9"/>
      <c r="M37" s="9"/>
      <c r="N37" s="9"/>
      <c r="O37" s="9"/>
    </row>
    <row r="38" ht="14.25" customHeight="1">
      <c r="A38" s="9"/>
      <c r="B38" s="9"/>
      <c r="C38" s="9"/>
      <c r="D38" s="9"/>
      <c r="E38" s="9"/>
      <c r="F38" s="9"/>
      <c r="G38" s="9"/>
      <c r="H38" s="9"/>
      <c r="I38" s="9"/>
      <c r="J38" s="9"/>
      <c r="K38" s="9"/>
      <c r="L38" s="9"/>
      <c r="M38" s="9"/>
      <c r="N38" s="9"/>
      <c r="O38" s="9"/>
    </row>
    <row r="39" ht="14.25" customHeight="1">
      <c r="A39" s="9"/>
      <c r="B39" s="9"/>
      <c r="C39" s="9"/>
      <c r="D39" s="9"/>
      <c r="E39" s="9"/>
      <c r="F39" s="9"/>
      <c r="G39" s="9"/>
      <c r="H39" s="9"/>
      <c r="I39" s="9"/>
      <c r="J39" s="9"/>
      <c r="K39" s="9"/>
      <c r="L39" s="9"/>
      <c r="M39" s="9"/>
      <c r="N39" s="9"/>
      <c r="O39" s="9"/>
    </row>
    <row r="40" ht="15.75" customHeight="1">
      <c r="A40" s="77"/>
      <c r="B40" s="77"/>
      <c r="C40" s="77"/>
      <c r="D40" s="77"/>
      <c r="E40" s="77"/>
      <c r="F40" s="77"/>
      <c r="G40" s="77"/>
      <c r="H40" s="77"/>
      <c r="I40" s="77"/>
      <c r="J40" s="77"/>
      <c r="K40" s="77"/>
      <c r="L40" s="77"/>
      <c r="M40" s="77"/>
      <c r="N40" s="77"/>
      <c r="O40" s="77"/>
    </row>
    <row r="41" ht="15.75" customHeight="1">
      <c r="A41" s="77"/>
      <c r="B41" s="77"/>
      <c r="C41" s="77"/>
      <c r="D41" s="77"/>
      <c r="E41" s="77"/>
      <c r="F41" s="77"/>
      <c r="G41" s="77"/>
      <c r="H41" s="77"/>
      <c r="I41" s="77"/>
      <c r="J41" s="77"/>
      <c r="K41" s="77"/>
      <c r="L41" s="77"/>
      <c r="M41" s="77"/>
      <c r="N41" s="77"/>
      <c r="O41" s="77"/>
    </row>
    <row r="42" ht="15.75" customHeight="1">
      <c r="A42" s="77"/>
      <c r="B42" s="77"/>
      <c r="C42" s="77"/>
      <c r="D42" s="77"/>
      <c r="E42" s="77"/>
      <c r="F42" s="77"/>
      <c r="G42" s="77"/>
      <c r="H42" s="77"/>
      <c r="I42" s="77"/>
      <c r="J42" s="77"/>
      <c r="K42" s="77"/>
      <c r="L42" s="77"/>
      <c r="M42" s="77"/>
      <c r="N42" s="77"/>
      <c r="O42" s="77"/>
    </row>
    <row r="43" ht="15.75" customHeight="1">
      <c r="A43" s="77"/>
      <c r="B43" s="77"/>
      <c r="C43" s="77"/>
      <c r="D43" s="77"/>
      <c r="E43" s="77"/>
      <c r="F43" s="77"/>
      <c r="G43" s="77"/>
      <c r="H43" s="77"/>
      <c r="I43" s="77"/>
      <c r="J43" s="77"/>
      <c r="K43" s="77"/>
      <c r="L43" s="77"/>
      <c r="M43" s="77"/>
      <c r="N43" s="77"/>
      <c r="O43" s="77"/>
    </row>
    <row r="44" ht="15.75" customHeight="1">
      <c r="A44" s="77"/>
      <c r="B44" s="77"/>
      <c r="C44" s="77"/>
      <c r="D44" s="77"/>
      <c r="E44" s="77"/>
      <c r="F44" s="77"/>
      <c r="G44" s="77"/>
      <c r="H44" s="77"/>
      <c r="I44" s="77"/>
      <c r="J44" s="77"/>
      <c r="K44" s="77"/>
      <c r="L44" s="77"/>
      <c r="M44" s="77"/>
      <c r="N44" s="77"/>
      <c r="O44" s="77"/>
    </row>
    <row r="45" ht="15.75" customHeight="1">
      <c r="A45" s="77"/>
      <c r="B45" s="77"/>
      <c r="C45" s="77"/>
      <c r="D45" s="77"/>
      <c r="E45" s="77"/>
      <c r="F45" s="77"/>
      <c r="G45" s="77"/>
      <c r="H45" s="77"/>
      <c r="I45" s="77"/>
      <c r="J45" s="77"/>
      <c r="K45" s="77"/>
      <c r="L45" s="77"/>
      <c r="M45" s="77"/>
      <c r="N45" s="77"/>
      <c r="O45" s="77"/>
    </row>
    <row r="46" ht="15.75" customHeight="1">
      <c r="A46" s="77"/>
      <c r="B46" s="77"/>
      <c r="C46" s="77"/>
      <c r="D46" s="77"/>
      <c r="E46" s="77"/>
      <c r="F46" s="77"/>
      <c r="G46" s="77"/>
      <c r="H46" s="77"/>
      <c r="I46" s="77"/>
      <c r="J46" s="77"/>
      <c r="K46" s="77"/>
      <c r="L46" s="77"/>
      <c r="M46" s="77"/>
      <c r="N46" s="77"/>
      <c r="O46" s="77"/>
    </row>
    <row r="47" ht="15.75" customHeight="1">
      <c r="A47" s="77"/>
      <c r="B47" s="77"/>
      <c r="C47" s="77"/>
      <c r="D47" s="77"/>
      <c r="E47" s="77"/>
      <c r="F47" s="77"/>
      <c r="G47" s="77"/>
      <c r="H47" s="77"/>
      <c r="I47" s="77"/>
      <c r="J47" s="77"/>
      <c r="K47" s="77"/>
      <c r="L47" s="77"/>
      <c r="M47" s="77"/>
      <c r="N47" s="77"/>
      <c r="O47" s="77"/>
    </row>
    <row r="48" ht="15.75" customHeight="1">
      <c r="A48" s="77"/>
      <c r="B48" s="77"/>
      <c r="C48" s="77"/>
      <c r="D48" s="77"/>
      <c r="E48" s="77"/>
      <c r="F48" s="77"/>
      <c r="G48" s="77"/>
      <c r="H48" s="77"/>
      <c r="I48" s="77"/>
      <c r="J48" s="77"/>
      <c r="K48" s="77"/>
      <c r="L48" s="77"/>
      <c r="M48" s="77"/>
      <c r="N48" s="77"/>
      <c r="O48" s="77"/>
    </row>
    <row r="49" ht="15.75" customHeight="1">
      <c r="A49" s="77"/>
      <c r="B49" s="77"/>
      <c r="C49" s="77"/>
      <c r="D49" s="77"/>
      <c r="E49" s="77"/>
      <c r="F49" s="77"/>
      <c r="G49" s="77"/>
      <c r="H49" s="77"/>
      <c r="I49" s="77"/>
      <c r="J49" s="77"/>
      <c r="K49" s="77"/>
      <c r="L49" s="77"/>
      <c r="M49" s="77"/>
      <c r="N49" s="77"/>
      <c r="O49" s="77"/>
    </row>
    <row r="50" ht="15.75" customHeight="1">
      <c r="A50" s="77"/>
      <c r="B50" s="77"/>
      <c r="C50" s="77"/>
      <c r="D50" s="77"/>
      <c r="E50" s="77"/>
      <c r="F50" s="77"/>
      <c r="G50" s="77"/>
      <c r="H50" s="77"/>
      <c r="I50" s="77"/>
      <c r="J50" s="77"/>
      <c r="K50" s="77"/>
      <c r="L50" s="77"/>
      <c r="M50" s="77"/>
      <c r="N50" s="77"/>
      <c r="O50" s="77"/>
    </row>
    <row r="51" ht="15.75" customHeight="1">
      <c r="A51" s="77"/>
      <c r="B51" s="77"/>
      <c r="C51" s="77"/>
      <c r="D51" s="77"/>
      <c r="E51" s="77"/>
      <c r="F51" s="77"/>
      <c r="G51" s="77"/>
      <c r="H51" s="77"/>
      <c r="I51" s="77"/>
      <c r="J51" s="77"/>
      <c r="K51" s="77"/>
      <c r="L51" s="77"/>
      <c r="M51" s="77"/>
      <c r="N51" s="77"/>
      <c r="O51" s="77"/>
    </row>
    <row r="52" ht="15.75" customHeight="1">
      <c r="A52" s="77"/>
      <c r="B52" s="77"/>
      <c r="C52" s="77"/>
      <c r="D52" s="77"/>
      <c r="E52" s="77"/>
      <c r="F52" s="77"/>
      <c r="G52" s="77"/>
      <c r="H52" s="77"/>
      <c r="I52" s="77"/>
      <c r="J52" s="77"/>
      <c r="K52" s="77"/>
      <c r="L52" s="77"/>
      <c r="M52" s="77"/>
      <c r="N52" s="77"/>
      <c r="O52" s="77"/>
    </row>
    <row r="53" ht="15.75" customHeight="1">
      <c r="A53" s="77"/>
      <c r="B53" s="77"/>
      <c r="C53" s="77"/>
      <c r="D53" s="77"/>
      <c r="E53" s="77"/>
      <c r="F53" s="77"/>
      <c r="G53" s="77"/>
      <c r="H53" s="77"/>
      <c r="I53" s="77"/>
      <c r="J53" s="77"/>
      <c r="K53" s="77"/>
      <c r="L53" s="77"/>
      <c r="M53" s="77"/>
      <c r="N53" s="77"/>
      <c r="O53" s="77"/>
    </row>
    <row r="54" ht="15.75" customHeight="1">
      <c r="A54" s="77"/>
      <c r="B54" s="77"/>
      <c r="C54" s="77"/>
      <c r="D54" s="77"/>
      <c r="E54" s="77"/>
      <c r="F54" s="77"/>
      <c r="G54" s="77"/>
      <c r="H54" s="77"/>
      <c r="I54" s="77"/>
      <c r="J54" s="77"/>
      <c r="K54" s="77"/>
      <c r="L54" s="77"/>
      <c r="M54" s="77"/>
      <c r="N54" s="77"/>
      <c r="O54" s="77"/>
    </row>
    <row r="55" ht="15.75" customHeight="1">
      <c r="A55" s="77"/>
      <c r="B55" s="77"/>
      <c r="C55" s="77"/>
      <c r="D55" s="77"/>
      <c r="E55" s="77"/>
      <c r="F55" s="77"/>
      <c r="G55" s="77"/>
      <c r="H55" s="77"/>
      <c r="I55" s="77"/>
      <c r="J55" s="77"/>
      <c r="K55" s="77"/>
      <c r="L55" s="77"/>
      <c r="M55" s="77"/>
      <c r="N55" s="77"/>
      <c r="O55" s="77"/>
    </row>
    <row r="56" ht="15.75" customHeight="1">
      <c r="A56" s="77"/>
      <c r="B56" s="77"/>
      <c r="C56" s="77"/>
      <c r="D56" s="77"/>
      <c r="E56" s="77"/>
      <c r="F56" s="77"/>
      <c r="G56" s="77"/>
      <c r="H56" s="77"/>
      <c r="I56" s="77"/>
      <c r="J56" s="77"/>
      <c r="K56" s="77"/>
      <c r="L56" s="77"/>
      <c r="M56" s="77"/>
      <c r="N56" s="77"/>
      <c r="O56" s="77"/>
    </row>
    <row r="57" ht="15.75" customHeight="1">
      <c r="A57" s="77"/>
      <c r="B57" s="77"/>
      <c r="C57" s="77"/>
      <c r="D57" s="77"/>
      <c r="E57" s="77"/>
      <c r="F57" s="77"/>
      <c r="G57" s="77"/>
      <c r="H57" s="77"/>
      <c r="I57" s="77"/>
      <c r="J57" s="77"/>
      <c r="K57" s="77"/>
      <c r="L57" s="77"/>
      <c r="M57" s="77"/>
      <c r="N57" s="77"/>
      <c r="O57" s="77"/>
    </row>
    <row r="58" ht="15.75" customHeight="1">
      <c r="A58" s="77"/>
      <c r="B58" s="77"/>
      <c r="C58" s="77"/>
      <c r="D58" s="77"/>
      <c r="E58" s="77"/>
      <c r="F58" s="77"/>
      <c r="G58" s="77"/>
      <c r="H58" s="77"/>
      <c r="I58" s="77"/>
      <c r="J58" s="77"/>
      <c r="K58" s="77"/>
      <c r="L58" s="77"/>
      <c r="M58" s="77"/>
      <c r="N58" s="77"/>
      <c r="O58" s="77"/>
    </row>
    <row r="59" ht="15.75" customHeight="1">
      <c r="A59" s="77"/>
      <c r="B59" s="77"/>
      <c r="C59" s="77"/>
      <c r="D59" s="77"/>
      <c r="E59" s="77"/>
      <c r="F59" s="77"/>
      <c r="G59" s="77"/>
      <c r="H59" s="77"/>
      <c r="I59" s="77"/>
      <c r="J59" s="77"/>
      <c r="K59" s="77"/>
      <c r="L59" s="77"/>
      <c r="M59" s="77"/>
      <c r="N59" s="77"/>
      <c r="O59" s="77"/>
    </row>
    <row r="60" ht="15.75" customHeight="1">
      <c r="A60" s="77"/>
      <c r="B60" s="77"/>
      <c r="C60" s="77"/>
      <c r="D60" s="77"/>
      <c r="E60" s="77"/>
      <c r="F60" s="77"/>
      <c r="G60" s="77"/>
      <c r="H60" s="77"/>
      <c r="I60" s="77"/>
      <c r="J60" s="77"/>
      <c r="K60" s="77"/>
      <c r="L60" s="77"/>
      <c r="M60" s="77"/>
      <c r="N60" s="77"/>
      <c r="O60" s="77"/>
    </row>
    <row r="61" ht="15.75" customHeight="1">
      <c r="A61" s="77"/>
      <c r="B61" s="77"/>
      <c r="C61" s="77"/>
      <c r="D61" s="77"/>
      <c r="E61" s="77"/>
      <c r="F61" s="77"/>
      <c r="G61" s="77"/>
      <c r="H61" s="77"/>
      <c r="I61" s="77"/>
      <c r="J61" s="77"/>
      <c r="K61" s="77"/>
      <c r="L61" s="77"/>
      <c r="M61" s="77"/>
      <c r="N61" s="77"/>
      <c r="O61" s="77"/>
    </row>
    <row r="62" ht="15.75" customHeight="1">
      <c r="A62" s="77"/>
      <c r="B62" s="77"/>
      <c r="C62" s="77"/>
      <c r="D62" s="77"/>
      <c r="E62" s="77"/>
      <c r="F62" s="77"/>
      <c r="G62" s="77"/>
      <c r="H62" s="77"/>
      <c r="I62" s="77"/>
      <c r="J62" s="77"/>
      <c r="K62" s="77"/>
      <c r="L62" s="77"/>
      <c r="M62" s="77"/>
      <c r="N62" s="77"/>
      <c r="O62" s="77"/>
    </row>
    <row r="63" ht="15.75" customHeight="1">
      <c r="A63" s="77"/>
      <c r="B63" s="77"/>
      <c r="C63" s="77"/>
      <c r="D63" s="77"/>
      <c r="E63" s="77"/>
      <c r="F63" s="77"/>
      <c r="G63" s="77"/>
      <c r="H63" s="77"/>
      <c r="I63" s="77"/>
      <c r="J63" s="77"/>
      <c r="K63" s="77"/>
      <c r="L63" s="77"/>
      <c r="M63" s="77"/>
      <c r="N63" s="77"/>
      <c r="O63" s="77"/>
    </row>
    <row r="64" ht="15.75" customHeight="1">
      <c r="A64" s="77"/>
      <c r="B64" s="77"/>
      <c r="C64" s="77"/>
      <c r="D64" s="77"/>
      <c r="E64" s="77"/>
      <c r="F64" s="77"/>
      <c r="G64" s="77"/>
      <c r="H64" s="77"/>
      <c r="I64" s="77"/>
      <c r="J64" s="77"/>
      <c r="K64" s="77"/>
      <c r="L64" s="77"/>
      <c r="M64" s="77"/>
      <c r="N64" s="77"/>
      <c r="O64" s="77"/>
    </row>
    <row r="65" ht="15.75" customHeight="1">
      <c r="A65" s="77"/>
      <c r="B65" s="77"/>
      <c r="C65" s="77"/>
      <c r="D65" s="77"/>
      <c r="E65" s="77"/>
      <c r="F65" s="77"/>
      <c r="G65" s="77"/>
      <c r="H65" s="77"/>
      <c r="I65" s="77"/>
      <c r="J65" s="77"/>
      <c r="K65" s="77"/>
      <c r="L65" s="77"/>
      <c r="M65" s="77"/>
      <c r="N65" s="77"/>
      <c r="O65" s="77"/>
    </row>
    <row r="66" ht="15.75" customHeight="1">
      <c r="A66" s="77"/>
      <c r="B66" s="77"/>
      <c r="C66" s="77"/>
      <c r="D66" s="77"/>
      <c r="E66" s="77"/>
      <c r="F66" s="77"/>
      <c r="G66" s="77"/>
      <c r="H66" s="77"/>
      <c r="I66" s="77"/>
      <c r="J66" s="77"/>
      <c r="K66" s="77"/>
      <c r="L66" s="77"/>
      <c r="M66" s="77"/>
      <c r="N66" s="77"/>
      <c r="O66" s="77"/>
    </row>
    <row r="67" ht="15.75" customHeight="1">
      <c r="A67" s="77"/>
      <c r="B67" s="77"/>
      <c r="C67" s="77"/>
      <c r="D67" s="77"/>
      <c r="E67" s="77"/>
      <c r="F67" s="77"/>
      <c r="G67" s="77"/>
      <c r="H67" s="77"/>
      <c r="I67" s="77"/>
      <c r="J67" s="77"/>
      <c r="K67" s="77"/>
      <c r="L67" s="77"/>
      <c r="M67" s="77"/>
      <c r="N67" s="77"/>
      <c r="O67" s="77"/>
    </row>
    <row r="68" ht="15.75" customHeight="1">
      <c r="A68" s="77"/>
      <c r="B68" s="77"/>
      <c r="C68" s="77"/>
      <c r="D68" s="77"/>
      <c r="E68" s="77"/>
      <c r="F68" s="77"/>
      <c r="G68" s="77"/>
      <c r="H68" s="77"/>
      <c r="I68" s="77"/>
      <c r="J68" s="77"/>
      <c r="K68" s="77"/>
      <c r="L68" s="77"/>
      <c r="M68" s="77"/>
      <c r="N68" s="77"/>
      <c r="O68" s="77"/>
    </row>
    <row r="69" ht="15.75" customHeight="1">
      <c r="A69" s="77"/>
      <c r="B69" s="77"/>
      <c r="C69" s="77"/>
      <c r="D69" s="77"/>
      <c r="E69" s="77"/>
      <c r="F69" s="77"/>
      <c r="G69" s="77"/>
      <c r="H69" s="77"/>
      <c r="I69" s="77"/>
      <c r="J69" s="77"/>
      <c r="K69" s="77"/>
      <c r="L69" s="77"/>
      <c r="M69" s="77"/>
      <c r="N69" s="77"/>
      <c r="O69" s="77"/>
    </row>
    <row r="70" ht="15.75" customHeight="1">
      <c r="A70" s="77"/>
      <c r="B70" s="77"/>
      <c r="C70" s="77"/>
      <c r="D70" s="77"/>
      <c r="E70" s="77"/>
      <c r="F70" s="77"/>
      <c r="G70" s="77"/>
      <c r="H70" s="77"/>
      <c r="I70" s="77"/>
      <c r="J70" s="77"/>
      <c r="K70" s="77"/>
      <c r="L70" s="77"/>
      <c r="M70" s="77"/>
      <c r="N70" s="77"/>
      <c r="O70" s="77"/>
    </row>
    <row r="71" ht="15.75" customHeight="1">
      <c r="A71" s="77"/>
      <c r="B71" s="77"/>
      <c r="C71" s="77"/>
      <c r="D71" s="77"/>
      <c r="E71" s="77"/>
      <c r="F71" s="77"/>
      <c r="G71" s="77"/>
      <c r="H71" s="77"/>
      <c r="I71" s="77"/>
      <c r="J71" s="77"/>
      <c r="K71" s="77"/>
      <c r="L71" s="77"/>
      <c r="M71" s="77"/>
      <c r="N71" s="77"/>
      <c r="O71" s="77"/>
    </row>
    <row r="72" ht="15.75" customHeight="1">
      <c r="A72" s="77"/>
      <c r="B72" s="77"/>
      <c r="C72" s="77"/>
      <c r="D72" s="77"/>
      <c r="E72" s="77"/>
      <c r="F72" s="77"/>
      <c r="G72" s="77"/>
      <c r="H72" s="77"/>
      <c r="I72" s="77"/>
      <c r="J72" s="77"/>
      <c r="K72" s="77"/>
      <c r="L72" s="77"/>
      <c r="M72" s="77"/>
      <c r="N72" s="77"/>
      <c r="O72" s="77"/>
    </row>
    <row r="73" ht="15.75" customHeight="1">
      <c r="A73" s="77"/>
      <c r="B73" s="77"/>
      <c r="C73" s="77"/>
      <c r="D73" s="77"/>
      <c r="E73" s="77"/>
      <c r="F73" s="77"/>
      <c r="G73" s="77"/>
      <c r="H73" s="77"/>
      <c r="I73" s="77"/>
      <c r="J73" s="77"/>
      <c r="K73" s="77"/>
      <c r="L73" s="77"/>
      <c r="M73" s="77"/>
      <c r="N73" s="77"/>
      <c r="O73" s="77"/>
    </row>
    <row r="74" ht="15.75" customHeight="1">
      <c r="A74" s="77"/>
      <c r="B74" s="77"/>
      <c r="C74" s="77"/>
      <c r="D74" s="77"/>
      <c r="E74" s="77"/>
      <c r="F74" s="77"/>
      <c r="G74" s="77"/>
      <c r="H74" s="77"/>
      <c r="I74" s="77"/>
      <c r="J74" s="77"/>
      <c r="K74" s="77"/>
      <c r="L74" s="77"/>
      <c r="M74" s="77"/>
      <c r="N74" s="77"/>
      <c r="O74" s="77"/>
    </row>
    <row r="75" ht="15.75" customHeight="1">
      <c r="A75" s="77"/>
      <c r="B75" s="77"/>
      <c r="C75" s="77"/>
      <c r="D75" s="77"/>
      <c r="E75" s="77"/>
      <c r="F75" s="77"/>
      <c r="G75" s="77"/>
      <c r="H75" s="77"/>
      <c r="I75" s="77"/>
      <c r="J75" s="77"/>
      <c r="K75" s="77"/>
      <c r="L75" s="77"/>
      <c r="M75" s="77"/>
      <c r="N75" s="77"/>
      <c r="O75" s="77"/>
    </row>
    <row r="76" ht="15.75" customHeight="1">
      <c r="A76" s="77"/>
      <c r="B76" s="77"/>
      <c r="C76" s="77"/>
      <c r="D76" s="77"/>
      <c r="E76" s="77"/>
      <c r="F76" s="77"/>
      <c r="G76" s="77"/>
      <c r="H76" s="77"/>
      <c r="I76" s="77"/>
      <c r="J76" s="77"/>
      <c r="K76" s="77"/>
      <c r="L76" s="77"/>
      <c r="M76" s="77"/>
      <c r="N76" s="77"/>
      <c r="O76" s="77"/>
    </row>
    <row r="77" ht="15.75" customHeight="1">
      <c r="A77" s="77"/>
      <c r="B77" s="77"/>
      <c r="C77" s="77"/>
      <c r="D77" s="77"/>
      <c r="E77" s="77"/>
      <c r="F77" s="77"/>
      <c r="G77" s="77"/>
      <c r="H77" s="77"/>
      <c r="I77" s="77"/>
      <c r="J77" s="77"/>
      <c r="K77" s="77"/>
      <c r="L77" s="77"/>
      <c r="M77" s="77"/>
      <c r="N77" s="77"/>
      <c r="O77" s="77"/>
    </row>
    <row r="78" ht="15.75" customHeight="1">
      <c r="A78" s="77"/>
      <c r="B78" s="77"/>
      <c r="C78" s="77"/>
      <c r="D78" s="77"/>
      <c r="E78" s="77"/>
      <c r="F78" s="77"/>
      <c r="G78" s="77"/>
      <c r="H78" s="77"/>
      <c r="I78" s="77"/>
      <c r="J78" s="77"/>
      <c r="K78" s="77"/>
      <c r="L78" s="77"/>
      <c r="M78" s="77"/>
      <c r="N78" s="77"/>
      <c r="O78" s="77"/>
    </row>
    <row r="79" ht="15.75" customHeight="1">
      <c r="A79" s="77"/>
      <c r="B79" s="77"/>
      <c r="C79" s="77"/>
      <c r="D79" s="77"/>
      <c r="E79" s="77"/>
      <c r="F79" s="77"/>
      <c r="G79" s="77"/>
      <c r="H79" s="77"/>
      <c r="I79" s="77"/>
      <c r="J79" s="77"/>
      <c r="K79" s="77"/>
      <c r="L79" s="77"/>
      <c r="M79" s="77"/>
      <c r="N79" s="77"/>
      <c r="O79" s="77"/>
    </row>
    <row r="80" ht="15.75" customHeight="1">
      <c r="A80" s="77"/>
      <c r="B80" s="77"/>
      <c r="C80" s="77"/>
      <c r="D80" s="77"/>
      <c r="E80" s="77"/>
      <c r="F80" s="77"/>
      <c r="G80" s="77"/>
      <c r="H80" s="77"/>
      <c r="I80" s="77"/>
      <c r="J80" s="77"/>
      <c r="K80" s="77"/>
      <c r="L80" s="77"/>
      <c r="M80" s="77"/>
      <c r="N80" s="77"/>
      <c r="O80" s="77"/>
    </row>
    <row r="81" ht="15.75" customHeight="1">
      <c r="A81" s="77"/>
      <c r="B81" s="77"/>
      <c r="C81" s="77"/>
      <c r="D81" s="77"/>
      <c r="E81" s="77"/>
      <c r="F81" s="77"/>
      <c r="G81" s="77"/>
      <c r="H81" s="77"/>
      <c r="I81" s="77"/>
      <c r="J81" s="77"/>
      <c r="K81" s="77"/>
      <c r="L81" s="77"/>
      <c r="M81" s="77"/>
      <c r="N81" s="77"/>
      <c r="O81" s="77"/>
    </row>
    <row r="82" ht="15.75" customHeight="1">
      <c r="A82" s="77"/>
      <c r="B82" s="77"/>
      <c r="C82" s="77"/>
      <c r="D82" s="77"/>
      <c r="E82" s="77"/>
      <c r="F82" s="77"/>
      <c r="G82" s="77"/>
      <c r="H82" s="77"/>
      <c r="I82" s="77"/>
      <c r="J82" s="77"/>
      <c r="K82" s="77"/>
      <c r="L82" s="77"/>
      <c r="M82" s="77"/>
      <c r="N82" s="77"/>
      <c r="O82" s="77"/>
    </row>
    <row r="83" ht="15.75" customHeight="1">
      <c r="A83" s="77"/>
      <c r="B83" s="77"/>
      <c r="C83" s="77"/>
      <c r="D83" s="77"/>
      <c r="E83" s="77"/>
      <c r="F83" s="77"/>
      <c r="G83" s="77"/>
      <c r="H83" s="77"/>
      <c r="I83" s="77"/>
      <c r="J83" s="77"/>
      <c r="K83" s="77"/>
      <c r="L83" s="77"/>
      <c r="M83" s="77"/>
      <c r="N83" s="77"/>
      <c r="O83" s="77"/>
    </row>
    <row r="84" ht="15.75" customHeight="1">
      <c r="A84" s="77"/>
      <c r="B84" s="77"/>
      <c r="C84" s="77"/>
      <c r="D84" s="77"/>
      <c r="E84" s="77"/>
      <c r="F84" s="77"/>
      <c r="G84" s="77"/>
      <c r="H84" s="77"/>
      <c r="I84" s="77"/>
      <c r="J84" s="77"/>
      <c r="K84" s="77"/>
      <c r="L84" s="77"/>
      <c r="M84" s="77"/>
      <c r="N84" s="77"/>
      <c r="O84" s="77"/>
    </row>
    <row r="85" ht="15.75" customHeight="1">
      <c r="A85" s="77"/>
      <c r="B85" s="77"/>
      <c r="C85" s="77"/>
      <c r="D85" s="77"/>
      <c r="E85" s="77"/>
      <c r="F85" s="77"/>
      <c r="G85" s="77"/>
      <c r="H85" s="77"/>
      <c r="I85" s="77"/>
      <c r="J85" s="77"/>
      <c r="K85" s="77"/>
      <c r="L85" s="77"/>
      <c r="M85" s="77"/>
      <c r="N85" s="77"/>
      <c r="O85" s="77"/>
    </row>
    <row r="86" ht="15.75" customHeight="1">
      <c r="A86" s="77"/>
      <c r="B86" s="77"/>
      <c r="C86" s="77"/>
      <c r="D86" s="77"/>
      <c r="E86" s="77"/>
      <c r="F86" s="77"/>
      <c r="G86" s="77"/>
      <c r="H86" s="77"/>
      <c r="I86" s="77"/>
      <c r="J86" s="77"/>
      <c r="K86" s="77"/>
      <c r="L86" s="77"/>
      <c r="M86" s="77"/>
      <c r="N86" s="77"/>
      <c r="O86" s="77"/>
    </row>
    <row r="87" ht="15.75" customHeight="1">
      <c r="A87" s="77"/>
      <c r="B87" s="77"/>
      <c r="C87" s="77"/>
      <c r="D87" s="77"/>
      <c r="E87" s="77"/>
      <c r="F87" s="77"/>
      <c r="G87" s="77"/>
      <c r="H87" s="77"/>
      <c r="I87" s="77"/>
      <c r="J87" s="77"/>
      <c r="K87" s="77"/>
      <c r="L87" s="77"/>
      <c r="M87" s="77"/>
      <c r="N87" s="77"/>
      <c r="O87" s="77"/>
    </row>
    <row r="88" ht="15.75" customHeight="1">
      <c r="A88" s="77"/>
      <c r="B88" s="77"/>
      <c r="C88" s="77"/>
      <c r="D88" s="77"/>
      <c r="E88" s="77"/>
      <c r="F88" s="77"/>
      <c r="G88" s="77"/>
      <c r="H88" s="77"/>
      <c r="I88" s="77"/>
      <c r="J88" s="77"/>
      <c r="K88" s="77"/>
      <c r="L88" s="77"/>
      <c r="M88" s="77"/>
      <c r="N88" s="77"/>
      <c r="O88" s="77"/>
    </row>
    <row r="89" ht="15.75" customHeight="1">
      <c r="A89" s="77"/>
      <c r="B89" s="77"/>
      <c r="C89" s="77"/>
      <c r="D89" s="77"/>
      <c r="E89" s="77"/>
      <c r="F89" s="77"/>
      <c r="G89" s="77"/>
      <c r="H89" s="77"/>
      <c r="I89" s="77"/>
      <c r="J89" s="77"/>
      <c r="K89" s="77"/>
      <c r="L89" s="77"/>
      <c r="M89" s="77"/>
      <c r="N89" s="77"/>
      <c r="O89" s="77"/>
    </row>
    <row r="90" ht="15.75" customHeight="1">
      <c r="A90" s="77"/>
      <c r="B90" s="77"/>
      <c r="C90" s="77"/>
      <c r="D90" s="77"/>
      <c r="E90" s="77"/>
      <c r="F90" s="77"/>
      <c r="G90" s="77"/>
      <c r="H90" s="77"/>
      <c r="I90" s="77"/>
      <c r="J90" s="77"/>
      <c r="K90" s="77"/>
      <c r="L90" s="77"/>
      <c r="M90" s="77"/>
      <c r="N90" s="77"/>
      <c r="O90" s="77"/>
    </row>
    <row r="91" ht="15.75" customHeight="1">
      <c r="A91" s="77"/>
      <c r="B91" s="77"/>
      <c r="C91" s="77"/>
      <c r="D91" s="77"/>
      <c r="E91" s="77"/>
      <c r="F91" s="77"/>
      <c r="G91" s="77"/>
      <c r="H91" s="77"/>
      <c r="I91" s="77"/>
      <c r="J91" s="77"/>
      <c r="K91" s="77"/>
      <c r="L91" s="77"/>
      <c r="M91" s="77"/>
      <c r="N91" s="77"/>
      <c r="O91" s="77"/>
    </row>
    <row r="92" ht="15.75" customHeight="1">
      <c r="A92" s="77"/>
      <c r="B92" s="77"/>
      <c r="C92" s="77"/>
      <c r="D92" s="77"/>
      <c r="E92" s="77"/>
      <c r="F92" s="77"/>
      <c r="G92" s="77"/>
      <c r="H92" s="77"/>
      <c r="I92" s="77"/>
      <c r="J92" s="77"/>
      <c r="K92" s="77"/>
      <c r="L92" s="77"/>
      <c r="M92" s="77"/>
      <c r="N92" s="77"/>
      <c r="O92" s="77"/>
    </row>
    <row r="93" ht="15.75" customHeight="1">
      <c r="A93" s="77"/>
      <c r="B93" s="77"/>
      <c r="C93" s="77"/>
      <c r="D93" s="77"/>
      <c r="E93" s="77"/>
      <c r="F93" s="77"/>
      <c r="G93" s="77"/>
      <c r="H93" s="77"/>
      <c r="I93" s="77"/>
      <c r="J93" s="77"/>
      <c r="K93" s="77"/>
      <c r="L93" s="77"/>
      <c r="M93" s="77"/>
      <c r="N93" s="77"/>
      <c r="O93" s="77"/>
    </row>
    <row r="94" ht="15.75" customHeight="1">
      <c r="A94" s="77"/>
      <c r="B94" s="77"/>
      <c r="C94" s="77"/>
      <c r="D94" s="77"/>
      <c r="E94" s="77"/>
      <c r="F94" s="77"/>
      <c r="G94" s="77"/>
      <c r="H94" s="77"/>
      <c r="I94" s="77"/>
      <c r="J94" s="77"/>
      <c r="K94" s="77"/>
      <c r="L94" s="77"/>
      <c r="M94" s="77"/>
      <c r="N94" s="77"/>
      <c r="O94" s="77"/>
    </row>
    <row r="95" ht="15.75" customHeight="1">
      <c r="A95" s="77"/>
      <c r="B95" s="77"/>
      <c r="C95" s="77"/>
      <c r="D95" s="77"/>
      <c r="E95" s="77"/>
      <c r="F95" s="77"/>
      <c r="G95" s="77"/>
      <c r="H95" s="77"/>
      <c r="I95" s="77"/>
      <c r="J95" s="77"/>
      <c r="K95" s="77"/>
      <c r="L95" s="77"/>
      <c r="M95" s="77"/>
      <c r="N95" s="77"/>
      <c r="O95" s="77"/>
    </row>
    <row r="96" ht="15.75" customHeight="1">
      <c r="A96" s="77"/>
      <c r="B96" s="77"/>
      <c r="C96" s="77"/>
      <c r="D96" s="77"/>
      <c r="E96" s="77"/>
      <c r="F96" s="77"/>
      <c r="G96" s="77"/>
      <c r="H96" s="77"/>
      <c r="I96" s="77"/>
      <c r="J96" s="77"/>
      <c r="K96" s="77"/>
      <c r="L96" s="77"/>
      <c r="M96" s="77"/>
      <c r="N96" s="77"/>
      <c r="O96" s="77"/>
    </row>
    <row r="97" ht="15.75" customHeight="1">
      <c r="A97" s="77"/>
      <c r="B97" s="77"/>
      <c r="C97" s="77"/>
      <c r="D97" s="77"/>
      <c r="E97" s="77"/>
      <c r="F97" s="77"/>
      <c r="G97" s="77"/>
      <c r="H97" s="77"/>
      <c r="I97" s="77"/>
      <c r="J97" s="77"/>
      <c r="K97" s="77"/>
      <c r="L97" s="77"/>
      <c r="M97" s="77"/>
      <c r="N97" s="77"/>
      <c r="O97" s="77"/>
    </row>
    <row r="98" ht="15.75" customHeight="1">
      <c r="A98" s="77"/>
      <c r="B98" s="77"/>
      <c r="C98" s="77"/>
      <c r="D98" s="77"/>
      <c r="E98" s="77"/>
      <c r="F98" s="77"/>
      <c r="G98" s="77"/>
      <c r="H98" s="77"/>
      <c r="I98" s="77"/>
      <c r="J98" s="77"/>
      <c r="K98" s="77"/>
      <c r="L98" s="77"/>
      <c r="M98" s="77"/>
      <c r="N98" s="77"/>
      <c r="O98" s="77"/>
    </row>
    <row r="99" ht="15.75" customHeight="1">
      <c r="A99" s="77"/>
      <c r="B99" s="77"/>
      <c r="C99" s="77"/>
      <c r="D99" s="77"/>
      <c r="E99" s="77"/>
      <c r="F99" s="77"/>
      <c r="G99" s="77"/>
      <c r="H99" s="77"/>
      <c r="I99" s="77"/>
      <c r="J99" s="77"/>
      <c r="K99" s="77"/>
      <c r="L99" s="77"/>
      <c r="M99" s="77"/>
      <c r="N99" s="77"/>
      <c r="O99" s="77"/>
    </row>
    <row r="100" ht="15.75" customHeight="1">
      <c r="A100" s="77"/>
      <c r="B100" s="77"/>
      <c r="C100" s="77"/>
      <c r="D100" s="77"/>
      <c r="E100" s="77"/>
      <c r="F100" s="77"/>
      <c r="G100" s="77"/>
      <c r="H100" s="77"/>
      <c r="I100" s="77"/>
      <c r="J100" s="77"/>
      <c r="K100" s="77"/>
      <c r="L100" s="77"/>
      <c r="M100" s="77"/>
      <c r="N100" s="77"/>
      <c r="O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16" width="8.88"/>
    <col customWidth="1" min="17" max="26" width="11.25"/>
  </cols>
  <sheetData>
    <row r="1" ht="37.5" customHeight="1">
      <c r="A1" s="2" t="str">
        <f>'Input sheet'!A1</f>
        <v>Novo Nordisk (NYSE:NVO)</v>
      </c>
      <c r="B1" s="2"/>
      <c r="C1" s="2" t="s">
        <v>57</v>
      </c>
      <c r="D1" s="2">
        <f>'Input sheet'!D1</f>
        <v>39.4</v>
      </c>
      <c r="E1" s="7"/>
      <c r="F1" s="7"/>
      <c r="G1" s="7"/>
      <c r="H1" s="7"/>
      <c r="I1" s="7"/>
      <c r="J1" s="7"/>
      <c r="K1" s="7"/>
      <c r="L1" s="7"/>
      <c r="M1" s="7"/>
      <c r="N1" s="7"/>
      <c r="O1" s="7"/>
      <c r="P1" s="7"/>
      <c r="Q1" s="7"/>
    </row>
    <row r="2" ht="14.25" customHeight="1">
      <c r="A2" s="444" t="s">
        <v>570</v>
      </c>
      <c r="B2" s="444" t="s">
        <v>463</v>
      </c>
      <c r="C2" s="444" t="s">
        <v>464</v>
      </c>
      <c r="D2" s="444" t="s">
        <v>465</v>
      </c>
      <c r="E2" s="446" t="s">
        <v>466</v>
      </c>
      <c r="F2" s="446" t="s">
        <v>467</v>
      </c>
      <c r="G2" s="446" t="s">
        <v>468</v>
      </c>
      <c r="H2" s="446" t="s">
        <v>63</v>
      </c>
      <c r="I2" s="446" t="s">
        <v>64</v>
      </c>
      <c r="J2" s="446" t="s">
        <v>65</v>
      </c>
      <c r="K2" s="446" t="s">
        <v>66</v>
      </c>
      <c r="L2" s="446" t="inlineStr">
        <is>
          <t xml:space="preserve">NTM</t>
        </is>
      </c>
      <c r="M2" s="446" t="inlineStr">
        <is>
          <t xml:space="preserve">FY2026E (consenso)</t>
        </is>
      </c>
      <c r="N2" s="9" t="inlineStr">
        <is>
          <t xml:space="preserve">FY2027E (consenso)</t>
        </is>
      </c>
      <c r="O2" s="9"/>
      <c r="P2" s="9"/>
      <c r="Q2" s="9"/>
    </row>
    <row r="3" ht="14.25" customHeight="1">
      <c r="A3" s="448" t="s">
        <v>575</v>
      </c>
      <c r="B3" s="449"/>
      <c r="C3" s="449"/>
      <c r="D3" s="449"/>
      <c r="E3" s="450"/>
      <c r="F3" s="450"/>
      <c r="G3" s="450"/>
      <c r="H3" s="450"/>
      <c r="I3" s="450"/>
      <c r="J3" s="450"/>
      <c r="K3" s="450"/>
      <c r="L3" s="450"/>
      <c r="M3" s="450">
        <f>'Input sheet'!D1*'Income Statement'!L27/(299756.8/6.5512)</f>
        <v>3.80325784870935</v>
      </c>
      <c r="N3" s="451">
        <f>'Input sheet'!D1*'Income Statement'!L27/(303762.8/6.5512)</f>
        <v>3.75310078226827</v>
      </c>
      <c r="O3" s="9"/>
      <c r="P3" s="9"/>
      <c r="Q3" s="9"/>
    </row>
    <row r="4" ht="14.25" customHeight="1">
      <c r="A4" s="448" t="s">
        <v>576</v>
      </c>
      <c r="B4" s="449"/>
      <c r="C4" s="449"/>
      <c r="D4" s="449"/>
      <c r="E4" s="453"/>
      <c r="F4" s="453"/>
      <c r="G4" s="453"/>
      <c r="H4" s="453"/>
      <c r="I4" s="453"/>
      <c r="J4" s="453"/>
      <c r="K4" s="453"/>
      <c r="L4" s="453"/>
      <c r="M4" s="453">
        <f>'Input sheet'!D1/(21.57638/6.5512)</f>
        <v>11.9629557877642</v>
      </c>
      <c r="N4" s="454">
        <f>'Input sheet'!D1/(21.80626/6.5512)</f>
        <v>11.8368431817285</v>
      </c>
      <c r="O4" s="9"/>
      <c r="P4" s="9"/>
      <c r="Q4" s="9"/>
    </row>
    <row r="5" ht="14.25" customHeight="1">
      <c r="A5" s="448" t="s">
        <v>578</v>
      </c>
      <c r="B5" s="455"/>
      <c r="C5" s="456"/>
      <c r="D5" s="455"/>
      <c r="E5" s="457"/>
      <c r="F5" s="459"/>
      <c r="G5" s="457"/>
      <c r="H5" s="457"/>
      <c r="I5" s="457"/>
      <c r="J5" s="457"/>
      <c r="K5" s="457"/>
      <c r="L5" s="457"/>
      <c r="M5" s="457">
        <f>1/M4</f>
        <v>0.0835913814061577</v>
      </c>
      <c r="N5" s="460">
        <f>1/N4</f>
        <v>0.0844819843134873</v>
      </c>
      <c r="O5" s="9"/>
      <c r="P5" s="9"/>
      <c r="Q5" s="9"/>
    </row>
    <row r="6" ht="14.25" customHeight="1">
      <c r="A6" s="448" t="s">
        <v>579</v>
      </c>
      <c r="B6" s="449"/>
      <c r="C6" s="449"/>
      <c r="D6" s="449"/>
      <c r="E6" s="453"/>
      <c r="F6" s="453"/>
      <c r="G6" s="453"/>
      <c r="H6" s="453"/>
      <c r="I6" s="453"/>
      <c r="J6" s="453"/>
      <c r="K6" s="453"/>
      <c r="L6" s="453"/>
      <c r="M6" s="453" t="inlineStr">
        <is>
          <t xml:space="preserve">n.d.</t>
        </is>
      </c>
      <c r="N6" s="454" t="inlineStr">
        <is>
          <t xml:space="preserve">n.d.</t>
        </is>
      </c>
      <c r="O6" s="9"/>
      <c r="P6" s="9"/>
      <c r="Q6" s="9"/>
    </row>
    <row r="7" ht="14.25" customHeight="1">
      <c r="A7" s="448" t="s">
        <v>580</v>
      </c>
      <c r="B7" s="449"/>
      <c r="C7" s="449"/>
      <c r="D7" s="449"/>
      <c r="E7" s="450"/>
      <c r="F7" s="450"/>
      <c r="G7" s="450"/>
      <c r="H7" s="450"/>
      <c r="I7" s="450"/>
      <c r="J7" s="450"/>
      <c r="K7" s="450"/>
      <c r="L7" s="450"/>
      <c r="M7" s="450" t="inlineStr">
        <is>
          <t xml:space="preserve">n.d.</t>
        </is>
      </c>
      <c r="N7" s="451" t="inlineStr">
        <is>
          <t xml:space="preserve">n.d.</t>
        </is>
      </c>
      <c r="O7" s="9"/>
      <c r="P7" s="9"/>
      <c r="Q7" s="9"/>
    </row>
    <row r="8" ht="14.25" customHeight="1">
      <c r="A8" s="448" t="s">
        <v>581</v>
      </c>
      <c r="B8" s="455"/>
      <c r="C8" s="455"/>
      <c r="D8" s="455"/>
      <c r="E8" s="461"/>
      <c r="F8" s="461"/>
      <c r="G8" s="461"/>
      <c r="H8" s="461"/>
      <c r="I8" s="461"/>
      <c r="J8" s="462"/>
      <c r="K8" s="461"/>
      <c r="L8" s="461"/>
      <c r="M8" s="461" t="inlineStr">
        <is>
          <t xml:space="preserve">n.d.</t>
        </is>
      </c>
      <c r="N8" s="463" t="inlineStr">
        <is>
          <t xml:space="preserve">n.d.</t>
        </is>
      </c>
      <c r="O8" s="9"/>
      <c r="P8" s="9"/>
      <c r="Q8" s="9"/>
    </row>
    <row r="9" ht="14.25" customHeight="1">
      <c r="A9" s="448" t="s">
        <v>582</v>
      </c>
      <c r="B9" s="449"/>
      <c r="C9" s="449"/>
      <c r="D9" s="449"/>
      <c r="E9" s="450"/>
      <c r="F9" s="450"/>
      <c r="G9" s="450"/>
      <c r="H9" s="450"/>
      <c r="I9" s="450"/>
      <c r="J9" s="450"/>
      <c r="K9" s="450"/>
      <c r="L9" s="450"/>
      <c r="M9" s="450">
        <f>'Trailing Valuation'!L6/(299756.8/6.5512)</f>
        <v>4.12024131557316</v>
      </c>
      <c r="N9" s="451">
        <f>'Trailing Valuation'!L6/(303762.8/6.5512)</f>
        <v>4.0659038960136</v>
      </c>
      <c r="O9" s="9"/>
      <c r="P9" s="9"/>
      <c r="Q9" s="9"/>
    </row>
    <row r="10" ht="14.25" customHeight="1">
      <c r="A10" s="448" t="s">
        <v>583</v>
      </c>
      <c r="B10" s="449"/>
      <c r="C10" s="449"/>
      <c r="D10" s="449"/>
      <c r="E10" s="453"/>
      <c r="F10" s="453"/>
      <c r="G10" s="453"/>
      <c r="H10" s="453"/>
      <c r="I10" s="453"/>
      <c r="J10" s="453"/>
      <c r="K10" s="453"/>
      <c r="L10" s="453"/>
      <c r="M10" s="453" t="inlineStr">
        <is>
          <t xml:space="preserve">n.d.</t>
        </is>
      </c>
      <c r="N10" s="454" t="inlineStr">
        <is>
          <t xml:space="preserve">n.d.</t>
        </is>
      </c>
      <c r="O10" s="9"/>
      <c r="P10" s="9"/>
      <c r="Q10" s="9"/>
    </row>
    <row r="11" ht="14.25" customHeight="1">
      <c r="A11" s="448" t="s">
        <v>584</v>
      </c>
      <c r="B11" s="449"/>
      <c r="C11" s="449"/>
      <c r="D11" s="449"/>
      <c r="E11" s="450"/>
      <c r="F11" s="450"/>
      <c r="G11" s="450"/>
      <c r="H11" s="450"/>
      <c r="I11" s="450"/>
      <c r="J11" s="450"/>
      <c r="K11" s="450"/>
      <c r="L11" s="450"/>
      <c r="M11" s="450" t="inlineStr">
        <is>
          <t xml:space="preserve">n.d.</t>
        </is>
      </c>
      <c r="N11" s="451" t="inlineStr">
        <is>
          <t xml:space="preserve">n.d.</t>
        </is>
      </c>
      <c r="O11" s="9"/>
      <c r="P11" s="9"/>
      <c r="Q11" s="9"/>
    </row>
    <row r="12" ht="14.25" customHeight="1">
      <c r="A12" s="448" t="s">
        <v>587</v>
      </c>
      <c r="B12" s="449"/>
      <c r="C12" s="449"/>
      <c r="D12" s="449"/>
      <c r="E12" s="453"/>
      <c r="F12" s="453"/>
      <c r="G12" s="453"/>
      <c r="H12" s="453"/>
      <c r="I12" s="453"/>
      <c r="J12" s="453"/>
      <c r="K12" s="453"/>
      <c r="L12" s="453"/>
      <c r="M12" s="453" t="inlineStr">
        <is>
          <t xml:space="preserve">n.d.</t>
        </is>
      </c>
      <c r="N12" s="454" t="inlineStr">
        <is>
          <t xml:space="preserve">n.d.</t>
        </is>
      </c>
      <c r="O12" s="9"/>
      <c r="P12" s="9"/>
      <c r="Q12" s="9"/>
    </row>
    <row r="13" ht="14.25" customHeight="1">
      <c r="A13" s="448" t="s">
        <v>591</v>
      </c>
      <c r="B13" s="449"/>
      <c r="C13" s="449"/>
      <c r="D13" s="449"/>
      <c r="E13" s="450"/>
      <c r="F13" s="450"/>
      <c r="G13" s="450"/>
      <c r="H13" s="450"/>
      <c r="I13" s="450"/>
      <c r="J13" s="450"/>
      <c r="K13" s="450"/>
      <c r="L13" s="450"/>
      <c r="M13" s="450" t="inlineStr">
        <is>
          <t xml:space="preserve">n.d.</t>
        </is>
      </c>
      <c r="N13" s="451" t="inlineStr">
        <is>
          <t xml:space="preserve">n.d.</t>
        </is>
      </c>
      <c r="O13" s="9"/>
      <c r="P13" s="9"/>
      <c r="Q13" s="9"/>
    </row>
    <row r="14" ht="14.25" customHeight="1">
      <c r="A14" s="9"/>
      <c r="B14" s="9"/>
      <c r="C14" s="9"/>
      <c r="D14" s="9"/>
      <c r="E14" s="9"/>
      <c r="F14" s="9"/>
      <c r="G14" s="9"/>
      <c r="H14" s="9"/>
      <c r="I14" s="9"/>
      <c r="J14" s="9"/>
      <c r="K14" s="9"/>
      <c r="L14" s="9"/>
      <c r="M14" s="9"/>
      <c r="N14" s="9"/>
      <c r="O14" s="9"/>
      <c r="P14" s="9"/>
      <c r="Q14" s="9"/>
    </row>
    <row r="15" ht="14.25" customHeight="1">
      <c r="A15" s="9" t="inlineStr">
        <is>
          <t xml:space="preserve">Fuente: consenso publicado por stockanalysis.com (27 analistas ingresos / 21 BPA para 2026), consultado 23-sep-2026, en DKK convertido a USD al tipo BCE del 23-sep-2026 (6,5512 DKK/USD). El consenso mezcla definiciones (con/sin reversión 340B). Filas sin consenso disponible: n.d.</t>
        </is>
      </c>
      <c r="B15" s="9"/>
      <c r="C15" s="9"/>
      <c r="D15" s="9"/>
      <c r="E15" s="9"/>
      <c r="F15" s="9"/>
      <c r="G15" s="9"/>
      <c r="H15" s="9"/>
      <c r="I15" s="9"/>
      <c r="J15" s="9"/>
      <c r="K15" s="9"/>
      <c r="L15" s="9"/>
      <c r="M15" s="9"/>
      <c r="N15" s="9"/>
      <c r="O15" s="9"/>
      <c r="P15" s="9"/>
      <c r="Q15" s="9"/>
    </row>
    <row r="16" ht="14.25" customHeight="1">
      <c r="A16" s="9"/>
      <c r="B16" s="9"/>
      <c r="C16" s="9"/>
      <c r="D16" s="9"/>
      <c r="E16" s="9"/>
      <c r="F16" s="9"/>
      <c r="G16" s="9"/>
      <c r="H16" s="9"/>
      <c r="I16" s="9"/>
      <c r="J16" s="9"/>
      <c r="K16" s="9"/>
      <c r="L16" s="9"/>
      <c r="M16" s="9"/>
      <c r="N16" s="9"/>
      <c r="O16" s="9"/>
      <c r="P16" s="9"/>
      <c r="Q16" s="9"/>
    </row>
    <row r="17" ht="14.25" customHeight="1">
      <c r="A17" s="9"/>
      <c r="B17" s="9"/>
      <c r="C17" s="9"/>
      <c r="D17" s="9"/>
      <c r="E17" s="9"/>
      <c r="F17" s="9"/>
      <c r="G17" s="9"/>
      <c r="H17" s="9"/>
      <c r="I17" s="9"/>
      <c r="J17" s="9"/>
      <c r="K17" s="9"/>
      <c r="L17" s="9"/>
      <c r="M17" s="9"/>
      <c r="N17" s="9"/>
      <c r="O17" s="9"/>
      <c r="P17" s="9"/>
      <c r="Q17" s="9"/>
    </row>
    <row r="18" ht="14.25" customHeight="1">
      <c r="A18" s="9"/>
      <c r="B18" s="9"/>
      <c r="C18" s="9"/>
      <c r="D18" s="9"/>
      <c r="E18" s="9"/>
      <c r="F18" s="9"/>
      <c r="G18" s="9"/>
      <c r="H18" s="9"/>
      <c r="I18" s="9"/>
      <c r="J18" s="9"/>
      <c r="K18" s="9"/>
      <c r="L18" s="9"/>
      <c r="M18" s="9"/>
      <c r="N18" s="9"/>
      <c r="O18" s="9"/>
      <c r="P18" s="9"/>
      <c r="Q18" s="9"/>
    </row>
    <row r="19" ht="14.25" customHeight="1">
      <c r="A19" s="9"/>
      <c r="B19" s="9"/>
      <c r="C19" s="9"/>
      <c r="D19" s="9"/>
      <c r="E19" s="9"/>
      <c r="F19" s="9"/>
      <c r="G19" s="9"/>
      <c r="H19" s="9"/>
      <c r="I19" s="9"/>
      <c r="J19" s="9"/>
      <c r="K19" s="9"/>
      <c r="L19" s="9"/>
      <c r="M19" s="9"/>
      <c r="N19" s="9"/>
      <c r="O19" s="9"/>
      <c r="P19" s="9"/>
      <c r="Q19" s="9"/>
    </row>
    <row r="20" ht="14.25" customHeight="1">
      <c r="A20" s="9"/>
      <c r="B20" s="9"/>
      <c r="C20" s="9"/>
      <c r="D20" s="9"/>
      <c r="E20" s="9"/>
      <c r="F20" s="9"/>
      <c r="G20" s="9"/>
      <c r="H20" s="9"/>
      <c r="I20" s="9"/>
      <c r="J20" s="9"/>
      <c r="K20" s="9"/>
      <c r="L20" s="9"/>
      <c r="M20" s="9"/>
      <c r="N20" s="9"/>
      <c r="O20" s="9"/>
      <c r="P20" s="9"/>
      <c r="Q20" s="9"/>
    </row>
    <row r="21" ht="14.25" customHeight="1">
      <c r="A21" s="9"/>
      <c r="B21" s="9"/>
      <c r="C21" s="9"/>
      <c r="D21" s="9"/>
      <c r="E21" s="9"/>
      <c r="F21" s="9"/>
      <c r="G21" s="9"/>
      <c r="H21" s="9"/>
      <c r="I21" s="9"/>
      <c r="J21" s="9"/>
      <c r="K21" s="9"/>
      <c r="L21" s="9"/>
      <c r="M21" s="9"/>
      <c r="N21" s="9"/>
      <c r="O21" s="9"/>
      <c r="P21" s="9"/>
      <c r="Q21" s="9"/>
    </row>
    <row r="22" ht="14.25" customHeight="1">
      <c r="A22" s="9"/>
      <c r="B22" s="9"/>
      <c r="C22" s="9"/>
      <c r="D22" s="9"/>
      <c r="E22" s="9"/>
      <c r="F22" s="9"/>
      <c r="G22" s="9"/>
      <c r="H22" s="9"/>
      <c r="I22" s="9"/>
      <c r="J22" s="9"/>
      <c r="K22" s="9"/>
      <c r="L22" s="9"/>
      <c r="M22" s="9"/>
      <c r="N22" s="9"/>
      <c r="O22" s="9"/>
      <c r="P22" s="9"/>
      <c r="Q22" s="9"/>
    </row>
    <row r="23" ht="14.25" customHeight="1">
      <c r="A23" s="9"/>
      <c r="B23" s="9"/>
      <c r="C23" s="9"/>
      <c r="D23" s="9"/>
      <c r="E23" s="9"/>
      <c r="F23" s="9"/>
      <c r="G23" s="9"/>
      <c r="H23" s="9"/>
      <c r="I23" s="9"/>
      <c r="J23" s="9"/>
      <c r="K23" s="9"/>
      <c r="L23" s="9"/>
      <c r="M23" s="9"/>
      <c r="N23" s="9"/>
      <c r="O23" s="9"/>
      <c r="P23" s="9"/>
      <c r="Q23" s="9"/>
    </row>
    <row r="24" ht="14.25" customHeight="1">
      <c r="A24" s="9"/>
      <c r="B24" s="9"/>
      <c r="C24" s="9"/>
      <c r="D24" s="9"/>
      <c r="E24" s="9"/>
      <c r="F24" s="9"/>
      <c r="G24" s="9"/>
      <c r="H24" s="9"/>
      <c r="I24" s="9"/>
      <c r="J24" s="9"/>
      <c r="K24" s="9"/>
      <c r="L24" s="9"/>
      <c r="M24" s="9"/>
      <c r="N24" s="9"/>
      <c r="O24" s="9"/>
      <c r="P24" s="9"/>
      <c r="Q24" s="9"/>
    </row>
    <row r="25" ht="14.25" customHeight="1">
      <c r="A25" s="9"/>
      <c r="B25" s="9"/>
      <c r="C25" s="9"/>
      <c r="D25" s="9"/>
      <c r="E25" s="9"/>
      <c r="F25" s="9"/>
      <c r="G25" s="9"/>
      <c r="H25" s="9"/>
      <c r="I25" s="9"/>
      <c r="J25" s="9"/>
      <c r="K25" s="9"/>
      <c r="L25" s="9"/>
      <c r="M25" s="9"/>
      <c r="N25" s="9"/>
      <c r="O25" s="9"/>
      <c r="P25" s="9"/>
      <c r="Q25" s="9"/>
    </row>
    <row r="26" ht="14.25" customHeight="1">
      <c r="A26" s="9"/>
      <c r="B26" s="9"/>
      <c r="C26" s="9"/>
      <c r="D26" s="9"/>
      <c r="E26" s="9"/>
      <c r="F26" s="9"/>
      <c r="G26" s="9"/>
      <c r="H26" s="9"/>
      <c r="I26" s="9"/>
      <c r="J26" s="9"/>
      <c r="K26" s="9"/>
      <c r="L26" s="9"/>
      <c r="M26" s="9"/>
      <c r="N26" s="9"/>
      <c r="O26" s="9"/>
      <c r="P26" s="9"/>
      <c r="Q26" s="9"/>
    </row>
    <row r="27" ht="14.25" customHeight="1">
      <c r="A27" s="9"/>
      <c r="B27" s="9"/>
      <c r="C27" s="9"/>
      <c r="D27" s="9"/>
      <c r="E27" s="9"/>
      <c r="F27" s="9"/>
      <c r="G27" s="9"/>
      <c r="H27" s="9"/>
      <c r="I27" s="9"/>
      <c r="J27" s="9"/>
      <c r="K27" s="9"/>
      <c r="L27" s="9"/>
      <c r="M27" s="9"/>
      <c r="N27" s="9"/>
      <c r="O27" s="9"/>
      <c r="P27" s="9"/>
      <c r="Q27" s="9"/>
    </row>
    <row r="28" ht="14.25" customHeight="1">
      <c r="A28" s="9"/>
      <c r="B28" s="9"/>
      <c r="C28" s="9"/>
      <c r="D28" s="9"/>
      <c r="E28" s="9"/>
      <c r="F28" s="9"/>
      <c r="G28" s="9"/>
      <c r="H28" s="9"/>
      <c r="I28" s="9"/>
      <c r="J28" s="9"/>
      <c r="K28" s="9"/>
      <c r="L28" s="9"/>
      <c r="M28" s="9"/>
      <c r="N28" s="9"/>
      <c r="O28" s="9"/>
      <c r="P28" s="9"/>
      <c r="Q28" s="9"/>
    </row>
    <row r="29" ht="15.75" customHeight="1">
      <c r="A29" s="77"/>
      <c r="B29" s="77"/>
      <c r="C29" s="77"/>
      <c r="D29" s="77"/>
      <c r="E29" s="77"/>
      <c r="F29" s="77"/>
      <c r="G29" s="77"/>
      <c r="H29" s="77"/>
      <c r="I29" s="77"/>
      <c r="J29" s="77"/>
      <c r="K29" s="77"/>
      <c r="L29" s="77"/>
      <c r="M29" s="77"/>
      <c r="N29" s="77"/>
      <c r="O29" s="77"/>
      <c r="P29" s="77"/>
    </row>
    <row r="30" ht="15.75" customHeight="1">
      <c r="A30" s="77"/>
      <c r="B30" s="77"/>
      <c r="C30" s="77"/>
      <c r="D30" s="77"/>
      <c r="E30" s="77"/>
      <c r="F30" s="77"/>
      <c r="G30" s="77"/>
      <c r="H30" s="77"/>
      <c r="I30" s="77"/>
      <c r="J30" s="77"/>
      <c r="K30" s="77"/>
      <c r="L30" s="77"/>
      <c r="M30" s="77"/>
      <c r="N30" s="77"/>
      <c r="O30" s="77"/>
      <c r="P30" s="77"/>
    </row>
    <row r="31" ht="15.75" customHeight="1">
      <c r="A31" s="77"/>
      <c r="B31" s="77"/>
      <c r="C31" s="77"/>
      <c r="D31" s="77"/>
      <c r="E31" s="77"/>
      <c r="F31" s="77"/>
      <c r="G31" s="77"/>
      <c r="H31" s="77"/>
      <c r="I31" s="77"/>
      <c r="J31" s="77"/>
      <c r="K31" s="77"/>
      <c r="L31" s="77"/>
      <c r="M31" s="77"/>
      <c r="N31" s="77"/>
      <c r="O31" s="77"/>
      <c r="P31" s="77"/>
    </row>
    <row r="32" ht="15.75" customHeight="1">
      <c r="A32" s="77"/>
      <c r="B32" s="77"/>
      <c r="C32" s="77"/>
      <c r="D32" s="77"/>
      <c r="E32" s="77"/>
      <c r="F32" s="77"/>
      <c r="G32" s="77"/>
      <c r="H32" s="77"/>
      <c r="I32" s="77"/>
      <c r="J32" s="77"/>
      <c r="K32" s="77"/>
      <c r="L32" s="77"/>
      <c r="M32" s="77"/>
      <c r="N32" s="77"/>
      <c r="O32" s="77"/>
      <c r="P32" s="77"/>
    </row>
    <row r="33" ht="15.75" customHeight="1">
      <c r="A33" s="77"/>
      <c r="B33" s="77"/>
      <c r="C33" s="77"/>
      <c r="D33" s="77"/>
      <c r="E33" s="77"/>
      <c r="F33" s="77"/>
      <c r="G33" s="77"/>
      <c r="H33" s="77"/>
      <c r="I33" s="77"/>
      <c r="J33" s="77"/>
      <c r="K33" s="77"/>
      <c r="L33" s="77"/>
      <c r="M33" s="77"/>
      <c r="N33" s="77"/>
      <c r="O33" s="77"/>
      <c r="P33" s="77"/>
    </row>
    <row r="34" ht="15.75" customHeight="1">
      <c r="A34" s="77"/>
      <c r="B34" s="77"/>
      <c r="C34" s="77"/>
      <c r="D34" s="77"/>
      <c r="E34" s="77"/>
      <c r="F34" s="77"/>
      <c r="G34" s="77"/>
      <c r="H34" s="77"/>
      <c r="I34" s="77"/>
      <c r="J34" s="77"/>
      <c r="K34" s="77"/>
      <c r="L34" s="77"/>
      <c r="M34" s="77"/>
      <c r="N34" s="77"/>
      <c r="O34" s="77"/>
      <c r="P34" s="77"/>
    </row>
    <row r="35" ht="15.75" customHeight="1">
      <c r="A35" s="77"/>
      <c r="B35" s="77"/>
      <c r="C35" s="77"/>
      <c r="D35" s="77"/>
      <c r="E35" s="77"/>
      <c r="F35" s="77"/>
      <c r="G35" s="77"/>
      <c r="H35" s="77"/>
      <c r="I35" s="77"/>
      <c r="J35" s="77"/>
      <c r="K35" s="77"/>
      <c r="L35" s="77"/>
      <c r="M35" s="77"/>
      <c r="N35" s="77"/>
      <c r="O35" s="77"/>
      <c r="P35" s="77"/>
    </row>
    <row r="36" ht="15.75" customHeight="1">
      <c r="A36" s="77"/>
      <c r="B36" s="77"/>
      <c r="C36" s="77"/>
      <c r="D36" s="77"/>
      <c r="E36" s="77"/>
      <c r="F36" s="77"/>
      <c r="G36" s="77"/>
      <c r="H36" s="77"/>
      <c r="I36" s="77"/>
      <c r="J36" s="77"/>
      <c r="K36" s="77"/>
      <c r="L36" s="77"/>
      <c r="M36" s="77"/>
      <c r="N36" s="77"/>
      <c r="O36" s="77"/>
      <c r="P36" s="77"/>
    </row>
    <row r="37" ht="15.75" customHeight="1">
      <c r="A37" s="77"/>
      <c r="B37" s="77"/>
      <c r="C37" s="77"/>
      <c r="D37" s="77"/>
      <c r="E37" s="77"/>
      <c r="F37" s="77"/>
      <c r="G37" s="77"/>
      <c r="H37" s="77"/>
      <c r="I37" s="77"/>
      <c r="J37" s="77"/>
      <c r="K37" s="77"/>
      <c r="L37" s="77"/>
      <c r="M37" s="77"/>
      <c r="N37" s="77"/>
      <c r="O37" s="77"/>
      <c r="P37" s="77"/>
    </row>
    <row r="38" ht="15.75" customHeight="1">
      <c r="A38" s="77"/>
      <c r="B38" s="77"/>
      <c r="C38" s="77"/>
      <c r="D38" s="77"/>
      <c r="E38" s="77"/>
      <c r="F38" s="77"/>
      <c r="G38" s="77"/>
      <c r="H38" s="77"/>
      <c r="I38" s="77"/>
      <c r="J38" s="77"/>
      <c r="K38" s="77"/>
      <c r="L38" s="77"/>
      <c r="M38" s="77"/>
      <c r="N38" s="77"/>
      <c r="O38" s="77"/>
      <c r="P38" s="77"/>
    </row>
    <row r="39" ht="15.75" customHeight="1">
      <c r="A39" s="77"/>
      <c r="B39" s="77"/>
      <c r="C39" s="77"/>
      <c r="D39" s="77"/>
      <c r="E39" s="77"/>
      <c r="F39" s="77"/>
      <c r="G39" s="77"/>
      <c r="H39" s="77"/>
      <c r="I39" s="77"/>
      <c r="J39" s="77"/>
      <c r="K39" s="77"/>
      <c r="L39" s="77"/>
      <c r="M39" s="77"/>
      <c r="N39" s="77"/>
      <c r="O39" s="77"/>
      <c r="P39" s="77"/>
    </row>
    <row r="40" ht="15.75" customHeight="1">
      <c r="A40" s="77"/>
      <c r="B40" s="77"/>
      <c r="C40" s="77"/>
      <c r="D40" s="77"/>
      <c r="E40" s="77"/>
      <c r="F40" s="77"/>
      <c r="G40" s="77"/>
      <c r="H40" s="77"/>
      <c r="I40" s="77"/>
      <c r="J40" s="77"/>
      <c r="K40" s="77"/>
      <c r="L40" s="77"/>
      <c r="M40" s="77"/>
      <c r="N40" s="77"/>
      <c r="O40" s="77"/>
      <c r="P40" s="77"/>
    </row>
    <row r="41" ht="15.75" customHeight="1">
      <c r="A41" s="77"/>
      <c r="B41" s="77"/>
      <c r="C41" s="77"/>
      <c r="D41" s="77"/>
      <c r="E41" s="77"/>
      <c r="F41" s="77"/>
      <c r="G41" s="77"/>
      <c r="H41" s="77"/>
      <c r="I41" s="77"/>
      <c r="J41" s="77"/>
      <c r="K41" s="77"/>
      <c r="L41" s="77"/>
      <c r="M41" s="77"/>
      <c r="N41" s="77"/>
      <c r="O41" s="77"/>
      <c r="P41" s="77"/>
    </row>
    <row r="42" ht="15.75" customHeight="1">
      <c r="A42" s="77"/>
      <c r="B42" s="77"/>
      <c r="C42" s="77"/>
      <c r="D42" s="77"/>
      <c r="E42" s="77"/>
      <c r="F42" s="77"/>
      <c r="G42" s="77"/>
      <c r="H42" s="77"/>
      <c r="I42" s="77"/>
      <c r="J42" s="77"/>
      <c r="K42" s="77"/>
      <c r="L42" s="77"/>
      <c r="M42" s="77"/>
      <c r="N42" s="77"/>
      <c r="O42" s="77"/>
      <c r="P42" s="77"/>
    </row>
    <row r="43" ht="15.75" customHeight="1">
      <c r="A43" s="77"/>
      <c r="B43" s="77"/>
      <c r="C43" s="77"/>
      <c r="D43" s="77"/>
      <c r="E43" s="77"/>
      <c r="F43" s="77"/>
      <c r="G43" s="77"/>
      <c r="H43" s="77"/>
      <c r="I43" s="77"/>
      <c r="J43" s="77"/>
      <c r="K43" s="77"/>
      <c r="L43" s="77"/>
      <c r="M43" s="77"/>
      <c r="N43" s="77"/>
      <c r="O43" s="77"/>
      <c r="P43" s="77"/>
    </row>
    <row r="44" ht="15.75" customHeight="1">
      <c r="A44" s="77"/>
      <c r="B44" s="77"/>
      <c r="C44" s="77"/>
      <c r="D44" s="77"/>
      <c r="E44" s="77"/>
      <c r="F44" s="77"/>
      <c r="G44" s="77"/>
      <c r="H44" s="77"/>
      <c r="I44" s="77"/>
      <c r="J44" s="77"/>
      <c r="K44" s="77"/>
      <c r="L44" s="77"/>
      <c r="M44" s="77"/>
      <c r="N44" s="77"/>
      <c r="O44" s="77"/>
      <c r="P44" s="77"/>
    </row>
    <row r="45" ht="15.75" customHeight="1">
      <c r="A45" s="77"/>
      <c r="B45" s="77"/>
      <c r="C45" s="77"/>
      <c r="D45" s="77"/>
      <c r="E45" s="77"/>
      <c r="F45" s="77"/>
      <c r="G45" s="77"/>
      <c r="H45" s="77"/>
      <c r="I45" s="77"/>
      <c r="J45" s="77"/>
      <c r="K45" s="77"/>
      <c r="L45" s="77"/>
      <c r="M45" s="77"/>
      <c r="N45" s="77"/>
      <c r="O45" s="77"/>
      <c r="P45" s="77"/>
    </row>
    <row r="46" ht="15.75" customHeight="1">
      <c r="A46" s="77"/>
      <c r="B46" s="77"/>
      <c r="C46" s="77"/>
      <c r="D46" s="77"/>
      <c r="E46" s="77"/>
      <c r="F46" s="77"/>
      <c r="G46" s="77"/>
      <c r="H46" s="77"/>
      <c r="I46" s="77"/>
      <c r="J46" s="77"/>
      <c r="K46" s="77"/>
      <c r="L46" s="77"/>
      <c r="M46" s="77"/>
      <c r="N46" s="77"/>
      <c r="O46" s="77"/>
      <c r="P46" s="77"/>
    </row>
    <row r="47" ht="15.75" customHeight="1">
      <c r="A47" s="77"/>
      <c r="B47" s="77"/>
      <c r="C47" s="77"/>
      <c r="D47" s="77"/>
      <c r="E47" s="77"/>
      <c r="F47" s="77"/>
      <c r="G47" s="77"/>
      <c r="H47" s="77"/>
      <c r="I47" s="77"/>
      <c r="J47" s="77"/>
      <c r="K47" s="77"/>
      <c r="L47" s="77"/>
      <c r="M47" s="77"/>
      <c r="N47" s="77"/>
      <c r="O47" s="77"/>
      <c r="P47" s="77"/>
    </row>
    <row r="48" ht="15.75" customHeight="1">
      <c r="A48" s="77"/>
      <c r="B48" s="77"/>
      <c r="C48" s="77"/>
      <c r="D48" s="77"/>
      <c r="E48" s="77"/>
      <c r="F48" s="77"/>
      <c r="G48" s="77"/>
      <c r="H48" s="77"/>
      <c r="I48" s="77"/>
      <c r="J48" s="77"/>
      <c r="K48" s="77"/>
      <c r="L48" s="77"/>
      <c r="M48" s="77"/>
      <c r="N48" s="77"/>
      <c r="O48" s="77"/>
      <c r="P48" s="77"/>
    </row>
    <row r="49" ht="15.75" customHeight="1">
      <c r="A49" s="77"/>
      <c r="B49" s="77"/>
      <c r="C49" s="77"/>
      <c r="D49" s="77"/>
      <c r="E49" s="77"/>
      <c r="F49" s="77"/>
      <c r="G49" s="77"/>
      <c r="H49" s="77"/>
      <c r="I49" s="77"/>
      <c r="J49" s="77"/>
      <c r="K49" s="77"/>
      <c r="L49" s="77"/>
      <c r="M49" s="77"/>
      <c r="N49" s="77"/>
      <c r="O49" s="77"/>
      <c r="P49" s="77"/>
    </row>
    <row r="50" ht="15.75" customHeight="1">
      <c r="A50" s="77"/>
      <c r="B50" s="77"/>
      <c r="C50" s="77"/>
      <c r="D50" s="77"/>
      <c r="E50" s="77"/>
      <c r="F50" s="77"/>
      <c r="G50" s="77"/>
      <c r="H50" s="77"/>
      <c r="I50" s="77"/>
      <c r="J50" s="77"/>
      <c r="K50" s="77"/>
      <c r="L50" s="77"/>
      <c r="M50" s="77"/>
      <c r="N50" s="77"/>
      <c r="O50" s="77"/>
      <c r="P50" s="77"/>
    </row>
    <row r="51" ht="15.75" customHeight="1">
      <c r="A51" s="77"/>
      <c r="B51" s="77"/>
      <c r="C51" s="77"/>
      <c r="D51" s="77"/>
      <c r="E51" s="77"/>
      <c r="F51" s="77"/>
      <c r="G51" s="77"/>
      <c r="H51" s="77"/>
      <c r="I51" s="77"/>
      <c r="J51" s="77"/>
      <c r="K51" s="77"/>
      <c r="L51" s="77"/>
      <c r="M51" s="77"/>
      <c r="N51" s="77"/>
      <c r="O51" s="77"/>
      <c r="P51" s="77"/>
    </row>
    <row r="52" ht="15.75" customHeight="1">
      <c r="A52" s="77"/>
      <c r="B52" s="77"/>
      <c r="C52" s="77"/>
      <c r="D52" s="77"/>
      <c r="E52" s="77"/>
      <c r="F52" s="77"/>
      <c r="G52" s="77"/>
      <c r="H52" s="77"/>
      <c r="I52" s="77"/>
      <c r="J52" s="77"/>
      <c r="K52" s="77"/>
      <c r="L52" s="77"/>
      <c r="M52" s="77"/>
      <c r="N52" s="77"/>
      <c r="O52" s="77"/>
      <c r="P52" s="77"/>
    </row>
    <row r="53" ht="15.75" customHeight="1">
      <c r="A53" s="77"/>
      <c r="B53" s="77"/>
      <c r="C53" s="77"/>
      <c r="D53" s="77"/>
      <c r="E53" s="77"/>
      <c r="F53" s="77"/>
      <c r="G53" s="77"/>
      <c r="H53" s="77"/>
      <c r="I53" s="77"/>
      <c r="J53" s="77"/>
      <c r="K53" s="77"/>
      <c r="L53" s="77"/>
      <c r="M53" s="77"/>
      <c r="N53" s="77"/>
      <c r="O53" s="77"/>
      <c r="P53" s="77"/>
    </row>
    <row r="54" ht="15.75" customHeight="1">
      <c r="A54" s="77"/>
      <c r="B54" s="77"/>
      <c r="C54" s="77"/>
      <c r="D54" s="77"/>
      <c r="E54" s="77"/>
      <c r="F54" s="77"/>
      <c r="G54" s="77"/>
      <c r="H54" s="77"/>
      <c r="I54" s="77"/>
      <c r="J54" s="77"/>
      <c r="K54" s="77"/>
      <c r="L54" s="77"/>
      <c r="M54" s="77"/>
      <c r="N54" s="77"/>
      <c r="O54" s="77"/>
      <c r="P54" s="77"/>
    </row>
    <row r="55" ht="15.75" customHeight="1">
      <c r="A55" s="77"/>
      <c r="B55" s="77"/>
      <c r="C55" s="77"/>
      <c r="D55" s="77"/>
      <c r="E55" s="77"/>
      <c r="F55" s="77"/>
      <c r="G55" s="77"/>
      <c r="H55" s="77"/>
      <c r="I55" s="77"/>
      <c r="J55" s="77"/>
      <c r="K55" s="77"/>
      <c r="L55" s="77"/>
      <c r="M55" s="77"/>
      <c r="N55" s="77"/>
      <c r="O55" s="77"/>
      <c r="P55" s="77"/>
    </row>
    <row r="56" ht="15.75" customHeight="1">
      <c r="A56" s="77"/>
      <c r="B56" s="77"/>
      <c r="C56" s="77"/>
      <c r="D56" s="77"/>
      <c r="E56" s="77"/>
      <c r="F56" s="77"/>
      <c r="G56" s="77"/>
      <c r="H56" s="77"/>
      <c r="I56" s="77"/>
      <c r="J56" s="77"/>
      <c r="K56" s="77"/>
      <c r="L56" s="77"/>
      <c r="M56" s="77"/>
      <c r="N56" s="77"/>
      <c r="O56" s="77"/>
      <c r="P56" s="77"/>
    </row>
    <row r="57" ht="15.75" customHeight="1">
      <c r="A57" s="77"/>
      <c r="B57" s="77"/>
      <c r="C57" s="77"/>
      <c r="D57" s="77"/>
      <c r="E57" s="77"/>
      <c r="F57" s="77"/>
      <c r="G57" s="77"/>
      <c r="H57" s="77"/>
      <c r="I57" s="77"/>
      <c r="J57" s="77"/>
      <c r="K57" s="77"/>
      <c r="L57" s="77"/>
      <c r="M57" s="77"/>
      <c r="N57" s="77"/>
      <c r="O57" s="77"/>
      <c r="P57" s="77"/>
    </row>
    <row r="58" ht="15.75" customHeight="1">
      <c r="A58" s="77"/>
      <c r="B58" s="77"/>
      <c r="C58" s="77"/>
      <c r="D58" s="77"/>
      <c r="E58" s="77"/>
      <c r="F58" s="77"/>
      <c r="G58" s="77"/>
      <c r="H58" s="77"/>
      <c r="I58" s="77"/>
      <c r="J58" s="77"/>
      <c r="K58" s="77"/>
      <c r="L58" s="77"/>
      <c r="M58" s="77"/>
      <c r="N58" s="77"/>
      <c r="O58" s="77"/>
      <c r="P58" s="77"/>
    </row>
    <row r="59" ht="15.75" customHeight="1">
      <c r="A59" s="77"/>
      <c r="B59" s="77"/>
      <c r="C59" s="77"/>
      <c r="D59" s="77"/>
      <c r="E59" s="77"/>
      <c r="F59" s="77"/>
      <c r="G59" s="77"/>
      <c r="H59" s="77"/>
      <c r="I59" s="77"/>
      <c r="J59" s="77"/>
      <c r="K59" s="77"/>
      <c r="L59" s="77"/>
      <c r="M59" s="77"/>
      <c r="N59" s="77"/>
      <c r="O59" s="77"/>
      <c r="P59" s="77"/>
    </row>
    <row r="60" ht="15.75" customHeight="1">
      <c r="A60" s="77"/>
      <c r="B60" s="77"/>
      <c r="C60" s="77"/>
      <c r="D60" s="77"/>
      <c r="E60" s="77"/>
      <c r="F60" s="77"/>
      <c r="G60" s="77"/>
      <c r="H60" s="77"/>
      <c r="I60" s="77"/>
      <c r="J60" s="77"/>
      <c r="K60" s="77"/>
      <c r="L60" s="77"/>
      <c r="M60" s="77"/>
      <c r="N60" s="77"/>
      <c r="O60" s="77"/>
      <c r="P60" s="77"/>
    </row>
    <row r="61" ht="15.75" customHeight="1">
      <c r="A61" s="77"/>
      <c r="B61" s="77"/>
      <c r="C61" s="77"/>
      <c r="D61" s="77"/>
      <c r="E61" s="77"/>
      <c r="F61" s="77"/>
      <c r="G61" s="77"/>
      <c r="H61" s="77"/>
      <c r="I61" s="77"/>
      <c r="J61" s="77"/>
      <c r="K61" s="77"/>
      <c r="L61" s="77"/>
      <c r="M61" s="77"/>
      <c r="N61" s="77"/>
      <c r="O61" s="77"/>
      <c r="P61" s="77"/>
    </row>
    <row r="62" ht="15.75" customHeight="1">
      <c r="A62" s="77"/>
      <c r="B62" s="77"/>
      <c r="C62" s="77"/>
      <c r="D62" s="77"/>
      <c r="E62" s="77"/>
      <c r="F62" s="77"/>
      <c r="G62" s="77"/>
      <c r="H62" s="77"/>
      <c r="I62" s="77"/>
      <c r="J62" s="77"/>
      <c r="K62" s="77"/>
      <c r="L62" s="77"/>
      <c r="M62" s="77"/>
      <c r="N62" s="77"/>
      <c r="O62" s="77"/>
      <c r="P62" s="77"/>
    </row>
    <row r="63" ht="15.75" customHeight="1">
      <c r="A63" s="77"/>
      <c r="B63" s="77"/>
      <c r="C63" s="77"/>
      <c r="D63" s="77"/>
      <c r="E63" s="77"/>
      <c r="F63" s="77"/>
      <c r="G63" s="77"/>
      <c r="H63" s="77"/>
      <c r="I63" s="77"/>
      <c r="J63" s="77"/>
      <c r="K63" s="77"/>
      <c r="L63" s="77"/>
      <c r="M63" s="77"/>
      <c r="N63" s="77"/>
      <c r="O63" s="77"/>
      <c r="P63" s="77"/>
    </row>
    <row r="64" ht="15.75" customHeight="1">
      <c r="A64" s="77"/>
      <c r="B64" s="77"/>
      <c r="C64" s="77"/>
      <c r="D64" s="77"/>
      <c r="E64" s="77"/>
      <c r="F64" s="77"/>
      <c r="G64" s="77"/>
      <c r="H64" s="77"/>
      <c r="I64" s="77"/>
      <c r="J64" s="77"/>
      <c r="K64" s="77"/>
      <c r="L64" s="77"/>
      <c r="M64" s="77"/>
      <c r="N64" s="77"/>
      <c r="O64" s="77"/>
      <c r="P64" s="77"/>
    </row>
    <row r="65" ht="15.75" customHeight="1">
      <c r="A65" s="77"/>
      <c r="B65" s="77"/>
      <c r="C65" s="77"/>
      <c r="D65" s="77"/>
      <c r="E65" s="77"/>
      <c r="F65" s="77"/>
      <c r="G65" s="77"/>
      <c r="H65" s="77"/>
      <c r="I65" s="77"/>
      <c r="J65" s="77"/>
      <c r="K65" s="77"/>
      <c r="L65" s="77"/>
      <c r="M65" s="77"/>
      <c r="N65" s="77"/>
      <c r="O65" s="77"/>
      <c r="P65" s="77"/>
    </row>
    <row r="66" ht="15.75" customHeight="1">
      <c r="A66" s="77"/>
      <c r="B66" s="77"/>
      <c r="C66" s="77"/>
      <c r="D66" s="77"/>
      <c r="E66" s="77"/>
      <c r="F66" s="77"/>
      <c r="G66" s="77"/>
      <c r="H66" s="77"/>
      <c r="I66" s="77"/>
      <c r="J66" s="77"/>
      <c r="K66" s="77"/>
      <c r="L66" s="77"/>
      <c r="M66" s="77"/>
      <c r="N66" s="77"/>
      <c r="O66" s="77"/>
      <c r="P66" s="77"/>
    </row>
    <row r="67" ht="15.75" customHeight="1">
      <c r="A67" s="77"/>
      <c r="B67" s="77"/>
      <c r="C67" s="77"/>
      <c r="D67" s="77"/>
      <c r="E67" s="77"/>
      <c r="F67" s="77"/>
      <c r="G67" s="77"/>
      <c r="H67" s="77"/>
      <c r="I67" s="77"/>
      <c r="J67" s="77"/>
      <c r="K67" s="77"/>
      <c r="L67" s="77"/>
      <c r="M67" s="77"/>
      <c r="N67" s="77"/>
      <c r="O67" s="77"/>
      <c r="P67" s="77"/>
    </row>
    <row r="68" ht="15.75" customHeight="1">
      <c r="A68" s="77"/>
      <c r="B68" s="77"/>
      <c r="C68" s="77"/>
      <c r="D68" s="77"/>
      <c r="E68" s="77"/>
      <c r="F68" s="77"/>
      <c r="G68" s="77"/>
      <c r="H68" s="77"/>
      <c r="I68" s="77"/>
      <c r="J68" s="77"/>
      <c r="K68" s="77"/>
      <c r="L68" s="77"/>
      <c r="M68" s="77"/>
      <c r="N68" s="77"/>
      <c r="O68" s="77"/>
      <c r="P68" s="77"/>
    </row>
    <row r="69" ht="15.75" customHeight="1">
      <c r="A69" s="77"/>
      <c r="B69" s="77"/>
      <c r="C69" s="77"/>
      <c r="D69" s="77"/>
      <c r="E69" s="77"/>
      <c r="F69" s="77"/>
      <c r="G69" s="77"/>
      <c r="H69" s="77"/>
      <c r="I69" s="77"/>
      <c r="J69" s="77"/>
      <c r="K69" s="77"/>
      <c r="L69" s="77"/>
      <c r="M69" s="77"/>
      <c r="N69" s="77"/>
      <c r="O69" s="77"/>
      <c r="P69" s="77"/>
    </row>
    <row r="70" ht="15.75" customHeight="1">
      <c r="A70" s="77"/>
      <c r="B70" s="77"/>
      <c r="C70" s="77"/>
      <c r="D70" s="77"/>
      <c r="E70" s="77"/>
      <c r="F70" s="77"/>
      <c r="G70" s="77"/>
      <c r="H70" s="77"/>
      <c r="I70" s="77"/>
      <c r="J70" s="77"/>
      <c r="K70" s="77"/>
      <c r="L70" s="77"/>
      <c r="M70" s="77"/>
      <c r="N70" s="77"/>
      <c r="O70" s="77"/>
      <c r="P70" s="77"/>
    </row>
    <row r="71" ht="15.75" customHeight="1">
      <c r="A71" s="77"/>
      <c r="B71" s="77"/>
      <c r="C71" s="77"/>
      <c r="D71" s="77"/>
      <c r="E71" s="77"/>
      <c r="F71" s="77"/>
      <c r="G71" s="77"/>
      <c r="H71" s="77"/>
      <c r="I71" s="77"/>
      <c r="J71" s="77"/>
      <c r="K71" s="77"/>
      <c r="L71" s="77"/>
      <c r="M71" s="77"/>
      <c r="N71" s="77"/>
      <c r="O71" s="77"/>
      <c r="P71" s="77"/>
    </row>
    <row r="72" ht="15.75" customHeight="1">
      <c r="A72" s="77"/>
      <c r="B72" s="77"/>
      <c r="C72" s="77"/>
      <c r="D72" s="77"/>
      <c r="E72" s="77"/>
      <c r="F72" s="77"/>
      <c r="G72" s="77"/>
      <c r="H72" s="77"/>
      <c r="I72" s="77"/>
      <c r="J72" s="77"/>
      <c r="K72" s="77"/>
      <c r="L72" s="77"/>
      <c r="M72" s="77"/>
      <c r="N72" s="77"/>
      <c r="O72" s="77"/>
      <c r="P72" s="77"/>
    </row>
    <row r="73" ht="15.75" customHeight="1">
      <c r="A73" s="77"/>
      <c r="B73" s="77"/>
      <c r="C73" s="77"/>
      <c r="D73" s="77"/>
      <c r="E73" s="77"/>
      <c r="F73" s="77"/>
      <c r="G73" s="77"/>
      <c r="H73" s="77"/>
      <c r="I73" s="77"/>
      <c r="J73" s="77"/>
      <c r="K73" s="77"/>
      <c r="L73" s="77"/>
      <c r="M73" s="77"/>
      <c r="N73" s="77"/>
      <c r="O73" s="77"/>
      <c r="P73" s="77"/>
    </row>
    <row r="74" ht="15.75" customHeight="1">
      <c r="A74" s="77"/>
      <c r="B74" s="77"/>
      <c r="C74" s="77"/>
      <c r="D74" s="77"/>
      <c r="E74" s="77"/>
      <c r="F74" s="77"/>
      <c r="G74" s="77"/>
      <c r="H74" s="77"/>
      <c r="I74" s="77"/>
      <c r="J74" s="77"/>
      <c r="K74" s="77"/>
      <c r="L74" s="77"/>
      <c r="M74" s="77"/>
      <c r="N74" s="77"/>
      <c r="O74" s="77"/>
      <c r="P74" s="77"/>
    </row>
    <row r="75" ht="15.75" customHeight="1">
      <c r="A75" s="77"/>
      <c r="B75" s="77"/>
      <c r="C75" s="77"/>
      <c r="D75" s="77"/>
      <c r="E75" s="77"/>
      <c r="F75" s="77"/>
      <c r="G75" s="77"/>
      <c r="H75" s="77"/>
      <c r="I75" s="77"/>
      <c r="J75" s="77"/>
      <c r="K75" s="77"/>
      <c r="L75" s="77"/>
      <c r="M75" s="77"/>
      <c r="N75" s="77"/>
      <c r="O75" s="77"/>
      <c r="P75" s="77"/>
    </row>
    <row r="76" ht="15.75" customHeight="1">
      <c r="A76" s="77"/>
      <c r="B76" s="77"/>
      <c r="C76" s="77"/>
      <c r="D76" s="77"/>
      <c r="E76" s="77"/>
      <c r="F76" s="77"/>
      <c r="G76" s="77"/>
      <c r="H76" s="77"/>
      <c r="I76" s="77"/>
      <c r="J76" s="77"/>
      <c r="K76" s="77"/>
      <c r="L76" s="77"/>
      <c r="M76" s="77"/>
      <c r="N76" s="77"/>
      <c r="O76" s="77"/>
      <c r="P76" s="77"/>
    </row>
    <row r="77" ht="15.75" customHeight="1">
      <c r="A77" s="77"/>
      <c r="B77" s="77"/>
      <c r="C77" s="77"/>
      <c r="D77" s="77"/>
      <c r="E77" s="77"/>
      <c r="F77" s="77"/>
      <c r="G77" s="77"/>
      <c r="H77" s="77"/>
      <c r="I77" s="77"/>
      <c r="J77" s="77"/>
      <c r="K77" s="77"/>
      <c r="L77" s="77"/>
      <c r="M77" s="77"/>
      <c r="N77" s="77"/>
      <c r="O77" s="77"/>
      <c r="P77" s="77"/>
    </row>
    <row r="78" ht="15.75" customHeight="1">
      <c r="A78" s="77"/>
      <c r="B78" s="77"/>
      <c r="C78" s="77"/>
      <c r="D78" s="77"/>
      <c r="E78" s="77"/>
      <c r="F78" s="77"/>
      <c r="G78" s="77"/>
      <c r="H78" s="77"/>
      <c r="I78" s="77"/>
      <c r="J78" s="77"/>
      <c r="K78" s="77"/>
      <c r="L78" s="77"/>
      <c r="M78" s="77"/>
      <c r="N78" s="77"/>
      <c r="O78" s="77"/>
      <c r="P78" s="77"/>
    </row>
    <row r="79" ht="15.75" customHeight="1">
      <c r="A79" s="77"/>
      <c r="B79" s="77"/>
      <c r="C79" s="77"/>
      <c r="D79" s="77"/>
      <c r="E79" s="77"/>
      <c r="F79" s="77"/>
      <c r="G79" s="77"/>
      <c r="H79" s="77"/>
      <c r="I79" s="77"/>
      <c r="J79" s="77"/>
      <c r="K79" s="77"/>
      <c r="L79" s="77"/>
      <c r="M79" s="77"/>
      <c r="N79" s="77"/>
      <c r="O79" s="77"/>
      <c r="P79" s="77"/>
    </row>
    <row r="80" ht="15.75" customHeight="1">
      <c r="A80" s="77"/>
      <c r="B80" s="77"/>
      <c r="C80" s="77"/>
      <c r="D80" s="77"/>
      <c r="E80" s="77"/>
      <c r="F80" s="77"/>
      <c r="G80" s="77"/>
      <c r="H80" s="77"/>
      <c r="I80" s="77"/>
      <c r="J80" s="77"/>
      <c r="K80" s="77"/>
      <c r="L80" s="77"/>
      <c r="M80" s="77"/>
      <c r="N80" s="77"/>
      <c r="O80" s="77"/>
      <c r="P80" s="77"/>
    </row>
    <row r="81" ht="15.75" customHeight="1">
      <c r="A81" s="77"/>
      <c r="B81" s="77"/>
      <c r="C81" s="77"/>
      <c r="D81" s="77"/>
      <c r="E81" s="77"/>
      <c r="F81" s="77"/>
      <c r="G81" s="77"/>
      <c r="H81" s="77"/>
      <c r="I81" s="77"/>
      <c r="J81" s="77"/>
      <c r="K81" s="77"/>
      <c r="L81" s="77"/>
      <c r="M81" s="77"/>
      <c r="N81" s="77"/>
      <c r="O81" s="77"/>
      <c r="P81" s="77"/>
    </row>
    <row r="82" ht="15.75" customHeight="1">
      <c r="A82" s="77"/>
      <c r="B82" s="77"/>
      <c r="C82" s="77"/>
      <c r="D82" s="77"/>
      <c r="E82" s="77"/>
      <c r="F82" s="77"/>
      <c r="G82" s="77"/>
      <c r="H82" s="77"/>
      <c r="I82" s="77"/>
      <c r="J82" s="77"/>
      <c r="K82" s="77"/>
      <c r="L82" s="77"/>
      <c r="M82" s="77"/>
      <c r="N82" s="77"/>
      <c r="O82" s="77"/>
      <c r="P82" s="77"/>
    </row>
    <row r="83" ht="15.75" customHeight="1">
      <c r="A83" s="77"/>
      <c r="B83" s="77"/>
      <c r="C83" s="77"/>
      <c r="D83" s="77"/>
      <c r="E83" s="77"/>
      <c r="F83" s="77"/>
      <c r="G83" s="77"/>
      <c r="H83" s="77"/>
      <c r="I83" s="77"/>
      <c r="J83" s="77"/>
      <c r="K83" s="77"/>
      <c r="L83" s="77"/>
      <c r="M83" s="77"/>
      <c r="N83" s="77"/>
      <c r="O83" s="77"/>
      <c r="P83" s="77"/>
    </row>
    <row r="84" ht="15.75" customHeight="1">
      <c r="A84" s="77"/>
      <c r="B84" s="77"/>
      <c r="C84" s="77"/>
      <c r="D84" s="77"/>
      <c r="E84" s="77"/>
      <c r="F84" s="77"/>
      <c r="G84" s="77"/>
      <c r="H84" s="77"/>
      <c r="I84" s="77"/>
      <c r="J84" s="77"/>
      <c r="K84" s="77"/>
      <c r="L84" s="77"/>
      <c r="M84" s="77"/>
      <c r="N84" s="77"/>
      <c r="O84" s="77"/>
      <c r="P84" s="77"/>
    </row>
    <row r="85" ht="15.75" customHeight="1">
      <c r="A85" s="77"/>
      <c r="B85" s="77"/>
      <c r="C85" s="77"/>
      <c r="D85" s="77"/>
      <c r="E85" s="77"/>
      <c r="F85" s="77"/>
      <c r="G85" s="77"/>
      <c r="H85" s="77"/>
      <c r="I85" s="77"/>
      <c r="J85" s="77"/>
      <c r="K85" s="77"/>
      <c r="L85" s="77"/>
      <c r="M85" s="77"/>
      <c r="N85" s="77"/>
      <c r="O85" s="77"/>
      <c r="P85" s="77"/>
    </row>
    <row r="86" ht="15.75" customHeight="1">
      <c r="A86" s="77"/>
      <c r="B86" s="77"/>
      <c r="C86" s="77"/>
      <c r="D86" s="77"/>
      <c r="E86" s="77"/>
      <c r="F86" s="77"/>
      <c r="G86" s="77"/>
      <c r="H86" s="77"/>
      <c r="I86" s="77"/>
      <c r="J86" s="77"/>
      <c r="K86" s="77"/>
      <c r="L86" s="77"/>
      <c r="M86" s="77"/>
      <c r="N86" s="77"/>
      <c r="O86" s="77"/>
      <c r="P86" s="77"/>
    </row>
    <row r="87" ht="15.75" customHeight="1">
      <c r="A87" s="77"/>
      <c r="B87" s="77"/>
      <c r="C87" s="77"/>
      <c r="D87" s="77"/>
      <c r="E87" s="77"/>
      <c r="F87" s="77"/>
      <c r="G87" s="77"/>
      <c r="H87" s="77"/>
      <c r="I87" s="77"/>
      <c r="J87" s="77"/>
      <c r="K87" s="77"/>
      <c r="L87" s="77"/>
      <c r="M87" s="77"/>
      <c r="N87" s="77"/>
      <c r="O87" s="77"/>
      <c r="P87" s="77"/>
    </row>
    <row r="88" ht="15.75" customHeight="1">
      <c r="A88" s="77"/>
      <c r="B88" s="77"/>
      <c r="C88" s="77"/>
      <c r="D88" s="77"/>
      <c r="E88" s="77"/>
      <c r="F88" s="77"/>
      <c r="G88" s="77"/>
      <c r="H88" s="77"/>
      <c r="I88" s="77"/>
      <c r="J88" s="77"/>
      <c r="K88" s="77"/>
      <c r="L88" s="77"/>
      <c r="M88" s="77"/>
      <c r="N88" s="77"/>
      <c r="O88" s="77"/>
      <c r="P88" s="77"/>
    </row>
    <row r="89" ht="15.75" customHeight="1">
      <c r="A89" s="77"/>
      <c r="B89" s="77"/>
      <c r="C89" s="77"/>
      <c r="D89" s="77"/>
      <c r="E89" s="77"/>
      <c r="F89" s="77"/>
      <c r="G89" s="77"/>
      <c r="H89" s="77"/>
      <c r="I89" s="77"/>
      <c r="J89" s="77"/>
      <c r="K89" s="77"/>
      <c r="L89" s="77"/>
      <c r="M89" s="77"/>
      <c r="N89" s="77"/>
      <c r="O89" s="77"/>
      <c r="P89" s="77"/>
    </row>
    <row r="90" ht="15.75" customHeight="1">
      <c r="A90" s="77"/>
      <c r="B90" s="77"/>
      <c r="C90" s="77"/>
      <c r="D90" s="77"/>
      <c r="E90" s="77"/>
      <c r="F90" s="77"/>
      <c r="G90" s="77"/>
      <c r="H90" s="77"/>
      <c r="I90" s="77"/>
      <c r="J90" s="77"/>
      <c r="K90" s="77"/>
      <c r="L90" s="77"/>
      <c r="M90" s="77"/>
      <c r="N90" s="77"/>
      <c r="O90" s="77"/>
      <c r="P90" s="77"/>
    </row>
    <row r="91" ht="15.75" customHeight="1">
      <c r="A91" s="77"/>
      <c r="B91" s="77"/>
      <c r="C91" s="77"/>
      <c r="D91" s="77"/>
      <c r="E91" s="77"/>
      <c r="F91" s="77"/>
      <c r="G91" s="77"/>
      <c r="H91" s="77"/>
      <c r="I91" s="77"/>
      <c r="J91" s="77"/>
      <c r="K91" s="77"/>
      <c r="L91" s="77"/>
      <c r="M91" s="77"/>
      <c r="N91" s="77"/>
      <c r="O91" s="77"/>
      <c r="P91" s="77"/>
    </row>
    <row r="92" ht="15.75" customHeight="1">
      <c r="A92" s="77"/>
      <c r="B92" s="77"/>
      <c r="C92" s="77"/>
      <c r="D92" s="77"/>
      <c r="E92" s="77"/>
      <c r="F92" s="77"/>
      <c r="G92" s="77"/>
      <c r="H92" s="77"/>
      <c r="I92" s="77"/>
      <c r="J92" s="77"/>
      <c r="K92" s="77"/>
      <c r="L92" s="77"/>
      <c r="M92" s="77"/>
      <c r="N92" s="77"/>
      <c r="O92" s="77"/>
      <c r="P92" s="77"/>
    </row>
    <row r="93" ht="15.75" customHeight="1">
      <c r="A93" s="77"/>
      <c r="B93" s="77"/>
      <c r="C93" s="77"/>
      <c r="D93" s="77"/>
      <c r="E93" s="77"/>
      <c r="F93" s="77"/>
      <c r="G93" s="77"/>
      <c r="H93" s="77"/>
      <c r="I93" s="77"/>
      <c r="J93" s="77"/>
      <c r="K93" s="77"/>
      <c r="L93" s="77"/>
      <c r="M93" s="77"/>
      <c r="N93" s="77"/>
      <c r="O93" s="77"/>
      <c r="P93" s="77"/>
    </row>
    <row r="94" ht="15.75" customHeight="1">
      <c r="A94" s="77"/>
      <c r="B94" s="77"/>
      <c r="C94" s="77"/>
      <c r="D94" s="77"/>
      <c r="E94" s="77"/>
      <c r="F94" s="77"/>
      <c r="G94" s="77"/>
      <c r="H94" s="77"/>
      <c r="I94" s="77"/>
      <c r="J94" s="77"/>
      <c r="K94" s="77"/>
      <c r="L94" s="77"/>
      <c r="M94" s="77"/>
      <c r="N94" s="77"/>
      <c r="O94" s="77"/>
      <c r="P94" s="77"/>
    </row>
    <row r="95" ht="15.75" customHeight="1">
      <c r="A95" s="77"/>
      <c r="B95" s="77"/>
      <c r="C95" s="77"/>
      <c r="D95" s="77"/>
      <c r="E95" s="77"/>
      <c r="F95" s="77"/>
      <c r="G95" s="77"/>
      <c r="H95" s="77"/>
      <c r="I95" s="77"/>
      <c r="J95" s="77"/>
      <c r="K95" s="77"/>
      <c r="L95" s="77"/>
      <c r="M95" s="77"/>
      <c r="N95" s="77"/>
      <c r="O95" s="77"/>
      <c r="P95" s="77"/>
    </row>
    <row r="96" ht="15.75" customHeight="1">
      <c r="A96" s="77"/>
      <c r="B96" s="77"/>
      <c r="C96" s="77"/>
      <c r="D96" s="77"/>
      <c r="E96" s="77"/>
      <c r="F96" s="77"/>
      <c r="G96" s="77"/>
      <c r="H96" s="77"/>
      <c r="I96" s="77"/>
      <c r="J96" s="77"/>
      <c r="K96" s="77"/>
      <c r="L96" s="77"/>
      <c r="M96" s="77"/>
      <c r="N96" s="77"/>
      <c r="O96" s="77"/>
      <c r="P96" s="77"/>
    </row>
    <row r="97" ht="15.75" customHeight="1">
      <c r="A97" s="77"/>
      <c r="B97" s="77"/>
      <c r="C97" s="77"/>
      <c r="D97" s="77"/>
      <c r="E97" s="77"/>
      <c r="F97" s="77"/>
      <c r="G97" s="77"/>
      <c r="H97" s="77"/>
      <c r="I97" s="77"/>
      <c r="J97" s="77"/>
      <c r="K97" s="77"/>
      <c r="L97" s="77"/>
      <c r="M97" s="77"/>
      <c r="N97" s="77"/>
      <c r="O97" s="77"/>
      <c r="P97" s="77"/>
    </row>
    <row r="98" ht="15.75" customHeight="1">
      <c r="A98" s="77"/>
      <c r="B98" s="77"/>
      <c r="C98" s="77"/>
      <c r="D98" s="77"/>
      <c r="E98" s="77"/>
      <c r="F98" s="77"/>
      <c r="G98" s="77"/>
      <c r="H98" s="77"/>
      <c r="I98" s="77"/>
      <c r="J98" s="77"/>
      <c r="K98" s="77"/>
      <c r="L98" s="77"/>
      <c r="M98" s="77"/>
      <c r="N98" s="77"/>
      <c r="O98" s="77"/>
      <c r="P98" s="77"/>
    </row>
    <row r="99" ht="15.75" customHeight="1">
      <c r="A99" s="77"/>
      <c r="B99" s="77"/>
      <c r="C99" s="77"/>
      <c r="D99" s="77"/>
      <c r="E99" s="77"/>
      <c r="F99" s="77"/>
      <c r="G99" s="77"/>
      <c r="H99" s="77"/>
      <c r="I99" s="77"/>
      <c r="J99" s="77"/>
      <c r="K99" s="77"/>
      <c r="L99" s="77"/>
      <c r="M99" s="77"/>
      <c r="N99" s="77"/>
      <c r="O99" s="77"/>
      <c r="P99" s="77"/>
    </row>
    <row r="100" ht="15.75" customHeight="1">
      <c r="A100" s="77"/>
      <c r="B100" s="77"/>
      <c r="C100" s="77"/>
      <c r="D100" s="77"/>
      <c r="E100" s="77"/>
      <c r="F100" s="77"/>
      <c r="G100" s="77"/>
      <c r="H100" s="77"/>
      <c r="I100" s="77"/>
      <c r="J100" s="77"/>
      <c r="K100" s="77"/>
      <c r="L100" s="77"/>
      <c r="M100" s="77"/>
      <c r="N100" s="77"/>
      <c r="O100" s="77"/>
      <c r="P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7" width="8.88"/>
    <col customWidth="1" min="8" max="26" width="11.25"/>
  </cols>
  <sheetData>
    <row r="1" ht="37.5" customHeight="1">
      <c r="A1" s="2" t="str">
        <f>'Input sheet'!A1</f>
        <v>Novo Nordisk (NYSE:NVO)</v>
      </c>
      <c r="B1" s="2"/>
      <c r="C1" s="2" t="s">
        <v>57</v>
      </c>
      <c r="D1" s="2">
        <f>'Input sheet'!D1</f>
        <v>39.4</v>
      </c>
      <c r="E1" s="7"/>
      <c r="F1" s="7"/>
      <c r="G1" s="7"/>
    </row>
    <row r="2" ht="14.25" customHeight="1">
      <c r="A2" s="444" t="s">
        <v>586</v>
      </c>
      <c r="B2" s="444" t="inlineStr">
        <is>
          <t xml:space="preserve">Dec '17</t>
        </is>
      </c>
      <c r="C2" s="444" t="inlineStr">
        <is>
          <t xml:space="preserve">Dec '18</t>
        </is>
      </c>
      <c r="D2" s="444" t="inlineStr">
        <is>
          <t xml:space="preserve">Dec '19</t>
        </is>
      </c>
      <c r="E2" s="444" t="inlineStr">
        <is>
          <t xml:space="preserve">Dec '20</t>
        </is>
      </c>
      <c r="F2" s="444" t="inlineStr">
        <is>
          <t xml:space="preserve">Dec '21</t>
        </is>
      </c>
      <c r="G2" s="444" t="inlineStr">
        <is>
          <t xml:space="preserve">Dec '22</t>
        </is>
      </c>
      <c r="H2" t="inlineStr">
        <is>
          <t xml:space="preserve">Dec '23</t>
        </is>
      </c>
      <c r="I2" t="inlineStr">
        <is>
          <t xml:space="preserve">Dec '24</t>
        </is>
      </c>
      <c r="J2" t="inlineStr">
        <is>
          <t xml:space="preserve">Dec '25</t>
        </is>
      </c>
      <c r="K2" t="inlineStr">
        <is>
          <t xml:space="preserve">LTM jun-26 (aj.)</t>
        </is>
      </c>
    </row>
    <row r="3" ht="14.25" customHeight="1">
      <c r="A3" s="448" t="s">
        <v>588</v>
      </c>
      <c r="B3" s="455">
        <v>0.022</v>
      </c>
      <c r="C3" s="455">
        <v>0.0282</v>
      </c>
      <c r="D3" s="455">
        <v>0.0215</v>
      </c>
      <c r="E3" s="455">
        <v>0.0198</v>
      </c>
      <c r="F3" s="455">
        <v>0.0147</v>
      </c>
      <c r="G3" s="455">
        <v>0.013</v>
      </c>
      <c r="H3">
        <v>0.0132</v>
      </c>
      <c r="I3">
        <v>0.019</v>
      </c>
      <c r="J3">
        <v>0.0346</v>
      </c>
      <c r="K3">
        <f>K4/'Input sheet'!D1</f>
        <v>0.0463604060913706</v>
      </c>
    </row>
    <row r="4" ht="14.25" customHeight="1">
      <c r="A4" s="448" t="s">
        <v>589</v>
      </c>
      <c r="B4" s="449">
        <v>0.5949</v>
      </c>
      <c r="C4" s="449">
        <v>0.6451</v>
      </c>
      <c r="D4" s="449">
        <v>0.6259</v>
      </c>
      <c r="E4" s="449">
        <v>0.6961</v>
      </c>
      <c r="F4" s="449">
        <v>0.8265</v>
      </c>
      <c r="G4" s="449">
        <v>0.8756</v>
      </c>
      <c r="H4">
        <v>1.3638</v>
      </c>
      <c r="I4">
        <v>1.6539</v>
      </c>
      <c r="J4">
        <v>1.768</v>
      </c>
      <c r="K4">
        <v>1.8266</v>
      </c>
    </row>
    <row r="5" ht="14.25" customHeight="1">
      <c r="A5" s="448" t="s">
        <v>590</v>
      </c>
      <c r="B5" s="449">
        <v>0.5101</v>
      </c>
      <c r="C5" s="449">
        <v>0.5116</v>
      </c>
      <c r="D5" s="449">
        <v>0.5098</v>
      </c>
      <c r="E5" s="449">
        <v>0.5053</v>
      </c>
      <c r="F5" s="449">
        <v>0.5014</v>
      </c>
      <c r="G5" s="449">
        <v>0.5074</v>
      </c>
      <c r="H5">
        <v>0.5048</v>
      </c>
      <c r="I5">
        <v>0.5038</v>
      </c>
      <c r="J5">
        <v>0.508</v>
      </c>
      <c r="K5">
        <v>0.5174</v>
      </c>
    </row>
    <row r="6" ht="14.25" customHeight="1">
      <c r="A6" s="9"/>
      <c r="B6" s="9"/>
      <c r="C6" s="9"/>
      <c r="D6" s="9"/>
      <c r="E6" s="9"/>
      <c r="F6" s="9"/>
      <c r="G6" s="9"/>
    </row>
    <row r="7" ht="14.25" customHeight="1">
      <c r="A7" s="9"/>
      <c r="B7" s="9"/>
      <c r="C7" s="9"/>
      <c r="D7" s="9"/>
      <c r="E7" s="9"/>
      <c r="F7" s="9"/>
      <c r="G7" s="9"/>
    </row>
    <row r="8" ht="14.25" customHeight="1">
      <c r="A8" s="9"/>
      <c r="B8" s="9"/>
      <c r="C8" s="9"/>
      <c r="D8" s="9"/>
      <c r="E8" s="9"/>
      <c r="F8" s="9"/>
      <c r="G8" s="9"/>
    </row>
    <row r="9" ht="14.25" customHeight="1">
      <c r="A9" s="9"/>
      <c r="B9" s="9"/>
      <c r="C9" s="9"/>
      <c r="D9" s="9"/>
      <c r="E9" s="9"/>
      <c r="F9" s="9"/>
      <c r="G9" s="9"/>
    </row>
    <row r="10" ht="14.25" customHeight="1">
      <c r="A10" s="9"/>
      <c r="B10" s="9"/>
      <c r="C10" s="9"/>
      <c r="D10" s="9"/>
      <c r="E10" s="9"/>
      <c r="F10" s="9"/>
      <c r="G10" s="9"/>
    </row>
    <row r="11" ht="14.25" customHeight="1">
      <c r="A11" s="9"/>
      <c r="B11" s="9"/>
      <c r="C11" s="9"/>
      <c r="D11" s="9"/>
      <c r="E11" s="9"/>
      <c r="F11" s="9"/>
      <c r="G11" s="9"/>
    </row>
    <row r="12" ht="14.25" customHeight="1">
      <c r="A12" s="9"/>
      <c r="B12" s="9"/>
      <c r="C12" s="9"/>
      <c r="D12" s="9"/>
      <c r="E12" s="9"/>
      <c r="F12" s="9"/>
      <c r="G12" s="9"/>
    </row>
    <row r="13" ht="14.25" customHeight="1">
      <c r="A13" s="9"/>
      <c r="B13" s="9"/>
      <c r="C13" s="9"/>
      <c r="D13" s="9"/>
      <c r="E13" s="9"/>
      <c r="F13" s="9"/>
      <c r="G13" s="9"/>
    </row>
    <row r="14" ht="14.25" customHeight="1">
      <c r="A14" s="9"/>
      <c r="B14" s="9"/>
      <c r="C14" s="9"/>
      <c r="D14" s="9"/>
      <c r="E14" s="9"/>
      <c r="F14" s="9"/>
      <c r="G14" s="9"/>
    </row>
    <row r="15" ht="14.25" customHeight="1">
      <c r="A15" s="9"/>
      <c r="B15" s="9"/>
      <c r="C15" s="9"/>
      <c r="D15" s="9"/>
      <c r="E15" s="9"/>
      <c r="F15" s="9"/>
      <c r="G15" s="9"/>
    </row>
    <row r="16" ht="14.25" customHeight="1">
      <c r="A16" s="9"/>
      <c r="B16" s="9"/>
      <c r="C16" s="9"/>
      <c r="D16" s="9"/>
      <c r="E16" s="9"/>
      <c r="F16" s="9"/>
      <c r="G16" s="9"/>
    </row>
    <row r="17" ht="14.25" customHeight="1">
      <c r="A17" s="9"/>
      <c r="B17" s="9"/>
      <c r="C17" s="9"/>
      <c r="D17" s="9"/>
      <c r="E17" s="9"/>
      <c r="F17" s="9"/>
      <c r="G17" s="9"/>
    </row>
    <row r="18" ht="14.25" customHeight="1">
      <c r="A18" s="9"/>
      <c r="B18" s="9"/>
      <c r="C18" s="9"/>
      <c r="D18" s="9"/>
      <c r="E18" s="9"/>
      <c r="F18" s="9"/>
      <c r="G18" s="9"/>
    </row>
    <row r="19" ht="14.25" customHeight="1">
      <c r="A19" s="9"/>
      <c r="B19" s="9"/>
      <c r="C19" s="9"/>
      <c r="D19" s="9"/>
      <c r="E19" s="9"/>
      <c r="F19" s="9"/>
      <c r="G19" s="9"/>
    </row>
    <row r="20" ht="14.25" customHeight="1">
      <c r="A20" s="9"/>
      <c r="B20" s="9"/>
      <c r="C20" s="9"/>
      <c r="D20" s="9"/>
      <c r="E20" s="9"/>
      <c r="F20" s="9"/>
      <c r="G20" s="9"/>
    </row>
    <row r="21" ht="15.75" customHeight="1">
      <c r="A21" s="77"/>
      <c r="B21" s="77"/>
      <c r="C21" s="77"/>
      <c r="D21" s="77"/>
      <c r="E21" s="77"/>
      <c r="F21" s="77"/>
      <c r="G21" s="77"/>
    </row>
    <row r="22" ht="15.75" customHeight="1">
      <c r="A22" s="77"/>
      <c r="B22" s="77"/>
      <c r="C22" s="77"/>
      <c r="D22" s="77"/>
      <c r="E22" s="77"/>
      <c r="F22" s="77"/>
      <c r="G22" s="77"/>
    </row>
    <row r="23" ht="15.75" customHeight="1">
      <c r="A23" s="77"/>
      <c r="B23" s="77"/>
      <c r="C23" s="77"/>
      <c r="D23" s="77"/>
      <c r="E23" s="77"/>
      <c r="F23" s="77"/>
      <c r="G23" s="77"/>
    </row>
    <row r="24" ht="15.75" customHeight="1">
      <c r="A24" s="77"/>
      <c r="B24" s="77"/>
      <c r="C24" s="77"/>
      <c r="D24" s="77"/>
      <c r="E24" s="77"/>
      <c r="F24" s="77"/>
      <c r="G24" s="77"/>
    </row>
    <row r="25" ht="15.75" customHeight="1">
      <c r="A25" s="77"/>
      <c r="B25" s="77"/>
      <c r="C25" s="77"/>
      <c r="D25" s="77"/>
      <c r="E25" s="77"/>
      <c r="F25" s="77"/>
      <c r="G25" s="77"/>
    </row>
    <row r="26" ht="15.75" customHeight="1">
      <c r="A26" s="77"/>
      <c r="B26" s="77"/>
      <c r="C26" s="77"/>
      <c r="D26" s="77"/>
      <c r="E26" s="77"/>
      <c r="F26" s="77"/>
      <c r="G26" s="77"/>
    </row>
    <row r="27" ht="15.75" customHeight="1">
      <c r="A27" s="77"/>
      <c r="B27" s="77"/>
      <c r="C27" s="77"/>
      <c r="D27" s="77"/>
      <c r="E27" s="77"/>
      <c r="F27" s="77"/>
      <c r="G27" s="77"/>
    </row>
    <row r="28" ht="15.75" customHeight="1">
      <c r="A28" s="77"/>
      <c r="B28" s="77"/>
      <c r="C28" s="77"/>
      <c r="D28" s="77"/>
      <c r="E28" s="77"/>
      <c r="F28" s="77"/>
      <c r="G28" s="77"/>
    </row>
    <row r="29" ht="15.75" customHeight="1">
      <c r="A29" s="77"/>
      <c r="B29" s="77"/>
      <c r="C29" s="77"/>
      <c r="D29" s="77"/>
      <c r="E29" s="77"/>
      <c r="F29" s="77"/>
      <c r="G29" s="77"/>
    </row>
    <row r="30" ht="15.75" customHeight="1">
      <c r="A30" s="77"/>
      <c r="B30" s="77"/>
      <c r="C30" s="77"/>
      <c r="D30" s="77"/>
      <c r="E30" s="77"/>
      <c r="F30" s="77"/>
      <c r="G30" s="77"/>
    </row>
    <row r="31" ht="15.75" customHeight="1">
      <c r="A31" s="77"/>
      <c r="B31" s="77"/>
      <c r="C31" s="77"/>
      <c r="D31" s="77"/>
      <c r="E31" s="77"/>
      <c r="F31" s="77"/>
      <c r="G31" s="77"/>
    </row>
    <row r="32" ht="15.75" customHeight="1">
      <c r="A32" s="77"/>
      <c r="B32" s="77"/>
      <c r="C32" s="77"/>
      <c r="D32" s="77"/>
      <c r="E32" s="77"/>
      <c r="F32" s="77"/>
      <c r="G32" s="77"/>
    </row>
    <row r="33" ht="15.75" customHeight="1">
      <c r="A33" s="77"/>
      <c r="B33" s="77"/>
      <c r="C33" s="77"/>
      <c r="D33" s="77"/>
      <c r="E33" s="77"/>
      <c r="F33" s="77"/>
      <c r="G33" s="77"/>
    </row>
    <row r="34" ht="15.75" customHeight="1">
      <c r="A34" s="77"/>
      <c r="B34" s="77"/>
      <c r="C34" s="77"/>
      <c r="D34" s="77"/>
      <c r="E34" s="77"/>
      <c r="F34" s="77"/>
      <c r="G34" s="77"/>
    </row>
    <row r="35" ht="15.75" customHeight="1">
      <c r="A35" s="77"/>
      <c r="B35" s="77"/>
      <c r="C35" s="77"/>
      <c r="D35" s="77"/>
      <c r="E35" s="77"/>
      <c r="F35" s="77"/>
      <c r="G35" s="77"/>
    </row>
    <row r="36" ht="15.75" customHeight="1">
      <c r="A36" s="77"/>
      <c r="B36" s="77"/>
      <c r="C36" s="77"/>
      <c r="D36" s="77"/>
      <c r="E36" s="77"/>
      <c r="F36" s="77"/>
      <c r="G36" s="77"/>
    </row>
    <row r="37" ht="15.75" customHeight="1">
      <c r="A37" s="77"/>
      <c r="B37" s="77"/>
      <c r="C37" s="77"/>
      <c r="D37" s="77"/>
      <c r="E37" s="77"/>
      <c r="F37" s="77"/>
      <c r="G37" s="77"/>
    </row>
    <row r="38" ht="15.75" customHeight="1">
      <c r="A38" s="77"/>
      <c r="B38" s="77"/>
      <c r="C38" s="77"/>
      <c r="D38" s="77"/>
      <c r="E38" s="77"/>
      <c r="F38" s="77"/>
      <c r="G38" s="77"/>
    </row>
    <row r="39" ht="15.75" customHeight="1">
      <c r="A39" s="77"/>
      <c r="B39" s="77"/>
      <c r="C39" s="77"/>
      <c r="D39" s="77"/>
      <c r="E39" s="77"/>
      <c r="F39" s="77"/>
      <c r="G39" s="77"/>
    </row>
    <row r="40" ht="15.75" customHeight="1">
      <c r="A40" s="77"/>
      <c r="B40" s="77"/>
      <c r="C40" s="77"/>
      <c r="D40" s="77"/>
      <c r="E40" s="77"/>
      <c r="F40" s="77"/>
      <c r="G40" s="77"/>
    </row>
    <row r="41" ht="15.75" customHeight="1">
      <c r="A41" s="77"/>
      <c r="B41" s="77"/>
      <c r="C41" s="77"/>
      <c r="D41" s="77"/>
      <c r="E41" s="77"/>
      <c r="F41" s="77"/>
      <c r="G41" s="77"/>
    </row>
    <row r="42" ht="15.75" customHeight="1">
      <c r="A42" s="77"/>
      <c r="B42" s="77"/>
      <c r="C42" s="77"/>
      <c r="D42" s="77"/>
      <c r="E42" s="77"/>
      <c r="F42" s="77"/>
      <c r="G42" s="77"/>
    </row>
    <row r="43" ht="15.75" customHeight="1">
      <c r="A43" s="77"/>
      <c r="B43" s="77"/>
      <c r="C43" s="77"/>
      <c r="D43" s="77"/>
      <c r="E43" s="77"/>
      <c r="F43" s="77"/>
      <c r="G43" s="77"/>
    </row>
    <row r="44" ht="15.75" customHeight="1">
      <c r="A44" s="77"/>
      <c r="B44" s="77"/>
      <c r="C44" s="77"/>
      <c r="D44" s="77"/>
      <c r="E44" s="77"/>
      <c r="F44" s="77"/>
      <c r="G44" s="77"/>
    </row>
    <row r="45" ht="15.75" customHeight="1">
      <c r="A45" s="77"/>
      <c r="B45" s="77"/>
      <c r="C45" s="77"/>
      <c r="D45" s="77"/>
      <c r="E45" s="77"/>
      <c r="F45" s="77"/>
      <c r="G45" s="77"/>
    </row>
    <row r="46" ht="15.75" customHeight="1">
      <c r="A46" s="77"/>
      <c r="B46" s="77"/>
      <c r="C46" s="77"/>
      <c r="D46" s="77"/>
      <c r="E46" s="77"/>
      <c r="F46" s="77"/>
      <c r="G46" s="77"/>
    </row>
    <row r="47" ht="15.75" customHeight="1">
      <c r="A47" s="77"/>
      <c r="B47" s="77"/>
      <c r="C47" s="77"/>
      <c r="D47" s="77"/>
      <c r="E47" s="77"/>
      <c r="F47" s="77"/>
      <c r="G47" s="77"/>
    </row>
    <row r="48" ht="15.75" customHeight="1">
      <c r="A48" s="77"/>
      <c r="B48" s="77"/>
      <c r="C48" s="77"/>
      <c r="D48" s="77"/>
      <c r="E48" s="77"/>
      <c r="F48" s="77"/>
      <c r="G48" s="77"/>
    </row>
    <row r="49" ht="15.75" customHeight="1">
      <c r="A49" s="77"/>
      <c r="B49" s="77"/>
      <c r="C49" s="77"/>
      <c r="D49" s="77"/>
      <c r="E49" s="77"/>
      <c r="F49" s="77"/>
      <c r="G49" s="77"/>
    </row>
    <row r="50" ht="15.75" customHeight="1">
      <c r="A50" s="77"/>
      <c r="B50" s="77"/>
      <c r="C50" s="77"/>
      <c r="D50" s="77"/>
      <c r="E50" s="77"/>
      <c r="F50" s="77"/>
      <c r="G50" s="77"/>
    </row>
    <row r="51" ht="15.75" customHeight="1">
      <c r="A51" s="77"/>
      <c r="B51" s="77"/>
      <c r="C51" s="77"/>
      <c r="D51" s="77"/>
      <c r="E51" s="77"/>
      <c r="F51" s="77"/>
      <c r="G51" s="77"/>
    </row>
    <row r="52" ht="15.75" customHeight="1">
      <c r="A52" s="77"/>
      <c r="B52" s="77"/>
      <c r="C52" s="77"/>
      <c r="D52" s="77"/>
      <c r="E52" s="77"/>
      <c r="F52" s="77"/>
      <c r="G52" s="77"/>
    </row>
    <row r="53" ht="15.75" customHeight="1">
      <c r="A53" s="77"/>
      <c r="B53" s="77"/>
      <c r="C53" s="77"/>
      <c r="D53" s="77"/>
      <c r="E53" s="77"/>
      <c r="F53" s="77"/>
      <c r="G53" s="77"/>
    </row>
    <row r="54" ht="15.75" customHeight="1">
      <c r="A54" s="77"/>
      <c r="B54" s="77"/>
      <c r="C54" s="77"/>
      <c r="D54" s="77"/>
      <c r="E54" s="77"/>
      <c r="F54" s="77"/>
      <c r="G54" s="77"/>
    </row>
    <row r="55" ht="15.75" customHeight="1">
      <c r="A55" s="77"/>
      <c r="B55" s="77"/>
      <c r="C55" s="77"/>
      <c r="D55" s="77"/>
      <c r="E55" s="77"/>
      <c r="F55" s="77"/>
      <c r="G55" s="77"/>
    </row>
    <row r="56" ht="15.75" customHeight="1">
      <c r="A56" s="77"/>
      <c r="B56" s="77"/>
      <c r="C56" s="77"/>
      <c r="D56" s="77"/>
      <c r="E56" s="77"/>
      <c r="F56" s="77"/>
      <c r="G56" s="77"/>
    </row>
    <row r="57" ht="15.75" customHeight="1">
      <c r="A57" s="77"/>
      <c r="B57" s="77"/>
      <c r="C57" s="77"/>
      <c r="D57" s="77"/>
      <c r="E57" s="77"/>
      <c r="F57" s="77"/>
      <c r="G57" s="77"/>
    </row>
    <row r="58" ht="15.75" customHeight="1">
      <c r="A58" s="77"/>
      <c r="B58" s="77"/>
      <c r="C58" s="77"/>
      <c r="D58" s="77"/>
      <c r="E58" s="77"/>
      <c r="F58" s="77"/>
      <c r="G58" s="77"/>
    </row>
    <row r="59" ht="15.75" customHeight="1">
      <c r="A59" s="77"/>
      <c r="B59" s="77"/>
      <c r="C59" s="77"/>
      <c r="D59" s="77"/>
      <c r="E59" s="77"/>
      <c r="F59" s="77"/>
      <c r="G59" s="77"/>
    </row>
    <row r="60" ht="15.75" customHeight="1">
      <c r="A60" s="77"/>
      <c r="B60" s="77"/>
      <c r="C60" s="77"/>
      <c r="D60" s="77"/>
      <c r="E60" s="77"/>
      <c r="F60" s="77"/>
      <c r="G60" s="77"/>
    </row>
    <row r="61" ht="15.75" customHeight="1">
      <c r="A61" s="77"/>
      <c r="B61" s="77"/>
      <c r="C61" s="77"/>
      <c r="D61" s="77"/>
      <c r="E61" s="77"/>
      <c r="F61" s="77"/>
      <c r="G61" s="77"/>
    </row>
    <row r="62" ht="15.75" customHeight="1">
      <c r="A62" s="77"/>
      <c r="B62" s="77"/>
      <c r="C62" s="77"/>
      <c r="D62" s="77"/>
      <c r="E62" s="77"/>
      <c r="F62" s="77"/>
      <c r="G62" s="77"/>
    </row>
    <row r="63" ht="15.75" customHeight="1">
      <c r="A63" s="77"/>
      <c r="B63" s="77"/>
      <c r="C63" s="77"/>
      <c r="D63" s="77"/>
      <c r="E63" s="77"/>
      <c r="F63" s="77"/>
      <c r="G63" s="77"/>
    </row>
    <row r="64" ht="15.75" customHeight="1">
      <c r="A64" s="77"/>
      <c r="B64" s="77"/>
      <c r="C64" s="77"/>
      <c r="D64" s="77"/>
      <c r="E64" s="77"/>
      <c r="F64" s="77"/>
      <c r="G64" s="77"/>
    </row>
    <row r="65" ht="15.75" customHeight="1">
      <c r="A65" s="77"/>
      <c r="B65" s="77"/>
      <c r="C65" s="77"/>
      <c r="D65" s="77"/>
      <c r="E65" s="77"/>
      <c r="F65" s="77"/>
      <c r="G65" s="77"/>
    </row>
    <row r="66" ht="15.75" customHeight="1">
      <c r="A66" s="77"/>
      <c r="B66" s="77"/>
      <c r="C66" s="77"/>
      <c r="D66" s="77"/>
      <c r="E66" s="77"/>
      <c r="F66" s="77"/>
      <c r="G66" s="77"/>
    </row>
    <row r="67" ht="15.75" customHeight="1">
      <c r="A67" s="77"/>
      <c r="B67" s="77"/>
      <c r="C67" s="77"/>
      <c r="D67" s="77"/>
      <c r="E67" s="77"/>
      <c r="F67" s="77"/>
      <c r="G67" s="77"/>
    </row>
    <row r="68" ht="15.75" customHeight="1">
      <c r="A68" s="77"/>
      <c r="B68" s="77"/>
      <c r="C68" s="77"/>
      <c r="D68" s="77"/>
      <c r="E68" s="77"/>
      <c r="F68" s="77"/>
      <c r="G68" s="77"/>
    </row>
    <row r="69" ht="15.75" customHeight="1">
      <c r="A69" s="77"/>
      <c r="B69" s="77"/>
      <c r="C69" s="77"/>
      <c r="D69" s="77"/>
      <c r="E69" s="77"/>
      <c r="F69" s="77"/>
      <c r="G69" s="77"/>
    </row>
    <row r="70" ht="15.75" customHeight="1">
      <c r="A70" s="77"/>
      <c r="B70" s="77"/>
      <c r="C70" s="77"/>
      <c r="D70" s="77"/>
      <c r="E70" s="77"/>
      <c r="F70" s="77"/>
      <c r="G70" s="77"/>
    </row>
    <row r="71" ht="15.75" customHeight="1">
      <c r="A71" s="77"/>
      <c r="B71" s="77"/>
      <c r="C71" s="77"/>
      <c r="D71" s="77"/>
      <c r="E71" s="77"/>
      <c r="F71" s="77"/>
      <c r="G71" s="77"/>
    </row>
    <row r="72" ht="15.75" customHeight="1">
      <c r="A72" s="77"/>
      <c r="B72" s="77"/>
      <c r="C72" s="77"/>
      <c r="D72" s="77"/>
      <c r="E72" s="77"/>
      <c r="F72" s="77"/>
      <c r="G72" s="77"/>
    </row>
    <row r="73" ht="15.75" customHeight="1">
      <c r="A73" s="77"/>
      <c r="B73" s="77"/>
      <c r="C73" s="77"/>
      <c r="D73" s="77"/>
      <c r="E73" s="77"/>
      <c r="F73" s="77"/>
      <c r="G73" s="77"/>
    </row>
    <row r="74" ht="15.75" customHeight="1">
      <c r="A74" s="77"/>
      <c r="B74" s="77"/>
      <c r="C74" s="77"/>
      <c r="D74" s="77"/>
      <c r="E74" s="77"/>
      <c r="F74" s="77"/>
      <c r="G74" s="77"/>
    </row>
    <row r="75" ht="15.75" customHeight="1">
      <c r="A75" s="77"/>
      <c r="B75" s="77"/>
      <c r="C75" s="77"/>
      <c r="D75" s="77"/>
      <c r="E75" s="77"/>
      <c r="F75" s="77"/>
      <c r="G75" s="77"/>
    </row>
    <row r="76" ht="15.75" customHeight="1">
      <c r="A76" s="77"/>
      <c r="B76" s="77"/>
      <c r="C76" s="77"/>
      <c r="D76" s="77"/>
      <c r="E76" s="77"/>
      <c r="F76" s="77"/>
      <c r="G76" s="77"/>
    </row>
    <row r="77" ht="15.75" customHeight="1">
      <c r="A77" s="77"/>
      <c r="B77" s="77"/>
      <c r="C77" s="77"/>
      <c r="D77" s="77"/>
      <c r="E77" s="77"/>
      <c r="F77" s="77"/>
      <c r="G77" s="77"/>
    </row>
    <row r="78" ht="15.75" customHeight="1">
      <c r="A78" s="77"/>
      <c r="B78" s="77"/>
      <c r="C78" s="77"/>
      <c r="D78" s="77"/>
      <c r="E78" s="77"/>
      <c r="F78" s="77"/>
      <c r="G78" s="77"/>
    </row>
    <row r="79" ht="15.75" customHeight="1">
      <c r="A79" s="77"/>
      <c r="B79" s="77"/>
      <c r="C79" s="77"/>
      <c r="D79" s="77"/>
      <c r="E79" s="77"/>
      <c r="F79" s="77"/>
      <c r="G79" s="77"/>
    </row>
    <row r="80" ht="15.75" customHeight="1">
      <c r="A80" s="77"/>
      <c r="B80" s="77"/>
      <c r="C80" s="77"/>
      <c r="D80" s="77"/>
      <c r="E80" s="77"/>
      <c r="F80" s="77"/>
      <c r="G80" s="77"/>
    </row>
    <row r="81" ht="15.75" customHeight="1">
      <c r="A81" s="77"/>
      <c r="B81" s="77"/>
      <c r="C81" s="77"/>
      <c r="D81" s="77"/>
      <c r="E81" s="77"/>
      <c r="F81" s="77"/>
      <c r="G81" s="77"/>
    </row>
    <row r="82" ht="15.75" customHeight="1">
      <c r="A82" s="77"/>
      <c r="B82" s="77"/>
      <c r="C82" s="77"/>
      <c r="D82" s="77"/>
      <c r="E82" s="77"/>
      <c r="F82" s="77"/>
      <c r="G82" s="77"/>
    </row>
    <row r="83" ht="15.75" customHeight="1">
      <c r="A83" s="77"/>
      <c r="B83" s="77"/>
      <c r="C83" s="77"/>
      <c r="D83" s="77"/>
      <c r="E83" s="77"/>
      <c r="F83" s="77"/>
      <c r="G83" s="77"/>
    </row>
    <row r="84" ht="15.75" customHeight="1">
      <c r="A84" s="77"/>
      <c r="B84" s="77"/>
      <c r="C84" s="77"/>
      <c r="D84" s="77"/>
      <c r="E84" s="77"/>
      <c r="F84" s="77"/>
      <c r="G84" s="77"/>
    </row>
    <row r="85" ht="15.75" customHeight="1">
      <c r="A85" s="77"/>
      <c r="B85" s="77"/>
      <c r="C85" s="77"/>
      <c r="D85" s="77"/>
      <c r="E85" s="77"/>
      <c r="F85" s="77"/>
      <c r="G85" s="77"/>
    </row>
    <row r="86" ht="15.75" customHeight="1">
      <c r="A86" s="77"/>
      <c r="B86" s="77"/>
      <c r="C86" s="77"/>
      <c r="D86" s="77"/>
      <c r="E86" s="77"/>
      <c r="F86" s="77"/>
      <c r="G86" s="77"/>
    </row>
    <row r="87" ht="15.75" customHeight="1">
      <c r="A87" s="77"/>
      <c r="B87" s="77"/>
      <c r="C87" s="77"/>
      <c r="D87" s="77"/>
      <c r="E87" s="77"/>
      <c r="F87" s="77"/>
      <c r="G87" s="77"/>
    </row>
    <row r="88" ht="15.75" customHeight="1">
      <c r="A88" s="77"/>
      <c r="B88" s="77"/>
      <c r="C88" s="77"/>
      <c r="D88" s="77"/>
      <c r="E88" s="77"/>
      <c r="F88" s="77"/>
      <c r="G88" s="77"/>
    </row>
    <row r="89" ht="15.75" customHeight="1">
      <c r="A89" s="77"/>
      <c r="B89" s="77"/>
      <c r="C89" s="77"/>
      <c r="D89" s="77"/>
      <c r="E89" s="77"/>
      <c r="F89" s="77"/>
      <c r="G89" s="77"/>
    </row>
    <row r="90" ht="15.75" customHeight="1">
      <c r="A90" s="77"/>
      <c r="B90" s="77"/>
      <c r="C90" s="77"/>
      <c r="D90" s="77"/>
      <c r="E90" s="77"/>
      <c r="F90" s="77"/>
      <c r="G90" s="77"/>
    </row>
    <row r="91" ht="15.75" customHeight="1">
      <c r="A91" s="77"/>
      <c r="B91" s="77"/>
      <c r="C91" s="77"/>
      <c r="D91" s="77"/>
      <c r="E91" s="77"/>
      <c r="F91" s="77"/>
      <c r="G91" s="77"/>
    </row>
    <row r="92" ht="15.75" customHeight="1">
      <c r="A92" s="77"/>
      <c r="B92" s="77"/>
      <c r="C92" s="77"/>
      <c r="D92" s="77"/>
      <c r="E92" s="77"/>
      <c r="F92" s="77"/>
      <c r="G92" s="77"/>
    </row>
    <row r="93" ht="15.75" customHeight="1">
      <c r="A93" s="77"/>
      <c r="B93" s="77"/>
      <c r="C93" s="77"/>
      <c r="D93" s="77"/>
      <c r="E93" s="77"/>
      <c r="F93" s="77"/>
      <c r="G93" s="77"/>
    </row>
    <row r="94" ht="15.75" customHeight="1">
      <c r="A94" s="77"/>
      <c r="B94" s="77"/>
      <c r="C94" s="77"/>
      <c r="D94" s="77"/>
      <c r="E94" s="77"/>
      <c r="F94" s="77"/>
      <c r="G94" s="77"/>
    </row>
    <row r="95" ht="15.75" customHeight="1">
      <c r="A95" s="77"/>
      <c r="B95" s="77"/>
      <c r="C95" s="77"/>
      <c r="D95" s="77"/>
      <c r="E95" s="77"/>
      <c r="F95" s="77"/>
      <c r="G95" s="77"/>
    </row>
    <row r="96" ht="15.75" customHeight="1">
      <c r="A96" s="77"/>
      <c r="B96" s="77"/>
      <c r="C96" s="77"/>
      <c r="D96" s="77"/>
      <c r="E96" s="77"/>
      <c r="F96" s="77"/>
      <c r="G96" s="77"/>
    </row>
    <row r="97" ht="15.75" customHeight="1">
      <c r="A97" s="77"/>
      <c r="B97" s="77"/>
      <c r="C97" s="77"/>
      <c r="D97" s="77"/>
      <c r="E97" s="77"/>
      <c r="F97" s="77"/>
      <c r="G97" s="77"/>
    </row>
    <row r="98" ht="15.75" customHeight="1">
      <c r="A98" s="77"/>
      <c r="B98" s="77"/>
      <c r="C98" s="77"/>
      <c r="D98" s="77"/>
      <c r="E98" s="77"/>
      <c r="F98" s="77"/>
      <c r="G98" s="77"/>
    </row>
    <row r="99" ht="15.75" customHeight="1">
      <c r="A99" s="77"/>
      <c r="B99" s="77"/>
      <c r="C99" s="77"/>
      <c r="D99" s="77"/>
      <c r="E99" s="77"/>
      <c r="F99" s="77"/>
      <c r="G99" s="77"/>
    </row>
    <row r="100" ht="15.75" customHeight="1">
      <c r="A100" s="77"/>
      <c r="B100" s="77"/>
      <c r="C100" s="77"/>
      <c r="D100" s="77"/>
      <c r="E100" s="77"/>
      <c r="F100" s="77"/>
      <c r="G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15" width="8.88"/>
    <col customWidth="1" min="16" max="26" width="11.25"/>
  </cols>
  <sheetData>
    <row r="1" ht="37.5" customHeight="1">
      <c r="A1" s="2" t="str">
        <f>'Input sheet'!A1</f>
        <v>Novo Nordisk (NYSE:NVO)</v>
      </c>
      <c r="B1" s="2"/>
      <c r="C1" s="2" t="s">
        <v>57</v>
      </c>
      <c r="D1" s="2">
        <f>'Input sheet'!D1</f>
        <v>39.4</v>
      </c>
      <c r="E1" s="7"/>
      <c r="F1" s="7"/>
      <c r="G1" s="7"/>
      <c r="H1" s="7"/>
      <c r="I1" s="7"/>
      <c r="J1" s="7"/>
      <c r="K1" s="7"/>
      <c r="L1" s="7"/>
      <c r="M1" s="7"/>
      <c r="N1" s="7"/>
      <c r="O1" s="7"/>
    </row>
    <row r="2" ht="14.25" customHeight="1">
      <c r="A2" s="444" t="s">
        <v>594</v>
      </c>
      <c r="B2" s="444" t="s">
        <v>463</v>
      </c>
      <c r="C2" s="444" t="s">
        <v>464</v>
      </c>
      <c r="D2" s="444" t="s">
        <v>465</v>
      </c>
      <c r="E2" s="444" t="s">
        <v>466</v>
      </c>
      <c r="F2" s="444" t="s">
        <v>467</v>
      </c>
      <c r="G2" s="444" t="s">
        <v>468</v>
      </c>
      <c r="H2" s="444" t="s">
        <v>63</v>
      </c>
      <c r="I2" s="444" t="s">
        <v>64</v>
      </c>
      <c r="J2" s="444" t="s">
        <v>65</v>
      </c>
      <c r="K2" s="444" t="s">
        <v>66</v>
      </c>
      <c r="L2" s="9" t="s">
        <v>391</v>
      </c>
      <c r="M2" s="9"/>
      <c r="N2" s="9"/>
      <c r="O2" s="9"/>
    </row>
    <row r="3" ht="14.25" customHeight="1">
      <c r="A3" s="448" t="s">
        <v>490</v>
      </c>
      <c r="B3" s="467">
        <f>IFERROR('Income Statement'!B7,"")</f>
        <v>0.8463</v>
      </c>
      <c r="C3" s="467">
        <f>IFERROR('Income Statement'!C7,"")</f>
        <v>0.8421</v>
      </c>
      <c r="D3" s="467">
        <f>IFERROR('Income Statement'!D7,"")</f>
        <v>0.8425</v>
      </c>
      <c r="E3" s="467">
        <f>IFERROR('Income Statement'!E7,"")</f>
        <v>0.8354</v>
      </c>
      <c r="F3" s="467">
        <f>IFERROR('Income Statement'!F7,"")</f>
        <v>0.8351</v>
      </c>
      <c r="G3" s="467">
        <f>IFERROR('Income Statement'!G7,"")</f>
        <v>0.832</v>
      </c>
      <c r="H3" s="467">
        <f>IFERROR('Income Statement'!H7,"")</f>
        <v>0.8392</v>
      </c>
      <c r="I3" s="467">
        <f>IFERROR('Income Statement'!I7,"")</f>
        <v>0.846</v>
      </c>
      <c r="J3" s="467">
        <f>IFERROR('Income Statement'!J7,"")</f>
        <v>0.8467</v>
      </c>
      <c r="K3" s="467">
        <f>IFERROR('Income Statement'!K7,"")</f>
        <v>0.8098</v>
      </c>
      <c r="L3" s="468">
        <f>IFERROR('Income Statement'!L7,"")</f>
        <v>0.7894</v>
      </c>
      <c r="M3" s="9"/>
      <c r="N3" s="9"/>
      <c r="O3" s="9"/>
    </row>
    <row r="4" ht="14.25" customHeight="1">
      <c r="A4" s="448" t="s">
        <v>521</v>
      </c>
      <c r="B4" s="467">
        <f>IFERROR('Income Statement'!B13,"")</f>
        <v>0.4333</v>
      </c>
      <c r="C4" s="467">
        <f>IFERROR('Income Statement'!C13,"")</f>
        <v>0.4384</v>
      </c>
      <c r="D4" s="467">
        <f>IFERROR('Income Statement'!D13,"")</f>
        <v>0.4225</v>
      </c>
      <c r="E4" s="467">
        <f>IFERROR('Income Statement'!E13,"")</f>
        <v>0.4301</v>
      </c>
      <c r="F4" s="467">
        <f>IFERROR('Income Statement'!F13,"")</f>
        <v>0.4264</v>
      </c>
      <c r="G4" s="467">
        <f>IFERROR('Income Statement'!G13,"")</f>
        <v>0.4165</v>
      </c>
      <c r="H4" s="467">
        <f>IFERROR('Income Statement'!H13,"")</f>
        <v>0.4228</v>
      </c>
      <c r="I4" s="467">
        <f>IFERROR('Income Statement'!I13,"")</f>
        <v>0.4416</v>
      </c>
      <c r="J4" s="467">
        <f>IFERROR('Income Statement'!J13,"")</f>
        <v>0.4419</v>
      </c>
      <c r="K4" s="467">
        <f>IFERROR('Income Statement'!K13,"")</f>
        <v>0.413</v>
      </c>
      <c r="L4" s="468">
        <f>IFERROR('Income Statement'!L13,"")</f>
        <v>0.402</v>
      </c>
      <c r="M4" s="9"/>
      <c r="N4" s="9"/>
      <c r="O4" s="9"/>
    </row>
    <row r="5" ht="14.25" customHeight="1">
      <c r="A5" s="448" t="s">
        <v>458</v>
      </c>
      <c r="B5" s="467">
        <f>IFERROR('Income Statement'!B30,"")</f>
        <v>0.461845503639352</v>
      </c>
      <c r="C5" s="467">
        <f>IFERROR('Income Statement'!C30,"")</f>
        <v>0.466880512284308</v>
      </c>
      <c r="D5" s="467">
        <f>IFERROR('Income Statement'!D30,"")</f>
        <v>0.457590256633319</v>
      </c>
      <c r="E5" s="467">
        <f>IFERROR('Income Statement'!E30,"")</f>
        <v>0.476507792470467</v>
      </c>
      <c r="F5" s="467">
        <f>IFERROR('Income Statement'!F30,"")</f>
        <v>0.471691021244606</v>
      </c>
      <c r="G5" s="467">
        <f>IFERROR('Income Statement'!G30,"")</f>
        <v>0.459294609702803</v>
      </c>
      <c r="H5" s="467">
        <f>IFERROR('Income Statement'!H30,"")</f>
        <v>0.464362885541879</v>
      </c>
      <c r="I5" s="467">
        <f>IFERROR('Income Statement'!I30,"")</f>
        <v>0.482160397655612</v>
      </c>
      <c r="J5" s="467">
        <f>IFERROR('Income Statement'!J30,"")</f>
        <v>0.507728422841572</v>
      </c>
      <c r="K5" s="467">
        <f>IFERROR('Income Statement'!K30,"")</f>
        <v>0.484172119634109</v>
      </c>
      <c r="L5" s="468">
        <f>IFERROR('Income Statement'!L30,"")</f>
        <v>0.470795126772069</v>
      </c>
      <c r="M5" s="9"/>
      <c r="N5" s="9"/>
      <c r="O5" s="9"/>
    </row>
    <row r="6" ht="14.25" customHeight="1">
      <c r="A6" s="448" t="s">
        <v>599</v>
      </c>
      <c r="B6" s="467">
        <f>IFERROR('Income Statement'!B22/'Income Statement'!B3,"")</f>
        <v>0.339281521483916</v>
      </c>
      <c r="C6" s="467">
        <f>IFERROR('Income Statement'!C22/'Income Statement'!C3,"")</f>
        <v>0.34137321967616</v>
      </c>
      <c r="D6" s="467">
        <f>IFERROR('Income Statement'!D22/'Income Statement'!D3,"")</f>
        <v>0.345412742976901</v>
      </c>
      <c r="E6" s="467">
        <f>IFERROR('Income Statement'!E22/'Income Statement'!E3,"")</f>
        <v>0.31921523180618</v>
      </c>
      <c r="F6" s="467">
        <f>IFERROR('Income Statement'!F22/'Income Statement'!F3,"")</f>
        <v>0.331937965337205</v>
      </c>
      <c r="G6" s="467">
        <f>IFERROR('Income Statement'!G22/'Income Statement'!G3,"")</f>
        <v>0.339182540852849</v>
      </c>
      <c r="H6" s="467">
        <f>IFERROR('Income Statement'!H22/'Income Statement'!H3,"")</f>
        <v>0.313783472317813</v>
      </c>
      <c r="I6" s="467">
        <f>IFERROR('Income Statement'!I22/'Income Statement'!I3,"")</f>
        <v>0.360296757919727</v>
      </c>
      <c r="J6" s="467">
        <f>IFERROR('Income Statement'!J22/'Income Statement'!J3,"")</f>
        <v>0.347750544739878</v>
      </c>
      <c r="K6" s="467">
        <f>IFERROR('Income Statement'!K22/'Income Statement'!K3,"")</f>
        <v>0.331432645859742</v>
      </c>
      <c r="L6" s="468">
        <f>IFERROR('Income Statement'!L22/'Income Statement'!L3,"")</f>
        <v>0.331873847983561</v>
      </c>
      <c r="M6" s="9"/>
      <c r="N6" s="9"/>
      <c r="O6" s="9"/>
    </row>
    <row r="7" ht="14.25" customHeight="1">
      <c r="A7" s="448" t="s">
        <v>568</v>
      </c>
      <c r="B7" s="467">
        <f>IFERROR('Income Statement'!B29,"")</f>
        <v>0.2066</v>
      </c>
      <c r="C7" s="467">
        <f>IFERROR('Income Statement'!C29,"")</f>
        <v>0.2167</v>
      </c>
      <c r="D7" s="467">
        <f>IFERROR('Income Statement'!D29,"")</f>
        <v>0.1887</v>
      </c>
      <c r="E7" s="467">
        <f>IFERROR('Income Statement'!E29,"")</f>
        <v>0.1978</v>
      </c>
      <c r="F7" s="467">
        <f>IFERROR('Income Statement'!F29,"")</f>
        <v>0.2069</v>
      </c>
      <c r="G7" s="467">
        <f>IFERROR('Income Statement'!G29,"")</f>
        <v>0.1917</v>
      </c>
      <c r="H7" s="467">
        <f>IFERROR('Income Statement'!H29,"")</f>
        <v>0.196</v>
      </c>
      <c r="I7" s="467">
        <f>IFERROR('Income Statement'!I29,"")</f>
        <v>0.2005</v>
      </c>
      <c r="J7" s="467">
        <f>IFERROR('Income Statement'!J29,"")</f>
        <v>0.206</v>
      </c>
      <c r="K7" s="467">
        <f>IFERROR('Income Statement'!K29,"")</f>
        <v>0.2153</v>
      </c>
      <c r="L7" s="468">
        <f>IFERROR('Income Statement'!L29,"")</f>
        <v>0.2172</v>
      </c>
      <c r="M7" s="9"/>
      <c r="N7" s="9"/>
      <c r="O7" s="9"/>
    </row>
    <row r="8" ht="14.25" customHeight="1">
      <c r="A8" s="448" t="s">
        <v>601</v>
      </c>
      <c r="B8" s="467">
        <f>IFERROR('Income Statement'!B19/'Income Statement'!B3,"")</f>
        <v>0.427607299173395</v>
      </c>
      <c r="C8" s="467">
        <f>IFERROR('Income Statement'!C19/'Income Statement'!C3,"")</f>
        <v>0.435825639026235</v>
      </c>
      <c r="D8" s="467">
        <f>IFERROR('Income Statement'!D19/'Income Statement'!D3,"")</f>
        <v>0.425775181756043</v>
      </c>
      <c r="E8" s="467">
        <f>IFERROR('Income Statement'!E19/'Income Statement'!E3,"")</f>
        <v>0.397905243996436</v>
      </c>
      <c r="F8" s="467">
        <f>IFERROR('Income Statement'!F19/'Income Statement'!F3,"")</f>
        <v>0.418522866528675</v>
      </c>
      <c r="G8" s="467">
        <f>IFERROR('Income Statement'!G19/'Income Statement'!G3,"")</f>
        <v>0.419601324450045</v>
      </c>
      <c r="H8" s="467">
        <f>IFERROR('Income Statement'!H19/'Income Statement'!H3,"")</f>
        <v>0.39028362437377</v>
      </c>
      <c r="I8" s="467">
        <f>IFERROR('Income Statement'!I19/'Income Statement'!I3,"")</f>
        <v>0.45067438237258</v>
      </c>
      <c r="J8" s="467">
        <f>IFERROR('Income Statement'!J19/'Income Statement'!J3,"")</f>
        <v>0.43798035613408</v>
      </c>
      <c r="K8" s="467">
        <f>IFERROR('Income Statement'!K19/'Income Statement'!K3,"")</f>
        <v>0.422372297783412</v>
      </c>
      <c r="L8" s="468">
        <f>IFERROR('Income Statement'!L19/'Income Statement'!L3,"")</f>
        <v>0.423948398128416</v>
      </c>
      <c r="M8" s="9"/>
      <c r="N8" s="9"/>
      <c r="O8" s="9"/>
    </row>
    <row r="9" ht="14.25" customHeight="1">
      <c r="A9" s="448" t="s">
        <v>602</v>
      </c>
      <c r="B9" s="467">
        <f>IFERROR('Cash Flow Statement'!B36/'Income Statement'!B3,"")</f>
        <v>0.368992360070078</v>
      </c>
      <c r="C9" s="467">
        <f>IFERROR('Cash Flow Statement'!C36/'Income Statement'!C3,"")</f>
        <v>0.300299502011448</v>
      </c>
      <c r="D9" s="467">
        <f>IFERROR('Cash Flow Statement'!D36/'Income Statement'!D3,"")</f>
        <v>0.312795512447535</v>
      </c>
      <c r="E9" s="467">
        <f>IFERROR('Cash Flow Statement'!E36/'Income Statement'!E3,"")</f>
        <v>0.310190069588319</v>
      </c>
      <c r="F9" s="467">
        <f>IFERROR('Cash Flow Statement'!F36/'Income Statement'!F3,"")</f>
        <v>0.363351766607969</v>
      </c>
      <c r="G9" s="467">
        <f>IFERROR('Cash Flow Statement'!G36/'Income Statement'!G3,"")</f>
        <v>0.345630521334638</v>
      </c>
      <c r="H9" s="467">
        <f>IFERROR('Cash Flow Statement'!H36/'Income Statement'!H3,"")</f>
        <v>0.377166797381436</v>
      </c>
      <c r="I9" s="467">
        <f>IFERROR('Cash Flow Statement'!I36/'Income Statement'!I3,"")</f>
        <v>0.357795088656429</v>
      </c>
      <c r="J9" s="467">
        <f>IFERROR('Cash Flow Statement'!J36/'Income Statement'!J3,"")</f>
        <v>0.254143108743847</v>
      </c>
      <c r="K9" s="467">
        <f>IFERROR('Cash Flow Statement'!K36/'Income Statement'!K3,"")</f>
        <v>0.190776062900408</v>
      </c>
      <c r="L9" s="468">
        <f>IFERROR('Cash Flow Statement'!L36/'Income Statement'!L3,"")</f>
        <v>0.250562385062884</v>
      </c>
      <c r="M9" s="9"/>
      <c r="N9" s="9"/>
      <c r="O9" s="9"/>
    </row>
    <row r="10" ht="14.25" customHeight="1">
      <c r="A10" s="448" t="s">
        <v>605</v>
      </c>
      <c r="B10" s="467">
        <f>IFERROR('Cash Flow Statement'!B13/'Income Statement'!B3,"")</f>
        <v>0.432224971553452</v>
      </c>
      <c r="C10" s="467">
        <f>IFERROR('Cash Flow Statement'!C13/'Income Statement'!C3,"")</f>
        <v>0.368570601544178</v>
      </c>
      <c r="D10" s="467">
        <f>IFERROR('Cash Flow Statement'!D13/'Income Statement'!D3,"")</f>
        <v>0.398959457245669</v>
      </c>
      <c r="E10" s="467">
        <f>IFERROR('Cash Flow Statement'!E13/'Income Statement'!E3,"")</f>
        <v>0.38339173358552</v>
      </c>
      <c r="F10" s="467">
        <f>IFERROR('Cash Flow Statement'!F13/'Income Statement'!F3,"")</f>
        <v>0.409239292738937</v>
      </c>
      <c r="G10" s="467">
        <f>IFERROR('Cash Flow Statement'!G13/'Income Statement'!G3,"")</f>
        <v>0.390623394149005</v>
      </c>
      <c r="H10" s="467">
        <f>IFERROR('Cash Flow Statement'!H13/'Income Statement'!H3,"")</f>
        <v>0.445804055892569</v>
      </c>
      <c r="I10" s="467">
        <f>IFERROR('Cash Flow Statement'!I13/'Income Statement'!I3,"")</f>
        <v>0.468904221381408</v>
      </c>
      <c r="J10" s="467">
        <f>IFERROR('Cash Flow Statement'!J13/'Income Statement'!J3,"")</f>
        <v>0.416551547346084</v>
      </c>
      <c r="K10" s="467">
        <f>IFERROR('Cash Flow Statement'!K13/'Income Statement'!K3,"")</f>
        <v>0.385363493096715</v>
      </c>
      <c r="L10" s="468">
        <f>IFERROR('Cash Flow Statement'!L13/'Income Statement'!L3,"")</f>
        <v>0.4357251540078</v>
      </c>
      <c r="M10" s="9"/>
      <c r="N10" s="9"/>
      <c r="O10" s="9"/>
    </row>
    <row r="11" ht="14.25" customHeight="1">
      <c r="A11" s="448" t="s">
        <v>606</v>
      </c>
      <c r="B11" s="467">
        <f>IFERROR('Cash Flow Statement'!B13/'Income Statement'!B22,"")</f>
        <v>1.27394197498004</v>
      </c>
      <c r="C11" s="467">
        <f>IFERROR('Cash Flow Statement'!C13/'Income Statement'!C22,"")</f>
        <v>1.07967051983111</v>
      </c>
      <c r="D11" s="467">
        <f>IFERROR('Cash Flow Statement'!D13/'Income Statement'!D22,"")</f>
        <v>1.15502240539038</v>
      </c>
      <c r="E11" s="467">
        <f>IFERROR('Cash Flow Statement'!E13/'Income Statement'!E22,"")</f>
        <v>1.20104460998373</v>
      </c>
      <c r="F11" s="467">
        <f>IFERROR('Cash Flow Statement'!F13/'Income Statement'!F22,"")</f>
        <v>1.23287883723455</v>
      </c>
      <c r="G11" s="467">
        <f>IFERROR('Cash Flow Statement'!G13/'Income Statement'!G22,"")</f>
        <v>1.15166126524912</v>
      </c>
      <c r="H11" s="467">
        <f>IFERROR('Cash Flow Statement'!H13/'Income Statement'!H22,"")</f>
        <v>1.42073785021105</v>
      </c>
      <c r="I11" s="467">
        <f>IFERROR('Cash Flow Statement'!I13/'Income Statement'!I22,"")</f>
        <v>1.30143891410169</v>
      </c>
      <c r="J11" s="467">
        <f>IFERROR('Cash Flow Statement'!J13/'Income Statement'!J22,"")</f>
        <v>1.19784585142108</v>
      </c>
      <c r="K11" s="467">
        <f>IFERROR('Cash Flow Statement'!K13/'Income Statement'!K22,"")</f>
        <v>1.16272038349474</v>
      </c>
      <c r="L11" s="468">
        <f>IFERROR('Cash Flow Statement'!L13/'Income Statement'!L22,"")</f>
        <v>1.31292404223843</v>
      </c>
      <c r="M11" s="9"/>
      <c r="N11" s="9"/>
      <c r="O11" s="9"/>
    </row>
    <row r="12" ht="14.25" customHeight="1">
      <c r="A12" s="448" t="s">
        <v>608</v>
      </c>
      <c r="B12" s="467">
        <f>IFERROR('Cash Flow Statement'!B36/'Cash Flow Statement'!B13,"")</f>
        <v>0.853704400150433</v>
      </c>
      <c r="C12" s="467">
        <f>IFERROR('Cash Flow Statement'!C36/'Cash Flow Statement'!C13,"")</f>
        <v>0.81476791896397</v>
      </c>
      <c r="D12" s="467">
        <f>IFERROR('Cash Flow Statement'!D36/'Cash Flow Statement'!D13,"")</f>
        <v>0.784028318584071</v>
      </c>
      <c r="E12" s="467">
        <f>IFERROR('Cash Flow Statement'!E36/'Cash Flow Statement'!E13,"")</f>
        <v>0.809068225564982</v>
      </c>
      <c r="F12" s="467">
        <f>IFERROR('Cash Flow Statement'!F36/'Cash Flow Statement'!F13,"")</f>
        <v>0.887871162556618</v>
      </c>
      <c r="G12" s="467">
        <f>IFERROR('Cash Flow Statement'!G36/'Cash Flow Statement'!G13,"")</f>
        <v>0.884817772083553</v>
      </c>
      <c r="H12" s="467">
        <f>IFERROR('Cash Flow Statement'!H36/'Cash Flow Statement'!H13,"")</f>
        <v>0.846037160039494</v>
      </c>
      <c r="I12" s="467">
        <f>IFERROR('Cash Flow Statement'!I36/'Cash Flow Statement'!I13,"")</f>
        <v>0.763045142998184</v>
      </c>
      <c r="J12" s="467">
        <f>IFERROR('Cash Flow Statement'!J36/'Cash Flow Statement'!J13,"")</f>
        <v>0.610112026621993</v>
      </c>
      <c r="K12" s="467">
        <f>IFERROR('Cash Flow Statement'!K36/'Cash Flow Statement'!K13,"")</f>
        <v>0.495054841254848</v>
      </c>
      <c r="L12" s="468">
        <f>IFERROR('Cash Flow Statement'!L36/'Cash Flow Statement'!L13,"")</f>
        <v>0.575046867866614</v>
      </c>
      <c r="M12" s="9"/>
      <c r="N12" s="9"/>
      <c r="O12" s="9"/>
    </row>
    <row r="13" ht="14.25" customHeight="1">
      <c r="A13" s="448" t="s">
        <v>611</v>
      </c>
      <c r="B13" s="467">
        <f>IFERROR('Cash Flow Statement'!B36/'Income Statement'!B22,"")</f>
        <v>1.08756986957679</v>
      </c>
      <c r="C13" s="467">
        <f>IFERROR('Cash Flow Statement'!C36/'Income Statement'!C22,"")</f>
        <v>0.879680902609538</v>
      </c>
      <c r="D13" s="467">
        <f>IFERROR('Cash Flow Statement'!D36/'Income Statement'!D22,"")</f>
        <v>0.905570274425146</v>
      </c>
      <c r="E13" s="467">
        <f>IFERROR('Cash Flow Statement'!E36/'Income Statement'!E22,"")</f>
        <v>0.971727031423923</v>
      </c>
      <c r="F13" s="467">
        <f>IFERROR('Cash Flow Statement'!F36/'Income Statement'!F22,"")</f>
        <v>1.0946375665069</v>
      </c>
      <c r="G13" s="467">
        <f>IFERROR('Cash Flow Statement'!G36/'Income Statement'!G22,"")</f>
        <v>1.01901035491266</v>
      </c>
      <c r="H13" s="467">
        <f>IFERROR('Cash Flow Statement'!H36/'Income Statement'!H22,"")</f>
        <v>1.20199701595317</v>
      </c>
      <c r="I13" s="467">
        <f>IFERROR('Cash Flow Statement'!I36/'Income Statement'!I22,"")</f>
        <v>0.993056642314123</v>
      </c>
      <c r="J13" s="467">
        <f>IFERROR('Cash Flow Statement'!J36/'Income Statement'!J22,"")</f>
        <v>0.730820159991263</v>
      </c>
      <c r="K13" s="467">
        <f>IFERROR('Cash Flow Statement'!K36/'Income Statement'!K22,"")</f>
        <v>0.575610354874763</v>
      </c>
      <c r="L13" s="468">
        <f>IFERROR('Cash Flow Statement'!L36/'Income Statement'!L22,"")</f>
        <v>0.754992858235984</v>
      </c>
      <c r="M13" s="9"/>
      <c r="N13" s="9"/>
      <c r="O13" s="9"/>
    </row>
    <row r="14" ht="14.25" customHeight="1">
      <c r="A14" s="448" t="s">
        <v>612</v>
      </c>
      <c r="B14" s="467">
        <f>IFERROR('Cash Flow Statement'!B36/'Income Statement'!B28,"")</f>
        <v>0.798951937741973</v>
      </c>
      <c r="C14" s="467">
        <f>IFERROR('Cash Flow Statement'!C36/'Income Statement'!C28,"")</f>
        <v>0.643204190601513</v>
      </c>
      <c r="D14" s="467">
        <f>IFERROR('Cash Flow Statement'!D36/'Income Statement'!D28,"")</f>
        <v>0.683571181670041</v>
      </c>
      <c r="E14" s="467">
        <f>IFERROR('Cash Flow Statement'!E36/'Income Statement'!E28,"")</f>
        <v>0.650965366127867</v>
      </c>
      <c r="F14" s="467">
        <f>IFERROR('Cash Flow Statement'!F36/'Income Statement'!F28,"")</f>
        <v>0.770317326900196</v>
      </c>
      <c r="G14" s="467">
        <f>IFERROR('Cash Flow Statement'!G36/'Income Statement'!G28,"")</f>
        <v>0.752524662891834</v>
      </c>
      <c r="H14" s="467">
        <f>IFERROR('Cash Flow Statement'!H36/'Income Statement'!H28,"")</f>
        <v>0.812224252033641</v>
      </c>
      <c r="I14" s="467">
        <f>IFERROR('Cash Flow Statement'!I36/'Income Statement'!I28,"")</f>
        <v>0.742066520593811</v>
      </c>
      <c r="J14" s="467">
        <f>IFERROR('Cash Flow Statement'!J36/'Income Statement'!J28,"")</f>
        <v>0.500549304136845</v>
      </c>
      <c r="K14" s="467">
        <f>IFERROR('Cash Flow Statement'!K36/'Income Statement'!K28,"")</f>
        <v>0.394025296302848</v>
      </c>
      <c r="L14" s="468">
        <f>IFERROR('Cash Flow Statement'!L36/'Income Statement'!L28,"")</f>
        <v>0.532211084640626</v>
      </c>
      <c r="M14" s="9"/>
      <c r="N14" s="9"/>
      <c r="O14" s="9"/>
    </row>
    <row r="15" ht="14.25" customHeight="1">
      <c r="A15" s="9"/>
      <c r="B15" s="9"/>
      <c r="C15" s="9"/>
      <c r="D15" s="9"/>
      <c r="E15" s="9"/>
      <c r="F15" s="9"/>
      <c r="G15" s="9"/>
      <c r="H15" s="9"/>
      <c r="I15" s="9"/>
      <c r="J15" s="9"/>
      <c r="K15" s="9"/>
      <c r="L15" s="9"/>
      <c r="M15" s="9"/>
      <c r="N15" s="9"/>
      <c r="O15" s="9"/>
    </row>
    <row r="16" ht="14.25" customHeight="1">
      <c r="A16" s="9"/>
      <c r="B16" s="9"/>
      <c r="C16" s="9"/>
      <c r="D16" s="9"/>
      <c r="E16" s="9"/>
      <c r="F16" s="9"/>
      <c r="G16" s="9"/>
      <c r="H16" s="9"/>
      <c r="I16" s="9"/>
      <c r="J16" s="9"/>
      <c r="K16" s="9"/>
      <c r="L16" s="9"/>
      <c r="M16" s="9"/>
      <c r="N16" s="9"/>
      <c r="O16" s="9"/>
    </row>
    <row r="17" ht="14.25" customHeight="1">
      <c r="A17" s="9"/>
      <c r="B17" s="9"/>
      <c r="C17" s="9"/>
      <c r="D17" s="9"/>
      <c r="E17" s="9"/>
      <c r="F17" s="9"/>
      <c r="G17" s="9"/>
      <c r="H17" s="9"/>
      <c r="I17" s="9"/>
      <c r="J17" s="9"/>
      <c r="K17" s="9"/>
      <c r="L17" s="9"/>
      <c r="M17" s="9"/>
      <c r="N17" s="9"/>
      <c r="O17" s="9"/>
    </row>
    <row r="18" ht="14.25" customHeight="1">
      <c r="A18" s="9"/>
      <c r="B18" s="9"/>
      <c r="C18" s="9"/>
      <c r="D18" s="9"/>
      <c r="E18" s="9"/>
      <c r="F18" s="9"/>
      <c r="G18" s="9"/>
      <c r="H18" s="9"/>
      <c r="I18" s="9"/>
      <c r="J18" s="9"/>
      <c r="K18" s="9"/>
      <c r="L18" s="9"/>
      <c r="M18" s="9"/>
      <c r="N18" s="9"/>
      <c r="O18" s="9"/>
    </row>
    <row r="19" ht="14.25" customHeight="1">
      <c r="A19" s="9"/>
      <c r="B19" s="9"/>
      <c r="C19" s="9"/>
      <c r="D19" s="9"/>
      <c r="E19" s="9"/>
      <c r="F19" s="9"/>
      <c r="G19" s="9"/>
      <c r="H19" s="9"/>
      <c r="I19" s="9"/>
      <c r="J19" s="9"/>
      <c r="K19" s="9"/>
      <c r="L19" s="9"/>
      <c r="M19" s="9"/>
      <c r="N19" s="9"/>
      <c r="O19" s="9"/>
    </row>
    <row r="20" ht="14.25" customHeight="1">
      <c r="A20" s="9"/>
      <c r="B20" s="9"/>
      <c r="C20" s="9"/>
      <c r="D20" s="9"/>
      <c r="E20" s="9"/>
      <c r="F20" s="9"/>
      <c r="G20" s="9"/>
      <c r="H20" s="9"/>
      <c r="I20" s="9"/>
      <c r="J20" s="9"/>
      <c r="K20" s="9"/>
      <c r="L20" s="9"/>
      <c r="M20" s="9"/>
      <c r="N20" s="9"/>
      <c r="O20" s="9"/>
    </row>
    <row r="21" ht="14.25" customHeight="1">
      <c r="A21" s="9"/>
      <c r="B21" s="9"/>
      <c r="C21" s="9"/>
      <c r="D21" s="9"/>
      <c r="E21" s="9"/>
      <c r="F21" s="9"/>
      <c r="G21" s="9"/>
      <c r="H21" s="9"/>
      <c r="I21" s="9"/>
      <c r="J21" s="9"/>
      <c r="K21" s="9"/>
      <c r="L21" s="9"/>
      <c r="M21" s="9"/>
      <c r="N21" s="9"/>
      <c r="O21" s="9"/>
    </row>
    <row r="22" ht="14.25" customHeight="1">
      <c r="A22" s="9"/>
      <c r="B22" s="9"/>
      <c r="C22" s="9"/>
      <c r="D22" s="9"/>
      <c r="E22" s="9"/>
      <c r="F22" s="9"/>
      <c r="G22" s="9"/>
      <c r="H22" s="9"/>
      <c r="I22" s="9"/>
      <c r="J22" s="9"/>
      <c r="K22" s="9"/>
      <c r="L22" s="9"/>
      <c r="M22" s="9"/>
      <c r="N22" s="9"/>
      <c r="O22" s="9"/>
    </row>
    <row r="23" ht="14.25" customHeight="1">
      <c r="A23" s="9"/>
      <c r="B23" s="9"/>
      <c r="C23" s="9"/>
      <c r="D23" s="9"/>
      <c r="E23" s="9"/>
      <c r="F23" s="9"/>
      <c r="G23" s="9"/>
      <c r="H23" s="9"/>
      <c r="I23" s="9"/>
      <c r="J23" s="9"/>
      <c r="K23" s="9"/>
      <c r="L23" s="9"/>
      <c r="M23" s="9"/>
      <c r="N23" s="9"/>
      <c r="O23" s="9"/>
    </row>
    <row r="24" ht="14.25" customHeight="1">
      <c r="A24" s="9"/>
      <c r="B24" s="9"/>
      <c r="C24" s="9"/>
      <c r="D24" s="9"/>
      <c r="E24" s="9"/>
      <c r="F24" s="9"/>
      <c r="G24" s="9"/>
      <c r="H24" s="9"/>
      <c r="I24" s="9"/>
      <c r="J24" s="9"/>
      <c r="K24" s="9"/>
      <c r="L24" s="9"/>
      <c r="M24" s="9"/>
      <c r="N24" s="9"/>
      <c r="O24" s="9"/>
    </row>
    <row r="25" ht="14.25" customHeight="1">
      <c r="A25" s="9"/>
      <c r="B25" s="9"/>
      <c r="C25" s="9"/>
      <c r="D25" s="9"/>
      <c r="E25" s="9"/>
      <c r="F25" s="9"/>
      <c r="G25" s="9"/>
      <c r="H25" s="9"/>
      <c r="I25" s="9"/>
      <c r="J25" s="9"/>
      <c r="K25" s="9"/>
      <c r="L25" s="9"/>
      <c r="M25" s="9"/>
      <c r="N25" s="9"/>
      <c r="O25" s="9"/>
    </row>
    <row r="26" ht="14.25" customHeight="1">
      <c r="A26" s="9"/>
      <c r="B26" s="9"/>
      <c r="C26" s="9"/>
      <c r="D26" s="9"/>
      <c r="E26" s="9"/>
      <c r="F26" s="9"/>
      <c r="G26" s="9"/>
      <c r="H26" s="9"/>
      <c r="I26" s="9"/>
      <c r="J26" s="9"/>
      <c r="K26" s="9"/>
      <c r="L26" s="9"/>
      <c r="M26" s="9"/>
      <c r="N26" s="9"/>
      <c r="O26" s="9"/>
    </row>
    <row r="27" ht="14.25" customHeight="1">
      <c r="A27" s="9"/>
      <c r="B27" s="9"/>
      <c r="C27" s="9"/>
      <c r="D27" s="9"/>
      <c r="E27" s="9"/>
      <c r="F27" s="9"/>
      <c r="G27" s="9"/>
      <c r="H27" s="9"/>
      <c r="I27" s="9"/>
      <c r="J27" s="9"/>
      <c r="K27" s="9"/>
      <c r="L27" s="9"/>
      <c r="M27" s="9"/>
      <c r="N27" s="9"/>
      <c r="O27" s="9"/>
    </row>
    <row r="28" ht="14.25" customHeight="1">
      <c r="A28" s="9"/>
      <c r="B28" s="9"/>
      <c r="C28" s="9"/>
      <c r="D28" s="9"/>
      <c r="E28" s="9"/>
      <c r="F28" s="9"/>
      <c r="G28" s="9"/>
      <c r="H28" s="9"/>
      <c r="I28" s="9"/>
      <c r="J28" s="9"/>
      <c r="K28" s="9"/>
      <c r="L28" s="9"/>
      <c r="M28" s="9"/>
      <c r="N28" s="9"/>
      <c r="O28" s="9"/>
    </row>
    <row r="29" ht="14.25" customHeight="1">
      <c r="A29" s="9"/>
      <c r="B29" s="9"/>
      <c r="C29" s="9"/>
      <c r="D29" s="9"/>
      <c r="E29" s="9"/>
      <c r="F29" s="9"/>
      <c r="G29" s="9"/>
      <c r="H29" s="9"/>
      <c r="I29" s="9"/>
      <c r="J29" s="9"/>
      <c r="K29" s="9"/>
      <c r="L29" s="9"/>
      <c r="M29" s="9"/>
      <c r="N29" s="9"/>
      <c r="O29" s="9"/>
    </row>
    <row r="30" ht="15.75" customHeight="1">
      <c r="A30" s="77"/>
      <c r="B30" s="77"/>
      <c r="C30" s="77"/>
      <c r="D30" s="77"/>
      <c r="E30" s="77"/>
      <c r="F30" s="77"/>
      <c r="G30" s="77"/>
      <c r="H30" s="77"/>
      <c r="I30" s="77"/>
      <c r="J30" s="77"/>
      <c r="K30" s="77"/>
      <c r="L30" s="77"/>
      <c r="M30" s="77"/>
      <c r="N30" s="77"/>
      <c r="O30" s="77"/>
    </row>
    <row r="31" ht="15.75" customHeight="1">
      <c r="A31" s="77"/>
      <c r="B31" s="77"/>
      <c r="C31" s="77"/>
      <c r="D31" s="77"/>
      <c r="E31" s="77"/>
      <c r="F31" s="77"/>
      <c r="G31" s="77"/>
      <c r="H31" s="77"/>
      <c r="I31" s="77"/>
      <c r="J31" s="77"/>
      <c r="K31" s="77"/>
      <c r="L31" s="77"/>
      <c r="M31" s="77"/>
      <c r="N31" s="77"/>
      <c r="O31" s="77"/>
    </row>
    <row r="32" ht="15.75" customHeight="1">
      <c r="A32" s="77"/>
      <c r="B32" s="77"/>
      <c r="C32" s="77"/>
      <c r="D32" s="77"/>
      <c r="E32" s="77"/>
      <c r="F32" s="77"/>
      <c r="G32" s="77"/>
      <c r="H32" s="77"/>
      <c r="I32" s="77"/>
      <c r="J32" s="77"/>
      <c r="K32" s="77"/>
      <c r="L32" s="77"/>
      <c r="M32" s="77"/>
      <c r="N32" s="77"/>
      <c r="O32" s="77"/>
    </row>
    <row r="33" ht="15.75" customHeight="1">
      <c r="A33" s="77"/>
      <c r="B33" s="77"/>
      <c r="C33" s="77"/>
      <c r="D33" s="77"/>
      <c r="E33" s="77"/>
      <c r="F33" s="77"/>
      <c r="G33" s="77"/>
      <c r="H33" s="77"/>
      <c r="I33" s="77"/>
      <c r="J33" s="77"/>
      <c r="K33" s="77"/>
      <c r="L33" s="77"/>
      <c r="M33" s="77"/>
      <c r="N33" s="77"/>
      <c r="O33" s="77"/>
    </row>
    <row r="34" ht="15.75" customHeight="1">
      <c r="A34" s="77"/>
      <c r="B34" s="77"/>
      <c r="C34" s="77"/>
      <c r="D34" s="77"/>
      <c r="E34" s="77"/>
      <c r="F34" s="77"/>
      <c r="G34" s="77"/>
      <c r="H34" s="77"/>
      <c r="I34" s="77"/>
      <c r="J34" s="77"/>
      <c r="K34" s="77"/>
      <c r="L34" s="77"/>
      <c r="M34" s="77"/>
      <c r="N34" s="77"/>
      <c r="O34" s="77"/>
    </row>
    <row r="35" ht="15.75" customHeight="1">
      <c r="A35" s="77"/>
      <c r="B35" s="77"/>
      <c r="C35" s="77"/>
      <c r="D35" s="77"/>
      <c r="E35" s="77"/>
      <c r="F35" s="77"/>
      <c r="G35" s="77"/>
      <c r="H35" s="77"/>
      <c r="I35" s="77"/>
      <c r="J35" s="77"/>
      <c r="K35" s="77"/>
      <c r="L35" s="77"/>
      <c r="M35" s="77"/>
      <c r="N35" s="77"/>
      <c r="O35" s="77"/>
    </row>
    <row r="36" ht="15.75" customHeight="1">
      <c r="A36" s="77"/>
      <c r="B36" s="77"/>
      <c r="C36" s="77"/>
      <c r="D36" s="77"/>
      <c r="E36" s="77"/>
      <c r="F36" s="77"/>
      <c r="G36" s="77"/>
      <c r="H36" s="77"/>
      <c r="I36" s="77"/>
      <c r="J36" s="77"/>
      <c r="K36" s="77"/>
      <c r="L36" s="77"/>
      <c r="M36" s="77"/>
      <c r="N36" s="77"/>
      <c r="O36" s="77"/>
    </row>
    <row r="37" ht="15.75" customHeight="1">
      <c r="A37" s="77"/>
      <c r="B37" s="77"/>
      <c r="C37" s="77"/>
      <c r="D37" s="77"/>
      <c r="E37" s="77"/>
      <c r="F37" s="77"/>
      <c r="G37" s="77"/>
      <c r="H37" s="77"/>
      <c r="I37" s="77"/>
      <c r="J37" s="77"/>
      <c r="K37" s="77"/>
      <c r="L37" s="77"/>
      <c r="M37" s="77"/>
      <c r="N37" s="77"/>
      <c r="O37" s="77"/>
    </row>
    <row r="38" ht="15.75" customHeight="1">
      <c r="A38" s="77"/>
      <c r="B38" s="77"/>
      <c r="C38" s="77"/>
      <c r="D38" s="77"/>
      <c r="E38" s="77"/>
      <c r="F38" s="77"/>
      <c r="G38" s="77"/>
      <c r="H38" s="77"/>
      <c r="I38" s="77"/>
      <c r="J38" s="77"/>
      <c r="K38" s="77"/>
      <c r="L38" s="77"/>
      <c r="M38" s="77"/>
      <c r="N38" s="77"/>
      <c r="O38" s="77"/>
    </row>
    <row r="39" ht="15.75" customHeight="1">
      <c r="A39" s="77"/>
      <c r="B39" s="77"/>
      <c r="C39" s="77"/>
      <c r="D39" s="77"/>
      <c r="E39" s="77"/>
      <c r="F39" s="77"/>
      <c r="G39" s="77"/>
      <c r="H39" s="77"/>
      <c r="I39" s="77"/>
      <c r="J39" s="77"/>
      <c r="K39" s="77"/>
      <c r="L39" s="77"/>
      <c r="M39" s="77"/>
      <c r="N39" s="77"/>
      <c r="O39" s="77"/>
    </row>
    <row r="40" ht="15.75" customHeight="1">
      <c r="A40" s="77"/>
      <c r="B40" s="77"/>
      <c r="C40" s="77"/>
      <c r="D40" s="77"/>
      <c r="E40" s="77"/>
      <c r="F40" s="77"/>
      <c r="G40" s="77"/>
      <c r="H40" s="77"/>
      <c r="I40" s="77"/>
      <c r="J40" s="77"/>
      <c r="K40" s="77"/>
      <c r="L40" s="77"/>
      <c r="M40" s="77"/>
      <c r="N40" s="77"/>
      <c r="O40" s="77"/>
    </row>
    <row r="41" ht="15.75" customHeight="1">
      <c r="A41" s="77"/>
      <c r="B41" s="77"/>
      <c r="C41" s="77"/>
      <c r="D41" s="77"/>
      <c r="E41" s="77"/>
      <c r="F41" s="77"/>
      <c r="G41" s="77"/>
      <c r="H41" s="77"/>
      <c r="I41" s="77"/>
      <c r="J41" s="77"/>
      <c r="K41" s="77"/>
      <c r="L41" s="77"/>
      <c r="M41" s="77"/>
      <c r="N41" s="77"/>
      <c r="O41" s="77"/>
    </row>
    <row r="42" ht="15.75" customHeight="1">
      <c r="A42" s="77"/>
      <c r="B42" s="77"/>
      <c r="C42" s="77"/>
      <c r="D42" s="77"/>
      <c r="E42" s="77"/>
      <c r="F42" s="77"/>
      <c r="G42" s="77"/>
      <c r="H42" s="77"/>
      <c r="I42" s="77"/>
      <c r="J42" s="77"/>
      <c r="K42" s="77"/>
      <c r="L42" s="77"/>
      <c r="M42" s="77"/>
      <c r="N42" s="77"/>
      <c r="O42" s="77"/>
    </row>
    <row r="43" ht="15.75" customHeight="1">
      <c r="A43" s="77"/>
      <c r="B43" s="77"/>
      <c r="C43" s="77"/>
      <c r="D43" s="77"/>
      <c r="E43" s="77"/>
      <c r="F43" s="77"/>
      <c r="G43" s="77"/>
      <c r="H43" s="77"/>
      <c r="I43" s="77"/>
      <c r="J43" s="77"/>
      <c r="K43" s="77"/>
      <c r="L43" s="77"/>
      <c r="M43" s="77"/>
      <c r="N43" s="77"/>
      <c r="O43" s="77"/>
    </row>
    <row r="44" ht="15.75" customHeight="1">
      <c r="A44" s="77"/>
      <c r="B44" s="77"/>
      <c r="C44" s="77"/>
      <c r="D44" s="77"/>
      <c r="E44" s="77"/>
      <c r="F44" s="77"/>
      <c r="G44" s="77"/>
      <c r="H44" s="77"/>
      <c r="I44" s="77"/>
      <c r="J44" s="77"/>
      <c r="K44" s="77"/>
      <c r="L44" s="77"/>
      <c r="M44" s="77"/>
      <c r="N44" s="77"/>
      <c r="O44" s="77"/>
    </row>
    <row r="45" ht="15.75" customHeight="1">
      <c r="A45" s="77"/>
      <c r="B45" s="77"/>
      <c r="C45" s="77"/>
      <c r="D45" s="77"/>
      <c r="E45" s="77"/>
      <c r="F45" s="77"/>
      <c r="G45" s="77"/>
      <c r="H45" s="77"/>
      <c r="I45" s="77"/>
      <c r="J45" s="77"/>
      <c r="K45" s="77"/>
      <c r="L45" s="77"/>
      <c r="M45" s="77"/>
      <c r="N45" s="77"/>
      <c r="O45" s="77"/>
    </row>
    <row r="46" ht="15.75" customHeight="1">
      <c r="A46" s="77"/>
      <c r="B46" s="77"/>
      <c r="C46" s="77"/>
      <c r="D46" s="77"/>
      <c r="E46" s="77"/>
      <c r="F46" s="77"/>
      <c r="G46" s="77"/>
      <c r="H46" s="77"/>
      <c r="I46" s="77"/>
      <c r="J46" s="77"/>
      <c r="K46" s="77"/>
      <c r="L46" s="77"/>
      <c r="M46" s="77"/>
      <c r="N46" s="77"/>
      <c r="O46" s="77"/>
    </row>
    <row r="47" ht="15.75" customHeight="1">
      <c r="A47" s="77"/>
      <c r="B47" s="77"/>
      <c r="C47" s="77"/>
      <c r="D47" s="77"/>
      <c r="E47" s="77"/>
      <c r="F47" s="77"/>
      <c r="G47" s="77"/>
      <c r="H47" s="77"/>
      <c r="I47" s="77"/>
      <c r="J47" s="77"/>
      <c r="K47" s="77"/>
      <c r="L47" s="77"/>
      <c r="M47" s="77"/>
      <c r="N47" s="77"/>
      <c r="O47" s="77"/>
    </row>
    <row r="48" ht="15.75" customHeight="1">
      <c r="A48" s="77"/>
      <c r="B48" s="77"/>
      <c r="C48" s="77"/>
      <c r="D48" s="77"/>
      <c r="E48" s="77"/>
      <c r="F48" s="77"/>
      <c r="G48" s="77"/>
      <c r="H48" s="77"/>
      <c r="I48" s="77"/>
      <c r="J48" s="77"/>
      <c r="K48" s="77"/>
      <c r="L48" s="77"/>
      <c r="M48" s="77"/>
      <c r="N48" s="77"/>
      <c r="O48" s="77"/>
    </row>
    <row r="49" ht="15.75" customHeight="1">
      <c r="A49" s="77"/>
      <c r="B49" s="77"/>
      <c r="C49" s="77"/>
      <c r="D49" s="77"/>
      <c r="E49" s="77"/>
      <c r="F49" s="77"/>
      <c r="G49" s="77"/>
      <c r="H49" s="77"/>
      <c r="I49" s="77"/>
      <c r="J49" s="77"/>
      <c r="K49" s="77"/>
      <c r="L49" s="77"/>
      <c r="M49" s="77"/>
      <c r="N49" s="77"/>
      <c r="O49" s="77"/>
    </row>
    <row r="50" ht="15.75" customHeight="1">
      <c r="A50" s="77"/>
      <c r="B50" s="77"/>
      <c r="C50" s="77"/>
      <c r="D50" s="77"/>
      <c r="E50" s="77"/>
      <c r="F50" s="77"/>
      <c r="G50" s="77"/>
      <c r="H50" s="77"/>
      <c r="I50" s="77"/>
      <c r="J50" s="77"/>
      <c r="K50" s="77"/>
      <c r="L50" s="77"/>
      <c r="M50" s="77"/>
      <c r="N50" s="77"/>
      <c r="O50" s="77"/>
    </row>
    <row r="51" ht="15.75" customHeight="1">
      <c r="A51" s="77"/>
      <c r="B51" s="77"/>
      <c r="C51" s="77"/>
      <c r="D51" s="77"/>
      <c r="E51" s="77"/>
      <c r="F51" s="77"/>
      <c r="G51" s="77"/>
      <c r="H51" s="77"/>
      <c r="I51" s="77"/>
      <c r="J51" s="77"/>
      <c r="K51" s="77"/>
      <c r="L51" s="77"/>
      <c r="M51" s="77"/>
      <c r="N51" s="77"/>
      <c r="O51" s="77"/>
    </row>
    <row r="52" ht="15.75" customHeight="1">
      <c r="A52" s="77"/>
      <c r="B52" s="77"/>
      <c r="C52" s="77"/>
      <c r="D52" s="77"/>
      <c r="E52" s="77"/>
      <c r="F52" s="77"/>
      <c r="G52" s="77"/>
      <c r="H52" s="77"/>
      <c r="I52" s="77"/>
      <c r="J52" s="77"/>
      <c r="K52" s="77"/>
      <c r="L52" s="77"/>
      <c r="M52" s="77"/>
      <c r="N52" s="77"/>
      <c r="O52" s="77"/>
    </row>
    <row r="53" ht="15.75" customHeight="1">
      <c r="A53" s="77"/>
      <c r="B53" s="77"/>
      <c r="C53" s="77"/>
      <c r="D53" s="77"/>
      <c r="E53" s="77"/>
      <c r="F53" s="77"/>
      <c r="G53" s="77"/>
      <c r="H53" s="77"/>
      <c r="I53" s="77"/>
      <c r="J53" s="77"/>
      <c r="K53" s="77"/>
      <c r="L53" s="77"/>
      <c r="M53" s="77"/>
      <c r="N53" s="77"/>
      <c r="O53" s="77"/>
    </row>
    <row r="54" ht="15.75" customHeight="1">
      <c r="A54" s="77"/>
      <c r="B54" s="77"/>
      <c r="C54" s="77"/>
      <c r="D54" s="77"/>
      <c r="E54" s="77"/>
      <c r="F54" s="77"/>
      <c r="G54" s="77"/>
      <c r="H54" s="77"/>
      <c r="I54" s="77"/>
      <c r="J54" s="77"/>
      <c r="K54" s="77"/>
      <c r="L54" s="77"/>
      <c r="M54" s="77"/>
      <c r="N54" s="77"/>
      <c r="O54" s="77"/>
    </row>
    <row r="55" ht="15.75" customHeight="1">
      <c r="A55" s="77"/>
      <c r="B55" s="77"/>
      <c r="C55" s="77"/>
      <c r="D55" s="77"/>
      <c r="E55" s="77"/>
      <c r="F55" s="77"/>
      <c r="G55" s="77"/>
      <c r="H55" s="77"/>
      <c r="I55" s="77"/>
      <c r="J55" s="77"/>
      <c r="K55" s="77"/>
      <c r="L55" s="77"/>
      <c r="M55" s="77"/>
      <c r="N55" s="77"/>
      <c r="O55" s="77"/>
    </row>
    <row r="56" ht="15.75" customHeight="1">
      <c r="A56" s="77"/>
      <c r="B56" s="77"/>
      <c r="C56" s="77"/>
      <c r="D56" s="77"/>
      <c r="E56" s="77"/>
      <c r="F56" s="77"/>
      <c r="G56" s="77"/>
      <c r="H56" s="77"/>
      <c r="I56" s="77"/>
      <c r="J56" s="77"/>
      <c r="K56" s="77"/>
      <c r="L56" s="77"/>
      <c r="M56" s="77"/>
      <c r="N56" s="77"/>
      <c r="O56" s="77"/>
    </row>
    <row r="57" ht="15.75" customHeight="1">
      <c r="A57" s="77"/>
      <c r="B57" s="77"/>
      <c r="C57" s="77"/>
      <c r="D57" s="77"/>
      <c r="E57" s="77"/>
      <c r="F57" s="77"/>
      <c r="G57" s="77"/>
      <c r="H57" s="77"/>
      <c r="I57" s="77"/>
      <c r="J57" s="77"/>
      <c r="K57" s="77"/>
      <c r="L57" s="77"/>
      <c r="M57" s="77"/>
      <c r="N57" s="77"/>
      <c r="O57" s="77"/>
    </row>
    <row r="58" ht="15.75" customHeight="1">
      <c r="A58" s="77"/>
      <c r="B58" s="77"/>
      <c r="C58" s="77"/>
      <c r="D58" s="77"/>
      <c r="E58" s="77"/>
      <c r="F58" s="77"/>
      <c r="G58" s="77"/>
      <c r="H58" s="77"/>
      <c r="I58" s="77"/>
      <c r="J58" s="77"/>
      <c r="K58" s="77"/>
      <c r="L58" s="77"/>
      <c r="M58" s="77"/>
      <c r="N58" s="77"/>
      <c r="O58" s="77"/>
    </row>
    <row r="59" ht="15.75" customHeight="1">
      <c r="A59" s="77"/>
      <c r="B59" s="77"/>
      <c r="C59" s="77"/>
      <c r="D59" s="77"/>
      <c r="E59" s="77"/>
      <c r="F59" s="77"/>
      <c r="G59" s="77"/>
      <c r="H59" s="77"/>
      <c r="I59" s="77"/>
      <c r="J59" s="77"/>
      <c r="K59" s="77"/>
      <c r="L59" s="77"/>
      <c r="M59" s="77"/>
      <c r="N59" s="77"/>
      <c r="O59" s="77"/>
    </row>
    <row r="60" ht="15.75" customHeight="1">
      <c r="A60" s="77"/>
      <c r="B60" s="77"/>
      <c r="C60" s="77"/>
      <c r="D60" s="77"/>
      <c r="E60" s="77"/>
      <c r="F60" s="77"/>
      <c r="G60" s="77"/>
      <c r="H60" s="77"/>
      <c r="I60" s="77"/>
      <c r="J60" s="77"/>
      <c r="K60" s="77"/>
      <c r="L60" s="77"/>
      <c r="M60" s="77"/>
      <c r="N60" s="77"/>
      <c r="O60" s="77"/>
    </row>
    <row r="61" ht="15.75" customHeight="1">
      <c r="A61" s="77"/>
      <c r="B61" s="77"/>
      <c r="C61" s="77"/>
      <c r="D61" s="77"/>
      <c r="E61" s="77"/>
      <c r="F61" s="77"/>
      <c r="G61" s="77"/>
      <c r="H61" s="77"/>
      <c r="I61" s="77"/>
      <c r="J61" s="77"/>
      <c r="K61" s="77"/>
      <c r="L61" s="77"/>
      <c r="M61" s="77"/>
      <c r="N61" s="77"/>
      <c r="O61" s="77"/>
    </row>
    <row r="62" ht="15.75" customHeight="1">
      <c r="A62" s="77"/>
      <c r="B62" s="77"/>
      <c r="C62" s="77"/>
      <c r="D62" s="77"/>
      <c r="E62" s="77"/>
      <c r="F62" s="77"/>
      <c r="G62" s="77"/>
      <c r="H62" s="77"/>
      <c r="I62" s="77"/>
      <c r="J62" s="77"/>
      <c r="K62" s="77"/>
      <c r="L62" s="77"/>
      <c r="M62" s="77"/>
      <c r="N62" s="77"/>
      <c r="O62" s="77"/>
    </row>
    <row r="63" ht="15.75" customHeight="1">
      <c r="A63" s="77"/>
      <c r="B63" s="77"/>
      <c r="C63" s="77"/>
      <c r="D63" s="77"/>
      <c r="E63" s="77"/>
      <c r="F63" s="77"/>
      <c r="G63" s="77"/>
      <c r="H63" s="77"/>
      <c r="I63" s="77"/>
      <c r="J63" s="77"/>
      <c r="K63" s="77"/>
      <c r="L63" s="77"/>
      <c r="M63" s="77"/>
      <c r="N63" s="77"/>
      <c r="O63" s="77"/>
    </row>
    <row r="64" ht="15.75" customHeight="1">
      <c r="A64" s="77"/>
      <c r="B64" s="77"/>
      <c r="C64" s="77"/>
      <c r="D64" s="77"/>
      <c r="E64" s="77"/>
      <c r="F64" s="77"/>
      <c r="G64" s="77"/>
      <c r="H64" s="77"/>
      <c r="I64" s="77"/>
      <c r="J64" s="77"/>
      <c r="K64" s="77"/>
      <c r="L64" s="77"/>
      <c r="M64" s="77"/>
      <c r="N64" s="77"/>
      <c r="O64" s="77"/>
    </row>
    <row r="65" ht="15.75" customHeight="1">
      <c r="A65" s="77"/>
      <c r="B65" s="77"/>
      <c r="C65" s="77"/>
      <c r="D65" s="77"/>
      <c r="E65" s="77"/>
      <c r="F65" s="77"/>
      <c r="G65" s="77"/>
      <c r="H65" s="77"/>
      <c r="I65" s="77"/>
      <c r="J65" s="77"/>
      <c r="K65" s="77"/>
      <c r="L65" s="77"/>
      <c r="M65" s="77"/>
      <c r="N65" s="77"/>
      <c r="O65" s="77"/>
    </row>
    <row r="66" ht="15.75" customHeight="1">
      <c r="A66" s="77"/>
      <c r="B66" s="77"/>
      <c r="C66" s="77"/>
      <c r="D66" s="77"/>
      <c r="E66" s="77"/>
      <c r="F66" s="77"/>
      <c r="G66" s="77"/>
      <c r="H66" s="77"/>
      <c r="I66" s="77"/>
      <c r="J66" s="77"/>
      <c r="K66" s="77"/>
      <c r="L66" s="77"/>
      <c r="M66" s="77"/>
      <c r="N66" s="77"/>
      <c r="O66" s="77"/>
    </row>
    <row r="67" ht="15.75" customHeight="1">
      <c r="A67" s="77"/>
      <c r="B67" s="77"/>
      <c r="C67" s="77"/>
      <c r="D67" s="77"/>
      <c r="E67" s="77"/>
      <c r="F67" s="77"/>
      <c r="G67" s="77"/>
      <c r="H67" s="77"/>
      <c r="I67" s="77"/>
      <c r="J67" s="77"/>
      <c r="K67" s="77"/>
      <c r="L67" s="77"/>
      <c r="M67" s="77"/>
      <c r="N67" s="77"/>
      <c r="O67" s="77"/>
    </row>
    <row r="68" ht="15.75" customHeight="1">
      <c r="A68" s="77"/>
      <c r="B68" s="77"/>
      <c r="C68" s="77"/>
      <c r="D68" s="77"/>
      <c r="E68" s="77"/>
      <c r="F68" s="77"/>
      <c r="G68" s="77"/>
      <c r="H68" s="77"/>
      <c r="I68" s="77"/>
      <c r="J68" s="77"/>
      <c r="K68" s="77"/>
      <c r="L68" s="77"/>
      <c r="M68" s="77"/>
      <c r="N68" s="77"/>
      <c r="O68" s="77"/>
    </row>
    <row r="69" ht="15.75" customHeight="1">
      <c r="A69" s="77"/>
      <c r="B69" s="77"/>
      <c r="C69" s="77"/>
      <c r="D69" s="77"/>
      <c r="E69" s="77"/>
      <c r="F69" s="77"/>
      <c r="G69" s="77"/>
      <c r="H69" s="77"/>
      <c r="I69" s="77"/>
      <c r="J69" s="77"/>
      <c r="K69" s="77"/>
      <c r="L69" s="77"/>
      <c r="M69" s="77"/>
      <c r="N69" s="77"/>
      <c r="O69" s="77"/>
    </row>
    <row r="70" ht="15.75" customHeight="1">
      <c r="A70" s="77"/>
      <c r="B70" s="77"/>
      <c r="C70" s="77"/>
      <c r="D70" s="77"/>
      <c r="E70" s="77"/>
      <c r="F70" s="77"/>
      <c r="G70" s="77"/>
      <c r="H70" s="77"/>
      <c r="I70" s="77"/>
      <c r="J70" s="77"/>
      <c r="K70" s="77"/>
      <c r="L70" s="77"/>
      <c r="M70" s="77"/>
      <c r="N70" s="77"/>
      <c r="O70" s="77"/>
    </row>
    <row r="71" ht="15.75" customHeight="1">
      <c r="A71" s="77"/>
      <c r="B71" s="77"/>
      <c r="C71" s="77"/>
      <c r="D71" s="77"/>
      <c r="E71" s="77"/>
      <c r="F71" s="77"/>
      <c r="G71" s="77"/>
      <c r="H71" s="77"/>
      <c r="I71" s="77"/>
      <c r="J71" s="77"/>
      <c r="K71" s="77"/>
      <c r="L71" s="77"/>
      <c r="M71" s="77"/>
      <c r="N71" s="77"/>
      <c r="O71" s="77"/>
    </row>
    <row r="72" ht="15.75" customHeight="1">
      <c r="A72" s="77"/>
      <c r="B72" s="77"/>
      <c r="C72" s="77"/>
      <c r="D72" s="77"/>
      <c r="E72" s="77"/>
      <c r="F72" s="77"/>
      <c r="G72" s="77"/>
      <c r="H72" s="77"/>
      <c r="I72" s="77"/>
      <c r="J72" s="77"/>
      <c r="K72" s="77"/>
      <c r="L72" s="77"/>
      <c r="M72" s="77"/>
      <c r="N72" s="77"/>
      <c r="O72" s="77"/>
    </row>
    <row r="73" ht="15.75" customHeight="1">
      <c r="A73" s="77"/>
      <c r="B73" s="77"/>
      <c r="C73" s="77"/>
      <c r="D73" s="77"/>
      <c r="E73" s="77"/>
      <c r="F73" s="77"/>
      <c r="G73" s="77"/>
      <c r="H73" s="77"/>
      <c r="I73" s="77"/>
      <c r="J73" s="77"/>
      <c r="K73" s="77"/>
      <c r="L73" s="77"/>
      <c r="M73" s="77"/>
      <c r="N73" s="77"/>
      <c r="O73" s="77"/>
    </row>
    <row r="74" ht="15.75" customHeight="1">
      <c r="A74" s="77"/>
      <c r="B74" s="77"/>
      <c r="C74" s="77"/>
      <c r="D74" s="77"/>
      <c r="E74" s="77"/>
      <c r="F74" s="77"/>
      <c r="G74" s="77"/>
      <c r="H74" s="77"/>
      <c r="I74" s="77"/>
      <c r="J74" s="77"/>
      <c r="K74" s="77"/>
      <c r="L74" s="77"/>
      <c r="M74" s="77"/>
      <c r="N74" s="77"/>
      <c r="O74" s="77"/>
    </row>
    <row r="75" ht="15.75" customHeight="1">
      <c r="A75" s="77"/>
      <c r="B75" s="77"/>
      <c r="C75" s="77"/>
      <c r="D75" s="77"/>
      <c r="E75" s="77"/>
      <c r="F75" s="77"/>
      <c r="G75" s="77"/>
      <c r="H75" s="77"/>
      <c r="I75" s="77"/>
      <c r="J75" s="77"/>
      <c r="K75" s="77"/>
      <c r="L75" s="77"/>
      <c r="M75" s="77"/>
      <c r="N75" s="77"/>
      <c r="O75" s="77"/>
    </row>
    <row r="76" ht="15.75" customHeight="1">
      <c r="A76" s="77"/>
      <c r="B76" s="77"/>
      <c r="C76" s="77"/>
      <c r="D76" s="77"/>
      <c r="E76" s="77"/>
      <c r="F76" s="77"/>
      <c r="G76" s="77"/>
      <c r="H76" s="77"/>
      <c r="I76" s="77"/>
      <c r="J76" s="77"/>
      <c r="K76" s="77"/>
      <c r="L76" s="77"/>
      <c r="M76" s="77"/>
      <c r="N76" s="77"/>
      <c r="O76" s="77"/>
    </row>
    <row r="77" ht="15.75" customHeight="1">
      <c r="A77" s="77"/>
      <c r="B77" s="77"/>
      <c r="C77" s="77"/>
      <c r="D77" s="77"/>
      <c r="E77" s="77"/>
      <c r="F77" s="77"/>
      <c r="G77" s="77"/>
      <c r="H77" s="77"/>
      <c r="I77" s="77"/>
      <c r="J77" s="77"/>
      <c r="K77" s="77"/>
      <c r="L77" s="77"/>
      <c r="M77" s="77"/>
      <c r="N77" s="77"/>
      <c r="O77" s="77"/>
    </row>
    <row r="78" ht="15.75" customHeight="1">
      <c r="A78" s="77"/>
      <c r="B78" s="77"/>
      <c r="C78" s="77"/>
      <c r="D78" s="77"/>
      <c r="E78" s="77"/>
      <c r="F78" s="77"/>
      <c r="G78" s="77"/>
      <c r="H78" s="77"/>
      <c r="I78" s="77"/>
      <c r="J78" s="77"/>
      <c r="K78" s="77"/>
      <c r="L78" s="77"/>
      <c r="M78" s="77"/>
      <c r="N78" s="77"/>
      <c r="O78" s="77"/>
    </row>
    <row r="79" ht="15.75" customHeight="1">
      <c r="A79" s="77"/>
      <c r="B79" s="77"/>
      <c r="C79" s="77"/>
      <c r="D79" s="77"/>
      <c r="E79" s="77"/>
      <c r="F79" s="77"/>
      <c r="G79" s="77"/>
      <c r="H79" s="77"/>
      <c r="I79" s="77"/>
      <c r="J79" s="77"/>
      <c r="K79" s="77"/>
      <c r="L79" s="77"/>
      <c r="M79" s="77"/>
      <c r="N79" s="77"/>
      <c r="O79" s="77"/>
    </row>
    <row r="80" ht="15.75" customHeight="1">
      <c r="A80" s="77"/>
      <c r="B80" s="77"/>
      <c r="C80" s="77"/>
      <c r="D80" s="77"/>
      <c r="E80" s="77"/>
      <c r="F80" s="77"/>
      <c r="G80" s="77"/>
      <c r="H80" s="77"/>
      <c r="I80" s="77"/>
      <c r="J80" s="77"/>
      <c r="K80" s="77"/>
      <c r="L80" s="77"/>
      <c r="M80" s="77"/>
      <c r="N80" s="77"/>
      <c r="O80" s="77"/>
    </row>
    <row r="81" ht="15.75" customHeight="1">
      <c r="A81" s="77"/>
      <c r="B81" s="77"/>
      <c r="C81" s="77"/>
      <c r="D81" s="77"/>
      <c r="E81" s="77"/>
      <c r="F81" s="77"/>
      <c r="G81" s="77"/>
      <c r="H81" s="77"/>
      <c r="I81" s="77"/>
      <c r="J81" s="77"/>
      <c r="K81" s="77"/>
      <c r="L81" s="77"/>
      <c r="M81" s="77"/>
      <c r="N81" s="77"/>
      <c r="O81" s="77"/>
    </row>
    <row r="82" ht="15.75" customHeight="1">
      <c r="A82" s="77"/>
      <c r="B82" s="77"/>
      <c r="C82" s="77"/>
      <c r="D82" s="77"/>
      <c r="E82" s="77"/>
      <c r="F82" s="77"/>
      <c r="G82" s="77"/>
      <c r="H82" s="77"/>
      <c r="I82" s="77"/>
      <c r="J82" s="77"/>
      <c r="K82" s="77"/>
      <c r="L82" s="77"/>
      <c r="M82" s="77"/>
      <c r="N82" s="77"/>
      <c r="O82" s="77"/>
    </row>
    <row r="83" ht="15.75" customHeight="1">
      <c r="A83" s="77"/>
      <c r="B83" s="77"/>
      <c r="C83" s="77"/>
      <c r="D83" s="77"/>
      <c r="E83" s="77"/>
      <c r="F83" s="77"/>
      <c r="G83" s="77"/>
      <c r="H83" s="77"/>
      <c r="I83" s="77"/>
      <c r="J83" s="77"/>
      <c r="K83" s="77"/>
      <c r="L83" s="77"/>
      <c r="M83" s="77"/>
      <c r="N83" s="77"/>
      <c r="O83" s="77"/>
    </row>
    <row r="84" ht="15.75" customHeight="1">
      <c r="A84" s="77"/>
      <c r="B84" s="77"/>
      <c r="C84" s="77"/>
      <c r="D84" s="77"/>
      <c r="E84" s="77"/>
      <c r="F84" s="77"/>
      <c r="G84" s="77"/>
      <c r="H84" s="77"/>
      <c r="I84" s="77"/>
      <c r="J84" s="77"/>
      <c r="K84" s="77"/>
      <c r="L84" s="77"/>
      <c r="M84" s="77"/>
      <c r="N84" s="77"/>
      <c r="O84" s="77"/>
    </row>
    <row r="85" ht="15.75" customHeight="1">
      <c r="A85" s="77"/>
      <c r="B85" s="77"/>
      <c r="C85" s="77"/>
      <c r="D85" s="77"/>
      <c r="E85" s="77"/>
      <c r="F85" s="77"/>
      <c r="G85" s="77"/>
      <c r="H85" s="77"/>
      <c r="I85" s="77"/>
      <c r="J85" s="77"/>
      <c r="K85" s="77"/>
      <c r="L85" s="77"/>
      <c r="M85" s="77"/>
      <c r="N85" s="77"/>
      <c r="O85" s="77"/>
    </row>
    <row r="86" ht="15.75" customHeight="1">
      <c r="A86" s="77"/>
      <c r="B86" s="77"/>
      <c r="C86" s="77"/>
      <c r="D86" s="77"/>
      <c r="E86" s="77"/>
      <c r="F86" s="77"/>
      <c r="G86" s="77"/>
      <c r="H86" s="77"/>
      <c r="I86" s="77"/>
      <c r="J86" s="77"/>
      <c r="K86" s="77"/>
      <c r="L86" s="77"/>
      <c r="M86" s="77"/>
      <c r="N86" s="77"/>
      <c r="O86" s="77"/>
    </row>
    <row r="87" ht="15.75" customHeight="1">
      <c r="A87" s="77"/>
      <c r="B87" s="77"/>
      <c r="C87" s="77"/>
      <c r="D87" s="77"/>
      <c r="E87" s="77"/>
      <c r="F87" s="77"/>
      <c r="G87" s="77"/>
      <c r="H87" s="77"/>
      <c r="I87" s="77"/>
      <c r="J87" s="77"/>
      <c r="K87" s="77"/>
      <c r="L87" s="77"/>
      <c r="M87" s="77"/>
      <c r="N87" s="77"/>
      <c r="O87" s="77"/>
    </row>
    <row r="88" ht="15.75" customHeight="1">
      <c r="A88" s="77"/>
      <c r="B88" s="77"/>
      <c r="C88" s="77"/>
      <c r="D88" s="77"/>
      <c r="E88" s="77"/>
      <c r="F88" s="77"/>
      <c r="G88" s="77"/>
      <c r="H88" s="77"/>
      <c r="I88" s="77"/>
      <c r="J88" s="77"/>
      <c r="K88" s="77"/>
      <c r="L88" s="77"/>
      <c r="M88" s="77"/>
      <c r="N88" s="77"/>
      <c r="O88" s="77"/>
    </row>
    <row r="89" ht="15.75" customHeight="1">
      <c r="A89" s="77"/>
      <c r="B89" s="77"/>
      <c r="C89" s="77"/>
      <c r="D89" s="77"/>
      <c r="E89" s="77"/>
      <c r="F89" s="77"/>
      <c r="G89" s="77"/>
      <c r="H89" s="77"/>
      <c r="I89" s="77"/>
      <c r="J89" s="77"/>
      <c r="K89" s="77"/>
      <c r="L89" s="77"/>
      <c r="M89" s="77"/>
      <c r="N89" s="77"/>
      <c r="O89" s="77"/>
    </row>
    <row r="90" ht="15.75" customHeight="1">
      <c r="A90" s="77"/>
      <c r="B90" s="77"/>
      <c r="C90" s="77"/>
      <c r="D90" s="77"/>
      <c r="E90" s="77"/>
      <c r="F90" s="77"/>
      <c r="G90" s="77"/>
      <c r="H90" s="77"/>
      <c r="I90" s="77"/>
      <c r="J90" s="77"/>
      <c r="K90" s="77"/>
      <c r="L90" s="77"/>
      <c r="M90" s="77"/>
      <c r="N90" s="77"/>
      <c r="O90" s="77"/>
    </row>
    <row r="91" ht="15.75" customHeight="1">
      <c r="A91" s="77"/>
      <c r="B91" s="77"/>
      <c r="C91" s="77"/>
      <c r="D91" s="77"/>
      <c r="E91" s="77"/>
      <c r="F91" s="77"/>
      <c r="G91" s="77"/>
      <c r="H91" s="77"/>
      <c r="I91" s="77"/>
      <c r="J91" s="77"/>
      <c r="K91" s="77"/>
      <c r="L91" s="77"/>
      <c r="M91" s="77"/>
      <c r="N91" s="77"/>
      <c r="O91" s="77"/>
    </row>
    <row r="92" ht="15.75" customHeight="1">
      <c r="A92" s="77"/>
      <c r="B92" s="77"/>
      <c r="C92" s="77"/>
      <c r="D92" s="77"/>
      <c r="E92" s="77"/>
      <c r="F92" s="77"/>
      <c r="G92" s="77"/>
      <c r="H92" s="77"/>
      <c r="I92" s="77"/>
      <c r="J92" s="77"/>
      <c r="K92" s="77"/>
      <c r="L92" s="77"/>
      <c r="M92" s="77"/>
      <c r="N92" s="77"/>
      <c r="O92" s="77"/>
    </row>
    <row r="93" ht="15.75" customHeight="1">
      <c r="A93" s="77"/>
      <c r="B93" s="77"/>
      <c r="C93" s="77"/>
      <c r="D93" s="77"/>
      <c r="E93" s="77"/>
      <c r="F93" s="77"/>
      <c r="G93" s="77"/>
      <c r="H93" s="77"/>
      <c r="I93" s="77"/>
      <c r="J93" s="77"/>
      <c r="K93" s="77"/>
      <c r="L93" s="77"/>
      <c r="M93" s="77"/>
      <c r="N93" s="77"/>
      <c r="O93" s="77"/>
    </row>
    <row r="94" ht="15.75" customHeight="1">
      <c r="A94" s="77"/>
      <c r="B94" s="77"/>
      <c r="C94" s="77"/>
      <c r="D94" s="77"/>
      <c r="E94" s="77"/>
      <c r="F94" s="77"/>
      <c r="G94" s="77"/>
      <c r="H94" s="77"/>
      <c r="I94" s="77"/>
      <c r="J94" s="77"/>
      <c r="K94" s="77"/>
      <c r="L94" s="77"/>
      <c r="M94" s="77"/>
      <c r="N94" s="77"/>
      <c r="O94" s="77"/>
    </row>
    <row r="95" ht="15.75" customHeight="1">
      <c r="A95" s="77"/>
      <c r="B95" s="77"/>
      <c r="C95" s="77"/>
      <c r="D95" s="77"/>
      <c r="E95" s="77"/>
      <c r="F95" s="77"/>
      <c r="G95" s="77"/>
      <c r="H95" s="77"/>
      <c r="I95" s="77"/>
      <c r="J95" s="77"/>
      <c r="K95" s="77"/>
      <c r="L95" s="77"/>
      <c r="M95" s="77"/>
      <c r="N95" s="77"/>
      <c r="O95" s="77"/>
    </row>
    <row r="96" ht="15.75" customHeight="1">
      <c r="A96" s="77"/>
      <c r="B96" s="77"/>
      <c r="C96" s="77"/>
      <c r="D96" s="77"/>
      <c r="E96" s="77"/>
      <c r="F96" s="77"/>
      <c r="G96" s="77"/>
      <c r="H96" s="77"/>
      <c r="I96" s="77"/>
      <c r="J96" s="77"/>
      <c r="K96" s="77"/>
      <c r="L96" s="77"/>
      <c r="M96" s="77"/>
      <c r="N96" s="77"/>
      <c r="O96" s="77"/>
    </row>
    <row r="97" ht="15.75" customHeight="1">
      <c r="A97" s="77"/>
      <c r="B97" s="77"/>
      <c r="C97" s="77"/>
      <c r="D97" s="77"/>
      <c r="E97" s="77"/>
      <c r="F97" s="77"/>
      <c r="G97" s="77"/>
      <c r="H97" s="77"/>
      <c r="I97" s="77"/>
      <c r="J97" s="77"/>
      <c r="K97" s="77"/>
      <c r="L97" s="77"/>
      <c r="M97" s="77"/>
      <c r="N97" s="77"/>
      <c r="O97" s="77"/>
    </row>
    <row r="98" ht="15.75" customHeight="1">
      <c r="A98" s="77"/>
      <c r="B98" s="77"/>
      <c r="C98" s="77"/>
      <c r="D98" s="77"/>
      <c r="E98" s="77"/>
      <c r="F98" s="77"/>
      <c r="G98" s="77"/>
      <c r="H98" s="77"/>
      <c r="I98" s="77"/>
      <c r="J98" s="77"/>
      <c r="K98" s="77"/>
      <c r="L98" s="77"/>
      <c r="M98" s="77"/>
      <c r="N98" s="77"/>
      <c r="O98" s="77"/>
    </row>
    <row r="99" ht="15.75" customHeight="1">
      <c r="A99" s="77"/>
      <c r="B99" s="77"/>
      <c r="C99" s="77"/>
      <c r="D99" s="77"/>
      <c r="E99" s="77"/>
      <c r="F99" s="77"/>
      <c r="G99" s="77"/>
      <c r="H99" s="77"/>
      <c r="I99" s="77"/>
      <c r="J99" s="77"/>
      <c r="K99" s="77"/>
      <c r="L99" s="77"/>
      <c r="M99" s="77"/>
      <c r="N99" s="77"/>
      <c r="O99" s="77"/>
    </row>
    <row r="100" ht="15.75" customHeight="1">
      <c r="A100" s="77"/>
      <c r="B100" s="77"/>
      <c r="C100" s="77"/>
      <c r="D100" s="77"/>
      <c r="E100" s="77"/>
      <c r="F100" s="77"/>
      <c r="G100" s="77"/>
      <c r="H100" s="77"/>
      <c r="I100" s="77"/>
      <c r="J100" s="77"/>
      <c r="K100" s="77"/>
      <c r="L100" s="77"/>
      <c r="M100" s="77"/>
      <c r="N100" s="77"/>
      <c r="O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9.13"/>
    <col customWidth="1" min="2" max="15" width="8.88"/>
    <col customWidth="1" min="16" max="26" width="11.25"/>
  </cols>
  <sheetData>
    <row r="1" ht="37.5" customHeight="1">
      <c r="A1" s="33" t="str">
        <f>'Input sheet'!A1</f>
        <v>Novo Nordisk (NYSE:NVO)</v>
      </c>
      <c r="B1" s="35">
        <f>'Input sheet'!B1</f>
        <v>0.0</v>
      </c>
      <c r="C1" s="33" t="s">
        <v>57</v>
      </c>
      <c r="D1" s="37">
        <f>'Input sheet'!D1</f>
        <v>39.4</v>
      </c>
      <c r="E1" s="7"/>
      <c r="F1" s="7"/>
      <c r="G1" s="7"/>
      <c r="H1" s="7"/>
      <c r="I1" s="7"/>
      <c r="J1" s="7"/>
      <c r="K1" s="7"/>
      <c r="L1" s="7"/>
      <c r="M1" s="7"/>
      <c r="N1" s="7"/>
      <c r="O1" s="7"/>
    </row>
    <row r="2" ht="14.25" customHeight="1">
      <c r="A2" s="444" t="s">
        <v>597</v>
      </c>
      <c r="B2" s="444" t="s">
        <v>463</v>
      </c>
      <c r="C2" s="444" t="s">
        <v>464</v>
      </c>
      <c r="D2" s="444" t="s">
        <v>465</v>
      </c>
      <c r="E2" s="444" t="s">
        <v>466</v>
      </c>
      <c r="F2" s="444" t="s">
        <v>467</v>
      </c>
      <c r="G2" s="444" t="s">
        <v>468</v>
      </c>
      <c r="H2" s="444" t="s">
        <v>63</v>
      </c>
      <c r="I2" s="444" t="s">
        <v>64</v>
      </c>
      <c r="J2" s="444" t="s">
        <v>65</v>
      </c>
      <c r="K2" s="470" t="s">
        <v>66</v>
      </c>
      <c r="L2" s="9" t="s">
        <v>391</v>
      </c>
      <c r="M2" s="9"/>
      <c r="N2" s="9"/>
      <c r="O2" s="9"/>
    </row>
    <row r="3" ht="14.25" customHeight="1">
      <c r="A3" s="448" t="s">
        <v>598</v>
      </c>
      <c r="B3" s="467"/>
      <c r="C3" s="467">
        <f>IFERROR('Cash Flow Statement'!C37/((('Balance Sheet'!C20+'Balance Sheet'!C21+'Balance Sheet'!C25+'Balance Sheet'!C26+'Balance Sheet'!C35-'Balance Sheet'!C5)+('Balance Sheet'!B20+'Balance Sheet'!B21+'Balance Sheet'!B25+'Balance Sheet'!B26+'Balance Sheet'!B35-'Balance Sheet'!B5))/2),"")</f>
        <v>1.32459068691679</v>
      </c>
      <c r="D3" s="467">
        <f>IFERROR('Cash Flow Statement'!D37/((('Balance Sheet'!D20+'Balance Sheet'!D21+'Balance Sheet'!D25+'Balance Sheet'!D26+'Balance Sheet'!D35-'Balance Sheet'!D5)+('Balance Sheet'!C20+'Balance Sheet'!C21+'Balance Sheet'!C25+'Balance Sheet'!C26+'Balance Sheet'!C35-'Balance Sheet'!C5))/2),"")</f>
        <v>1.11427390845232</v>
      </c>
      <c r="E3" s="467">
        <f>IFERROR('Cash Flow Statement'!E37/((('Balance Sheet'!E20+'Balance Sheet'!E21+'Balance Sheet'!E25+'Balance Sheet'!E26+'Balance Sheet'!E35-'Balance Sheet'!E5)+('Balance Sheet'!D20+'Balance Sheet'!D21+'Balance Sheet'!D25+'Balance Sheet'!D26+'Balance Sheet'!D35-'Balance Sheet'!D5))/2),"")</f>
        <v>0.99903455043287</v>
      </c>
      <c r="F3" s="467">
        <f>IFERROR('Cash Flow Statement'!F37/((('Balance Sheet'!F20+'Balance Sheet'!F21+'Balance Sheet'!F25+'Balance Sheet'!F26+'Balance Sheet'!F35-'Balance Sheet'!F5)+('Balance Sheet'!E20+'Balance Sheet'!E21+'Balance Sheet'!E25+'Balance Sheet'!E26+'Balance Sheet'!E35-'Balance Sheet'!E5))/2),"")</f>
        <v>0.770200539462883</v>
      </c>
      <c r="G3" s="467">
        <f>IFERROR('Cash Flow Statement'!G37/((('Balance Sheet'!G20+'Balance Sheet'!G21+'Balance Sheet'!G25+'Balance Sheet'!G26+'Balance Sheet'!G35-'Balance Sheet'!G5)+('Balance Sheet'!F20+'Balance Sheet'!F21+'Balance Sheet'!F25+'Balance Sheet'!F26+'Balance Sheet'!F35-'Balance Sheet'!F5))/2),"")</f>
        <v>0.678264235528169</v>
      </c>
      <c r="H3" s="467">
        <f>IFERROR('Cash Flow Statement'!H37/((('Balance Sheet'!H20+'Balance Sheet'!H21+'Balance Sheet'!H25+'Balance Sheet'!H26+'Balance Sheet'!H35-'Balance Sheet'!H5)+('Balance Sheet'!G20+'Balance Sheet'!G21+'Balance Sheet'!G25+'Balance Sheet'!G26+'Balance Sheet'!G35-'Balance Sheet'!G5))/2),"")</f>
        <v>0.694503949111246</v>
      </c>
      <c r="I3" s="467">
        <f>IFERROR('Cash Flow Statement'!I37/((('Balance Sheet'!I20+'Balance Sheet'!I21+'Balance Sheet'!I25+'Balance Sheet'!I26+'Balance Sheet'!I35-'Balance Sheet'!I5)+('Balance Sheet'!H20+'Balance Sheet'!H21+'Balance Sheet'!H25+'Balance Sheet'!H26+'Balance Sheet'!H35-'Balance Sheet'!H5))/2),"")</f>
        <v>0.861757761005925</v>
      </c>
      <c r="J3" s="467">
        <f>IFERROR('Cash Flow Statement'!J37/((('Balance Sheet'!J20+'Balance Sheet'!J21+'Balance Sheet'!J25+'Balance Sheet'!J26+'Balance Sheet'!J35-'Balance Sheet'!J5)+('Balance Sheet'!I20+'Balance Sheet'!I21+'Balance Sheet'!I25+'Balance Sheet'!I26+'Balance Sheet'!I35-'Balance Sheet'!I5))/2),"")</f>
        <v>0.643258084728653</v>
      </c>
      <c r="K3" s="472">
        <f>IFERROR('Cash Flow Statement'!K37/((('Balance Sheet'!K20+'Balance Sheet'!K21+'Balance Sheet'!K25+'Balance Sheet'!K26+'Balance Sheet'!K35-'Balance Sheet'!K5)+('Balance Sheet'!J20+'Balance Sheet'!J21+'Balance Sheet'!J25+'Balance Sheet'!J26+'Balance Sheet'!J35-'Balance Sheet'!J5))/2),"")</f>
        <v>0.390482111394586</v>
      </c>
      <c r="L3" s="468">
        <f>IFERROR('Cash Flow Statement'!L37/((('Balance Sheet'!L20+'Balance Sheet'!L21+'Balance Sheet'!L25+'Balance Sheet'!L26+'Balance Sheet'!L35-'Balance Sheet'!L5)+('Balance Sheet'!K20+'Balance Sheet'!K21+'Balance Sheet'!K25+'Balance Sheet'!K26+'Balance Sheet'!K35-'Balance Sheet'!K5))/2),"")</f>
        <v>0.312634233673558</v>
      </c>
      <c r="M3" s="9"/>
      <c r="N3" s="9"/>
      <c r="O3" s="9"/>
    </row>
    <row r="4" ht="14.25" customHeight="1">
      <c r="A4" s="448" t="s">
        <v>604</v>
      </c>
      <c r="B4" s="467"/>
      <c r="C4" s="467">
        <f>IFERROR('Income Statement'!C22/(('Balance Sheet'!C16+'Balance Sheet'!B16)/2),"")</f>
        <v>0.381211223658475</v>
      </c>
      <c r="D4" s="467">
        <f>IFERROR('Income Statement'!D22/(('Balance Sheet'!D16+'Balance Sheet'!C16)/2),"")</f>
        <v>0.365343020685205</v>
      </c>
      <c r="E4" s="467">
        <f>IFERROR('Income Statement'!E22/(('Balance Sheet'!E16+'Balance Sheet'!D16)/2),"")</f>
        <v>0.325577894490349</v>
      </c>
      <c r="F4" s="467">
        <f>IFERROR('Income Statement'!F22/(('Balance Sheet'!F16+'Balance Sheet'!E16)/2),"")</f>
        <v>0.301344121833391</v>
      </c>
      <c r="G4" s="467">
        <f>IFERROR('Income Statement'!G22/(('Balance Sheet'!G16+'Balance Sheet'!F16)/2),"")</f>
        <v>0.283633510201031</v>
      </c>
      <c r="H4" s="467">
        <f>IFERROR('Income Statement'!H22/(('Balance Sheet'!H16+'Balance Sheet'!G16)/2),"")</f>
        <v>0.244185503383291</v>
      </c>
      <c r="I4" s="467">
        <f>IFERROR('Income Statement'!I22/(('Balance Sheet'!I16+'Balance Sheet'!H16)/2),"")</f>
        <v>0.298931429274898</v>
      </c>
      <c r="J4" s="467">
        <f>IFERROR('Income Statement'!J22/(('Balance Sheet'!J16+'Balance Sheet'!I16)/2),"")</f>
        <v>0.262815596940025</v>
      </c>
      <c r="K4" s="472">
        <f>IFERROR('Income Statement'!K22/(('Balance Sheet'!K16+'Balance Sheet'!J16)/2),"")</f>
        <v>0.206008006771685</v>
      </c>
      <c r="L4" s="468">
        <f>IFERROR('Income Statement'!L22/(('Balance Sheet'!L16+'Balance Sheet'!K16)/2),"")</f>
        <v>0.178106072737473</v>
      </c>
      <c r="M4" s="9"/>
      <c r="N4" s="9"/>
      <c r="O4" s="9"/>
    </row>
    <row r="5" ht="14.25" customHeight="1">
      <c r="A5" s="448" t="s">
        <v>607</v>
      </c>
      <c r="B5" s="467"/>
      <c r="C5" s="467">
        <f>IFERROR('Income Statement'!C22/(('Balance Sheet'!C35+'Balance Sheet'!B35)/2),"")</f>
        <v>0.800210479672095</v>
      </c>
      <c r="D5" s="467">
        <f>IFERROR('Income Statement'!D22/(('Balance Sheet'!D35+'Balance Sheet'!C35)/2),"")</f>
        <v>0.765597806353062</v>
      </c>
      <c r="E5" s="467">
        <f>IFERROR('Income Statement'!E22/(('Balance Sheet'!E35+'Balance Sheet'!D35)/2),"")</f>
        <v>0.70320261555969</v>
      </c>
      <c r="F5" s="467">
        <f>IFERROR('Income Statement'!F22/(('Balance Sheet'!F35+'Balance Sheet'!E35)/2),"")</f>
        <v>0.674951708397242</v>
      </c>
      <c r="G5" s="467">
        <f>IFERROR('Income Statement'!G22/(('Balance Sheet'!G35+'Balance Sheet'!F35)/2),"")</f>
        <v>0.715483478728067</v>
      </c>
      <c r="H5" s="467">
        <f>IFERROR('Income Statement'!H22/(('Balance Sheet'!H35+'Balance Sheet'!G35)/2),"")</f>
        <v>0.689404462574508</v>
      </c>
      <c r="I5" s="467">
        <f>IFERROR('Income Statement'!I22/(('Balance Sheet'!I35+'Balance Sheet'!H35)/2),"")</f>
        <v>0.874296989205499</v>
      </c>
      <c r="J5" s="467">
        <f>IFERROR('Income Statement'!J22/(('Balance Sheet'!J35+'Balance Sheet'!I35)/2),"")</f>
        <v>0.818770904762304</v>
      </c>
      <c r="K5" s="472">
        <f>IFERROR('Income Statement'!K22/(('Balance Sheet'!K35+'Balance Sheet'!J35)/2),"")</f>
        <v>0.612830938684045</v>
      </c>
      <c r="L5" s="468">
        <f>IFERROR('Income Statement'!L22/(('Balance Sheet'!L35+'Balance Sheet'!K35)/2),"")</f>
        <v>0.48810124060829</v>
      </c>
      <c r="M5" s="9"/>
      <c r="N5" s="9"/>
      <c r="O5" s="9"/>
    </row>
    <row r="6" ht="14.25" customHeight="1">
      <c r="A6" s="448" t="s">
        <v>609</v>
      </c>
      <c r="B6" s="467"/>
      <c r="C6" s="467">
        <f>IFERROR('Cash Flow Statement'!C37/((('Balance Sheet'!C20+'Balance Sheet'!C21+'Balance Sheet'!C25+'Balance Sheet'!C26+'Balance Sheet'!C35)+('Balance Sheet'!B20+'Balance Sheet'!B21+'Balance Sheet'!B25+'Balance Sheet'!B26+'Balance Sheet'!B35))/2),"")</f>
        <v>0.788264648848026</v>
      </c>
      <c r="D6" s="467">
        <f>IFERROR('Cash Flow Statement'!D37/((('Balance Sheet'!D20+'Balance Sheet'!D21+'Balance Sheet'!D25+'Balance Sheet'!D26+'Balance Sheet'!D35)+('Balance Sheet'!C20+'Balance Sheet'!C21+'Balance Sheet'!C25+'Balance Sheet'!C26+'Balance Sheet'!C35))/2),"")</f>
        <v>0.74332477810515</v>
      </c>
      <c r="E6" s="467">
        <f>IFERROR('Cash Flow Statement'!E37/((('Balance Sheet'!E20+'Balance Sheet'!E21+'Balance Sheet'!E25+'Balance Sheet'!E26+'Balance Sheet'!E35)+('Balance Sheet'!D20+'Balance Sheet'!D21+'Balance Sheet'!D25+'Balance Sheet'!D26+'Balance Sheet'!D35))/2),"")</f>
        <v>0.72715752852609</v>
      </c>
      <c r="F6" s="467">
        <f>IFERROR('Cash Flow Statement'!F37/((('Balance Sheet'!F20+'Balance Sheet'!F21+'Balance Sheet'!F25+'Balance Sheet'!F26+'Balance Sheet'!F35)+('Balance Sheet'!E20+'Balance Sheet'!E21+'Balance Sheet'!E25+'Balance Sheet'!E26+'Balance Sheet'!E35))/2),"")</f>
        <v>0.611368142762723</v>
      </c>
      <c r="G6" s="467">
        <f>IFERROR('Cash Flow Statement'!G37/((('Balance Sheet'!G20+'Balance Sheet'!G21+'Balance Sheet'!G25+'Balance Sheet'!G26+'Balance Sheet'!G35)+('Balance Sheet'!F20+'Balance Sheet'!F21+'Balance Sheet'!F25+'Balance Sheet'!F26+'Balance Sheet'!F35))/2),"")</f>
        <v>0.558445312442096</v>
      </c>
      <c r="H6" s="467">
        <f>IFERROR('Cash Flow Statement'!H37/((('Balance Sheet'!H20+'Balance Sheet'!H21+'Balance Sheet'!H25+'Balance Sheet'!H26+'Balance Sheet'!H35)+('Balance Sheet'!G20+'Balance Sheet'!G21+'Balance Sheet'!G25+'Balance Sheet'!G26+'Balance Sheet'!G35))/2),"")</f>
        <v>0.556896297388996</v>
      </c>
      <c r="I6" s="467">
        <f>IFERROR('Cash Flow Statement'!I37/((('Balance Sheet'!I20+'Balance Sheet'!I21+'Balance Sheet'!I25+'Balance Sheet'!I26+'Balance Sheet'!I35)+('Balance Sheet'!H20+'Balance Sheet'!H21+'Balance Sheet'!H25+'Balance Sheet'!H26+'Balance Sheet'!H35))/2),"")</f>
        <v>0.670748345341587</v>
      </c>
      <c r="J6" s="467">
        <f>IFERROR('Cash Flow Statement'!J37/((('Balance Sheet'!J20+'Balance Sheet'!J21+'Balance Sheet'!J25+'Balance Sheet'!J26+'Balance Sheet'!J35)+('Balance Sheet'!I20+'Balance Sheet'!I21+'Balance Sheet'!I25+'Balance Sheet'!I26+'Balance Sheet'!I35))/2),"")</f>
        <v>0.546409166512659</v>
      </c>
      <c r="K6" s="472">
        <f>IFERROR('Cash Flow Statement'!K37/((('Balance Sheet'!K20+'Balance Sheet'!K21+'Balance Sheet'!K25+'Balance Sheet'!K26+'Balance Sheet'!K35)+('Balance Sheet'!J20+'Balance Sheet'!J21+'Balance Sheet'!J25+'Balance Sheet'!J26+'Balance Sheet'!J35))/2),"")</f>
        <v>0.354346284127805</v>
      </c>
      <c r="L6" s="468">
        <f>IFERROR('Cash Flow Statement'!L37/((('Balance Sheet'!L20+'Balance Sheet'!L21+'Balance Sheet'!L25+'Balance Sheet'!L26+'Balance Sheet'!L35)+('Balance Sheet'!K20+'Balance Sheet'!K21+'Balance Sheet'!K25+'Balance Sheet'!K26+'Balance Sheet'!K35))/2),"")</f>
        <v>0.279968368134661</v>
      </c>
      <c r="M6" s="9"/>
      <c r="N6" s="9"/>
      <c r="O6" s="9"/>
    </row>
    <row r="7" ht="14.25" customHeight="1">
      <c r="A7" s="448" t="s">
        <v>614</v>
      </c>
      <c r="B7" s="467"/>
      <c r="C7" s="467">
        <f>IFERROR('Income Statement'!C12/((('Balance Sheet'!C16-'Balance Sheet'!C24)+('Balance Sheet'!B16-'Balance Sheet'!B24))/2),"")</f>
        <v>0.926954783912066</v>
      </c>
      <c r="D7" s="467">
        <f>IFERROR('Income Statement'!D12/((('Balance Sheet'!D16-'Balance Sheet'!D24)+('Balance Sheet'!C16-'Balance Sheet'!C24))/2),"")</f>
        <v>0.850492105278121</v>
      </c>
      <c r="E7" s="467">
        <f>IFERROR('Income Statement'!E12/((('Balance Sheet'!E16-'Balance Sheet'!E24)+('Balance Sheet'!D16-'Balance Sheet'!D24))/2),"")</f>
        <v>0.841617730428179</v>
      </c>
      <c r="F7" s="467">
        <f>IFERROR('Income Statement'!F12/((('Balance Sheet'!F16-'Balance Sheet'!F24)+('Balance Sheet'!E16-'Balance Sheet'!E24))/2),"")</f>
        <v>0.741705779083516</v>
      </c>
      <c r="G7" s="467">
        <f>IFERROR('Income Statement'!G12/((('Balance Sheet'!G16-'Balance Sheet'!G24)+('Balance Sheet'!F16-'Balance Sheet'!F24))/2),"")</f>
        <v>0.696160697281007</v>
      </c>
      <c r="H7" s="467">
        <f>IFERROR('Income Statement'!H12/((('Balance Sheet'!H16-'Balance Sheet'!H24)+('Balance Sheet'!G16-'Balance Sheet'!G24))/2),"")</f>
        <v>0.666053050481489</v>
      </c>
      <c r="I7" s="467">
        <f>IFERROR('Income Statement'!I12/((('Balance Sheet'!I16-'Balance Sheet'!I24)+('Balance Sheet'!H16-'Balance Sheet'!H24))/2),"")</f>
        <v>0.768492722714375</v>
      </c>
      <c r="J7" s="467">
        <f>IFERROR('Income Statement'!J12/((('Balance Sheet'!J16-'Balance Sheet'!J24)+('Balance Sheet'!I16-'Balance Sheet'!I24))/2),"")</f>
        <v>0.664686520488087</v>
      </c>
      <c r="K7" s="472">
        <f>IFERROR('Income Statement'!K12/((('Balance Sheet'!K16-'Balance Sheet'!K24)+('Balance Sheet'!J16-'Balance Sheet'!J24))/2),"")</f>
        <v>0.448451541135897</v>
      </c>
      <c r="L7" s="468">
        <f>IFERROR('Income Statement'!L12/((('Balance Sheet'!L16-'Balance Sheet'!L24)+('Balance Sheet'!K16-'Balance Sheet'!K24))/2),"")</f>
        <v>0.359313447771316</v>
      </c>
      <c r="M7" s="9"/>
      <c r="N7" s="9"/>
      <c r="O7" s="9"/>
    </row>
    <row r="8" ht="14.25" customHeight="1">
      <c r="A8" s="448" t="s">
        <v>617</v>
      </c>
      <c r="B8" s="467"/>
      <c r="C8" s="467">
        <f>IFERROR('Income Statement'!C22/((('Balance Sheet'!C16-'Balance Sheet'!C13-'Balance Sheet'!C12)+('Balance Sheet'!B16-'Balance Sheet'!B13-'Balance Sheet'!B12))/2),"")</f>
        <v>0.393146402609728</v>
      </c>
      <c r="D8" s="467">
        <f>IFERROR('Income Statement'!D22/((('Balance Sheet'!D16-'Balance Sheet'!D13-'Balance Sheet'!D12)+('Balance Sheet'!C16-'Balance Sheet'!C13-'Balance Sheet'!C12))/2),"")</f>
        <v>0.380394852669004</v>
      </c>
      <c r="E8" s="467">
        <f>IFERROR('Income Statement'!E22/((('Balance Sheet'!E16-'Balance Sheet'!E13-'Balance Sheet'!E12)+('Balance Sheet'!D16-'Balance Sheet'!D13-'Balance Sheet'!D12))/2),"")</f>
        <v>0.341437316914873</v>
      </c>
      <c r="F8" s="467">
        <f>IFERROR('Income Statement'!F22/((('Balance Sheet'!F16-'Balance Sheet'!F13-'Balance Sheet'!F12)+('Balance Sheet'!E16-'Balance Sheet'!E13-'Balance Sheet'!E12))/2),"")</f>
        <v>0.334872631316489</v>
      </c>
      <c r="G8" s="467">
        <f>IFERROR('Income Statement'!G22/((('Balance Sheet'!G16-'Balance Sheet'!G13-'Balance Sheet'!G12)+('Balance Sheet'!F16-'Balance Sheet'!F13-'Balance Sheet'!F12))/2),"")</f>
        <v>0.348654067424091</v>
      </c>
      <c r="H8" s="467">
        <f>IFERROR('Income Statement'!H22/((('Balance Sheet'!H16-'Balance Sheet'!H13-'Balance Sheet'!H12)+('Balance Sheet'!G16-'Balance Sheet'!G13-'Balance Sheet'!G12))/2),"")</f>
        <v>0.311510478426419</v>
      </c>
      <c r="I8" s="467">
        <f>IFERROR('Income Statement'!I22/((('Balance Sheet'!I16-'Balance Sheet'!I13-'Balance Sheet'!I12)+('Balance Sheet'!H16-'Balance Sheet'!H13-'Balance Sheet'!H12))/2),"")</f>
        <v>0.373756886092978</v>
      </c>
      <c r="J8" s="467">
        <f>IFERROR('Income Statement'!J22/((('Balance Sheet'!J16-'Balance Sheet'!J13-'Balance Sheet'!J12)+('Balance Sheet'!I16-'Balance Sheet'!I13-'Balance Sheet'!I12))/2),"")</f>
        <v>0.336423746775158</v>
      </c>
      <c r="K8" s="472">
        <f>IFERROR('Income Statement'!K22/((('Balance Sheet'!K16-'Balance Sheet'!K13-'Balance Sheet'!K12)+('Balance Sheet'!J16-'Balance Sheet'!J13-'Balance Sheet'!J12))/2),"")</f>
        <v>0.270665082408527</v>
      </c>
      <c r="L8" s="468">
        <f>IFERROR('Income Statement'!L22/((('Balance Sheet'!L16-'Balance Sheet'!L13-'Balance Sheet'!L12)+('Balance Sheet'!K16-'Balance Sheet'!K13-'Balance Sheet'!K12))/2),"")</f>
        <v>0.228880670424328</v>
      </c>
      <c r="M8" s="9"/>
      <c r="N8" s="9"/>
      <c r="O8" s="9"/>
    </row>
    <row r="9" ht="14.25" customHeight="1">
      <c r="A9" s="448" t="s">
        <v>619</v>
      </c>
      <c r="B9" s="473"/>
      <c r="C9" s="473">
        <f>IFERROR('Income Statement'!C3/(('Balance Sheet'!C8+'Balance Sheet'!B8)/2),"")</f>
        <v>4.68623868449464</v>
      </c>
      <c r="D9" s="473">
        <f>IFERROR('Income Statement'!D3/(('Balance Sheet'!D8+'Balance Sheet'!C8)/2),"")</f>
        <v>4.47208468067906</v>
      </c>
      <c r="E9" s="473">
        <f>IFERROR('Income Statement'!E3/(('Balance Sheet'!E8+'Balance Sheet'!D8)/2),"")</f>
        <v>4.30116855940373</v>
      </c>
      <c r="F9" s="473">
        <f>IFERROR('Income Statement'!F3/(('Balance Sheet'!F8+'Balance Sheet'!E8)/2),"")</f>
        <v>4.00821397614232</v>
      </c>
      <c r="G9" s="473">
        <f>IFERROR('Income Statement'!G3/(('Balance Sheet'!G8+'Balance Sheet'!F8)/2),"")</f>
        <v>3.59928590383827</v>
      </c>
      <c r="H9" s="473">
        <f>IFERROR('Income Statement'!H3/(('Balance Sheet'!H8+'Balance Sheet'!G8)/2),"")</f>
        <v>3.2507300575591</v>
      </c>
      <c r="I9" s="473">
        <f>IFERROR('Income Statement'!I3/(('Balance Sheet'!I8+'Balance Sheet'!H8)/2),"")</f>
        <v>3.47284129380665</v>
      </c>
      <c r="J9" s="473">
        <f>IFERROR('Income Statement'!J3/(('Balance Sheet'!J8+'Balance Sheet'!I8)/2),"")</f>
        <v>3.59170833386616</v>
      </c>
      <c r="K9" s="474">
        <f>IFERROR('Income Statement'!K3/(('Balance Sheet'!K8+'Balance Sheet'!J8)/2),"")</f>
        <v>3.54721079754974</v>
      </c>
      <c r="L9" s="475">
        <f>IFERROR('Income Statement'!L3/(('Balance Sheet'!L8+'Balance Sheet'!K8)/2),"")</f>
        <v>3.09130160308515</v>
      </c>
      <c r="M9" s="9"/>
      <c r="N9" s="9"/>
      <c r="O9" s="9"/>
    </row>
    <row r="10" ht="14.25" customHeight="1">
      <c r="A10" s="448" t="s">
        <v>622</v>
      </c>
      <c r="B10" s="476"/>
      <c r="C10" s="476">
        <f t="shared" ref="C10:L10" si="1">IFERROR(365/C9,"")</f>
        <v>77.8876247186631</v>
      </c>
      <c r="D10" s="476">
        <f t="shared" si="1"/>
        <v>81.6174169458206</v>
      </c>
      <c r="E10" s="476">
        <f t="shared" si="1"/>
        <v>84.8606593670907</v>
      </c>
      <c r="F10" s="476">
        <f t="shared" si="1"/>
        <v>91.063002667161</v>
      </c>
      <c r="G10" s="476">
        <f t="shared" si="1"/>
        <v>101.409004383554</v>
      </c>
      <c r="H10" s="476">
        <f t="shared" si="1"/>
        <v>112.282469948941</v>
      </c>
      <c r="I10" s="476">
        <f t="shared" si="1"/>
        <v>105.101261221159</v>
      </c>
      <c r="J10" s="476">
        <f t="shared" si="1"/>
        <v>101.622950994773</v>
      </c>
      <c r="K10" s="478">
        <f t="shared" si="1"/>
        <v>102.897747224982</v>
      </c>
      <c r="L10" s="479">
        <f t="shared" si="1"/>
        <v>118.073241263721</v>
      </c>
      <c r="M10" s="9"/>
      <c r="N10" s="9"/>
      <c r="O10" s="9"/>
    </row>
    <row r="11" ht="14.25" customHeight="1">
      <c r="A11" s="448" t="s">
        <v>623</v>
      </c>
      <c r="B11" s="473"/>
      <c r="C11" s="473">
        <f>IFERROR('Income Statement'!C5/(('Balance Sheet'!C18+'Balance Sheet'!B18)/2),"")</f>
        <v>3.04350797266515</v>
      </c>
      <c r="D11" s="473">
        <f>IFERROR('Income Statement'!D5/(('Balance Sheet'!D18+'Balance Sheet'!C18)/2),"")</f>
        <v>2.8755413487317</v>
      </c>
      <c r="E11" s="473">
        <f>IFERROR('Income Statement'!E5/(('Balance Sheet'!E18+'Balance Sheet'!D18)/2),"")</f>
        <v>3.02384657864351</v>
      </c>
      <c r="F11" s="473">
        <f>IFERROR('Income Statement'!F5/(('Balance Sheet'!F18+'Balance Sheet'!E18)/2),"")</f>
        <v>3.37307773330525</v>
      </c>
      <c r="G11" s="473">
        <f>IFERROR('Income Statement'!G5/(('Balance Sheet'!G18+'Balance Sheet'!F18)/2),"")</f>
        <v>3.27880716745869</v>
      </c>
      <c r="H11" s="473">
        <f>IFERROR('Income Statement'!H5/(('Balance Sheet'!H18+'Balance Sheet'!G18)/2),"")</f>
        <v>2.24040150564617</v>
      </c>
      <c r="I11" s="473">
        <f>IFERROR('Income Statement'!I5/(('Balance Sheet'!I18+'Balance Sheet'!H18)/2),"")</f>
        <v>1.72046219392915</v>
      </c>
      <c r="J11" s="473">
        <f>IFERROR('Income Statement'!J5/(('Balance Sheet'!J18+'Balance Sheet'!I18)/2),"")</f>
        <v>2.08887164063258</v>
      </c>
      <c r="K11" s="474">
        <f>IFERROR('Income Statement'!K5/(('Balance Sheet'!K18+'Balance Sheet'!J18)/2),"")</f>
        <v>3.23267831149927</v>
      </c>
      <c r="L11" s="475">
        <f>IFERROR('Income Statement'!L5/(('Balance Sheet'!L18+'Balance Sheet'!K18)/2),"")</f>
        <v>3.73285076698046</v>
      </c>
      <c r="M11" s="9"/>
      <c r="N11" s="9"/>
      <c r="O11" s="9"/>
    </row>
    <row r="12" ht="14.25" customHeight="1">
      <c r="A12" s="448" t="s">
        <v>625</v>
      </c>
      <c r="B12" s="476"/>
      <c r="C12" s="476">
        <f t="shared" ref="C12:L12" si="2">IFERROR(365/C11,"")</f>
        <v>119.927400643664</v>
      </c>
      <c r="D12" s="476">
        <f t="shared" si="2"/>
        <v>126.932620934486</v>
      </c>
      <c r="E12" s="476">
        <f t="shared" si="2"/>
        <v>120.707182228716</v>
      </c>
      <c r="F12" s="476">
        <f t="shared" si="2"/>
        <v>108.209780164876</v>
      </c>
      <c r="G12" s="476">
        <f t="shared" si="2"/>
        <v>111.320971730979</v>
      </c>
      <c r="H12" s="476">
        <f t="shared" si="2"/>
        <v>162.917226702509</v>
      </c>
      <c r="I12" s="476">
        <f t="shared" si="2"/>
        <v>212.152293312777</v>
      </c>
      <c r="J12" s="476">
        <f t="shared" si="2"/>
        <v>174.735485369252</v>
      </c>
      <c r="K12" s="478">
        <f t="shared" si="2"/>
        <v>112.909471598712</v>
      </c>
      <c r="L12" s="479">
        <f t="shared" si="2"/>
        <v>97.7804961368044</v>
      </c>
      <c r="M12" s="9"/>
      <c r="N12" s="9"/>
      <c r="O12" s="9"/>
    </row>
    <row r="13" ht="14.25" customHeight="1">
      <c r="A13" s="448" t="s">
        <v>626</v>
      </c>
      <c r="B13" s="455"/>
      <c r="C13" s="455"/>
      <c r="D13" s="455"/>
      <c r="E13" s="455"/>
      <c r="F13" s="455"/>
      <c r="G13" s="455"/>
      <c r="H13" s="455"/>
      <c r="I13" s="455"/>
      <c r="J13" s="455"/>
      <c r="K13" s="482"/>
      <c r="L13" s="483"/>
      <c r="M13" s="9"/>
      <c r="N13" s="9"/>
      <c r="O13" s="9"/>
    </row>
    <row r="14" ht="14.25" customHeight="1">
      <c r="A14" s="448" t="s">
        <v>629</v>
      </c>
      <c r="B14" s="455"/>
      <c r="C14" s="455"/>
      <c r="D14" s="455"/>
      <c r="E14" s="455"/>
      <c r="F14" s="455"/>
      <c r="G14" s="455"/>
      <c r="H14" s="455"/>
      <c r="I14" s="455"/>
      <c r="J14" s="455"/>
      <c r="K14" s="482"/>
      <c r="L14" s="483"/>
      <c r="M14" s="9"/>
      <c r="N14" s="9"/>
      <c r="O14" s="9"/>
    </row>
    <row r="15" ht="14.25" customHeight="1">
      <c r="A15" s="448" t="s">
        <v>630</v>
      </c>
      <c r="B15" s="476"/>
      <c r="C15" s="476">
        <f t="shared" ref="C15:L15" si="3">IFERROR(C10-C12,"")</f>
        <v>-42.0397759250013</v>
      </c>
      <c r="D15" s="476">
        <f t="shared" si="3"/>
        <v>-45.315203988665</v>
      </c>
      <c r="E15" s="476">
        <f t="shared" si="3"/>
        <v>-35.846522861625</v>
      </c>
      <c r="F15" s="476">
        <f t="shared" si="3"/>
        <v>-17.1467774977154</v>
      </c>
      <c r="G15" s="476">
        <f t="shared" si="3"/>
        <v>-9.91196734742459</v>
      </c>
      <c r="H15" s="476">
        <f t="shared" si="3"/>
        <v>-50.6347567535677</v>
      </c>
      <c r="I15" s="476">
        <f t="shared" si="3"/>
        <v>-107.051032091618</v>
      </c>
      <c r="J15" s="476">
        <f t="shared" si="3"/>
        <v>-73.1125343744788</v>
      </c>
      <c r="K15" s="478">
        <f t="shared" si="3"/>
        <v>-10.0117243737302</v>
      </c>
      <c r="L15" s="479">
        <f t="shared" si="3"/>
        <v>20.2927451269167</v>
      </c>
      <c r="M15" s="9"/>
      <c r="N15" s="9"/>
      <c r="O15" s="9"/>
    </row>
    <row r="16" ht="14.25" customHeight="1">
      <c r="A16" s="448" t="s">
        <v>631</v>
      </c>
      <c r="B16" s="473"/>
      <c r="C16" s="473">
        <f>IFERROR('Income Statement'!C3/(('Balance Sheet'!C16+'Balance Sheet'!B16)/2),"")</f>
        <v>1.11669926545529</v>
      </c>
      <c r="D16" s="473">
        <f>IFERROR('Income Statement'!D3/(('Balance Sheet'!D16+'Balance Sheet'!C16)/2),"")</f>
        <v>1.05769989125629</v>
      </c>
      <c r="E16" s="473">
        <f>IFERROR('Income Statement'!E3/(('Balance Sheet'!E16+'Balance Sheet'!D16)/2),"")</f>
        <v>1.01993220263384</v>
      </c>
      <c r="F16" s="473">
        <f>IFERROR('Income Statement'!F3/(('Balance Sheet'!F16+'Balance Sheet'!E16)/2),"")</f>
        <v>0.907832647366096</v>
      </c>
      <c r="G16" s="473">
        <f>IFERROR('Income Statement'!G3/(('Balance Sheet'!G16+'Balance Sheet'!F16)/2),"")</f>
        <v>0.836226739406621</v>
      </c>
      <c r="H16" s="473">
        <f>IFERROR('Income Statement'!H3/(('Balance Sheet'!H16+'Balance Sheet'!G16)/2),"")</f>
        <v>0.778197467124623</v>
      </c>
      <c r="I16" s="473">
        <f>IFERROR('Income Statement'!I3/(('Balance Sheet'!I16+'Balance Sheet'!H16)/2),"")</f>
        <v>0.829681152283639</v>
      </c>
      <c r="J16" s="473">
        <f>IFERROR('Income Statement'!J3/(('Balance Sheet'!J16+'Balance Sheet'!I16)/2),"")</f>
        <v>0.75575897986476</v>
      </c>
      <c r="K16" s="474">
        <f>IFERROR('Income Statement'!K3/(('Balance Sheet'!K16+'Balance Sheet'!J16)/2),"")</f>
        <v>0.621568241225292</v>
      </c>
      <c r="L16" s="475">
        <f>IFERROR('Income Statement'!L3/(('Balance Sheet'!L16+'Balance Sheet'!K16)/2),"")</f>
        <v>0.536667995443545</v>
      </c>
      <c r="M16" s="9"/>
      <c r="N16" s="9"/>
      <c r="O16" s="9"/>
    </row>
    <row r="17" ht="14.25" customHeight="1">
      <c r="A17" s="448" t="s">
        <v>634</v>
      </c>
      <c r="B17" s="473"/>
      <c r="C17" s="473">
        <f>IFERROR('Income Statement'!C3/(('Balance Sheet'!C11+'Balance Sheet'!B11)/2),"")</f>
        <v>3.40027518605188</v>
      </c>
      <c r="D17" s="473">
        <f>IFERROR('Income Statement'!D3/(('Balance Sheet'!D11+'Balance Sheet'!C11)/2),"")</f>
        <v>2.92568567013461</v>
      </c>
      <c r="E17" s="473">
        <f>IFERROR('Income Statement'!E3/(('Balance Sheet'!E11+'Balance Sheet'!D11)/2),"")</f>
        <v>2.60883764377037</v>
      </c>
      <c r="F17" s="473">
        <f>IFERROR('Income Statement'!F3/(('Balance Sheet'!F11+'Balance Sheet'!E11)/2),"")</f>
        <v>2.44437312390266</v>
      </c>
      <c r="G17" s="473">
        <f>IFERROR('Income Statement'!G3/(('Balance Sheet'!G11+'Balance Sheet'!F11)/2),"")</f>
        <v>2.67662167576651</v>
      </c>
      <c r="H17" s="473">
        <f>IFERROR('Income Statement'!H3/(('Balance Sheet'!H11+'Balance Sheet'!G11)/2),"")</f>
        <v>2.77761970390788</v>
      </c>
      <c r="I17" s="473">
        <f>IFERROR('Income Statement'!I3/(('Balance Sheet'!I11+'Balance Sheet'!H11)/2),"")</f>
        <v>2.92401339766062</v>
      </c>
      <c r="J17" s="473">
        <f>IFERROR('Income Statement'!J3/(('Balance Sheet'!J11+'Balance Sheet'!I11)/2),"")</f>
        <v>2.33998816959141</v>
      </c>
      <c r="K17" s="474">
        <f>IFERROR('Income Statement'!K3/(('Balance Sheet'!K11+'Balance Sheet'!J11)/2),"")</f>
        <v>1.68892167711791</v>
      </c>
      <c r="L17" s="475">
        <f>IFERROR('Income Statement'!L3/(('Balance Sheet'!L11+'Balance Sheet'!K11)/2),"")</f>
        <v>1.38755944332128</v>
      </c>
      <c r="M17" s="9"/>
      <c r="N17" s="9"/>
      <c r="O17" s="9"/>
    </row>
    <row r="18" ht="14.25" customHeight="1">
      <c r="A18" s="448" t="s">
        <v>636</v>
      </c>
      <c r="B18" s="476"/>
      <c r="C18" s="476">
        <f t="shared" ref="C18:L18" si="4">IFERROR(C10,"")</f>
        <v>77.8876247186631</v>
      </c>
      <c r="D18" s="476">
        <f t="shared" si="4"/>
        <v>81.6174169458206</v>
      </c>
      <c r="E18" s="476">
        <f t="shared" si="4"/>
        <v>84.8606593670907</v>
      </c>
      <c r="F18" s="476">
        <f t="shared" si="4"/>
        <v>91.063002667161</v>
      </c>
      <c r="G18" s="476">
        <f t="shared" si="4"/>
        <v>101.409004383554</v>
      </c>
      <c r="H18" s="476">
        <f t="shared" si="4"/>
        <v>112.282469948941</v>
      </c>
      <c r="I18" s="476">
        <f t="shared" si="4"/>
        <v>105.101261221159</v>
      </c>
      <c r="J18" s="476">
        <f t="shared" si="4"/>
        <v>101.622950994773</v>
      </c>
      <c r="K18" s="478">
        <f t="shared" si="4"/>
        <v>102.897747224982</v>
      </c>
      <c r="L18" s="479">
        <f t="shared" si="4"/>
        <v>118.073241263721</v>
      </c>
      <c r="M18" s="9"/>
      <c r="N18" s="9"/>
      <c r="O18" s="9"/>
    </row>
    <row r="19" ht="14.25" customHeight="1">
      <c r="A19" s="448" t="s">
        <v>637</v>
      </c>
      <c r="B19" s="467">
        <f>IFERROR(-'Cash Flow Statement'!B15/'Cash Flow Statement'!B13,"")</f>
        <v>0.146295599849568</v>
      </c>
      <c r="C19" s="467">
        <f>IFERROR(-'Cash Flow Statement'!C15/'Cash Flow Statement'!C13,"")</f>
        <v>0.185248108731889</v>
      </c>
      <c r="D19" s="467">
        <f>IFERROR(-'Cash Flow Statement'!D15/'Cash Flow Statement'!D13,"")</f>
        <v>0.215971681415929</v>
      </c>
      <c r="E19" s="467">
        <f>IFERROR(-'Cash Flow Statement'!E15/'Cash Flow Statement'!E13,"")</f>
        <v>0.190931774435018</v>
      </c>
      <c r="F19" s="467">
        <f>IFERROR(-'Cash Flow Statement'!F15/'Cash Flow Statement'!F13,"")</f>
        <v>0.112128837443382</v>
      </c>
      <c r="G19" s="467">
        <f>IFERROR(-'Cash Flow Statement'!G15/'Cash Flow Statement'!G13,"")</f>
        <v>0.115182227916447</v>
      </c>
      <c r="H19" s="467">
        <f>IFERROR(-'Cash Flow Statement'!H15/'Cash Flow Statement'!H13,"")</f>
        <v>0.153971815815456</v>
      </c>
      <c r="I19" s="467">
        <f>IFERROR(-'Cash Flow Statement'!I15/'Cash Flow Statement'!I13,"")</f>
        <v>0.236954857001816</v>
      </c>
      <c r="J19" s="467">
        <f>IFERROR(-'Cash Flow Statement'!J15/'Cash Flow Statement'!J13,"")</f>
        <v>0.389887973378007</v>
      </c>
      <c r="K19" s="472">
        <f>IFERROR(-'Cash Flow Statement'!K15/'Cash Flow Statement'!K13,"")</f>
        <v>0.504945158745152</v>
      </c>
      <c r="L19" s="468">
        <f>IFERROR(-'Cash Flow Statement'!L15/'Cash Flow Statement'!L13,"")</f>
        <v>0.424948275359644</v>
      </c>
      <c r="M19" s="9"/>
      <c r="N19" s="9"/>
      <c r="O19" s="9"/>
    </row>
    <row r="20" ht="14.25" customHeight="1">
      <c r="A20" s="448" t="s">
        <v>639</v>
      </c>
      <c r="B20" s="467">
        <f>IFERROR(-'Cash Flow Statement'!B15/'Income Statement'!B3,"")</f>
        <v>0.0632326114833746</v>
      </c>
      <c r="C20" s="467">
        <f>IFERROR(-'Cash Flow Statement'!C15/'Income Statement'!C3,"")</f>
        <v>0.0682770068702335</v>
      </c>
      <c r="D20" s="467">
        <f>IFERROR(-'Cash Flow Statement'!D15/'Income Statement'!D3,"")</f>
        <v>0.0861639447981336</v>
      </c>
      <c r="E20" s="467">
        <f>IFERROR(-'Cash Flow Statement'!E15/'Income Statement'!E3,"")</f>
        <v>0.0732016639972012</v>
      </c>
      <c r="F20" s="467">
        <f>IFERROR(-'Cash Flow Statement'!F15/'Income Statement'!F3,"")</f>
        <v>0.0458875261309689</v>
      </c>
      <c r="G20" s="467">
        <f>IFERROR(-'Cash Flow Statement'!G15/'Income Statement'!G3,"")</f>
        <v>0.044992872814367</v>
      </c>
      <c r="H20" s="467">
        <f>IFERROR(-'Cash Flow Statement'!H15/'Income Statement'!H3,"")</f>
        <v>0.068641259983674</v>
      </c>
      <c r="I20" s="467">
        <f>IFERROR(-'Cash Flow Statement'!I15/'Income Statement'!I3,"")</f>
        <v>0.11110913272498</v>
      </c>
      <c r="J20" s="467">
        <f>IFERROR(-'Cash Flow Statement'!J15/'Income Statement'!J3,"")</f>
        <v>0.162408438602238</v>
      </c>
      <c r="K20" s="472">
        <f>IFERROR(-'Cash Flow Statement'!K15/'Income Statement'!K3,"")</f>
        <v>0.194587430196307</v>
      </c>
      <c r="L20" s="468">
        <f>IFERROR(-'Cash Flow Statement'!L15/'Income Statement'!L3,"")</f>
        <v>0.18516065272643</v>
      </c>
      <c r="M20" s="9"/>
      <c r="N20" s="9"/>
      <c r="O20" s="9"/>
    </row>
    <row r="21" ht="14.25" customHeight="1">
      <c r="A21" s="448" t="s">
        <v>642</v>
      </c>
      <c r="B21" s="467">
        <f>IFERROR(-'Cash Flow Statement'!B15/'Cash Flow Statement'!B4,"")</f>
        <v>2.21348788198103</v>
      </c>
      <c r="C21" s="467">
        <f>IFERROR(-'Cash Flow Statement'!C15/'Cash Flow Statement'!C4,"")</f>
        <v>2.39693073413521</v>
      </c>
      <c r="D21" s="467">
        <f>IFERROR(-'Cash Flow Statement'!D15/'Cash Flow Statement'!D4,"")</f>
        <v>2.45501368099147</v>
      </c>
      <c r="E21" s="467">
        <f>IFERROR(-'Cash Flow Statement'!E15/'Cash Flow Statement'!E4,"")</f>
        <v>1.57782490868387</v>
      </c>
      <c r="F21" s="467">
        <f>IFERROR(-'Cash Flow Statement'!F15/'Cash Flow Statement'!F4,"")</f>
        <v>1.01261220315873</v>
      </c>
      <c r="G21" s="467">
        <f>IFERROR(-'Cash Flow Statement'!G15/'Cash Flow Statement'!G4,"")</f>
        <v>1.0514828738513</v>
      </c>
      <c r="H21" s="467">
        <f>IFERROR(-'Cash Flow Statement'!H15/'Cash Flow Statement'!H4,"")</f>
        <v>1.64989900932961</v>
      </c>
      <c r="I21" s="467">
        <f>IFERROR(-'Cash Flow Statement'!I15/'Cash Flow Statement'!I4,"")</f>
        <v>2.74152449293403</v>
      </c>
      <c r="J21" s="467">
        <f>IFERROR(-'Cash Flow Statement'!J15/'Cash Flow Statement'!J4,"")</f>
        <v>2.46845124282983</v>
      </c>
      <c r="K21" s="468">
        <f>IFERROR(-'Cash Flow Statement'!K15/'Cash Flow Statement'!K4,"")</f>
        <v>2.73585814492579</v>
      </c>
      <c r="L21" s="468">
        <f>IFERROR(-'Cash Flow Statement'!L15/'Cash Flow Statement'!L4,"")</f>
        <v>2.69036344628252</v>
      </c>
      <c r="M21" s="9"/>
      <c r="N21" s="9"/>
      <c r="O21" s="9"/>
    </row>
    <row r="22" ht="14.25" customHeight="1">
      <c r="A22" s="9"/>
      <c r="B22" s="9"/>
      <c r="C22" s="9"/>
      <c r="D22" s="9"/>
      <c r="E22" s="9"/>
      <c r="F22" s="9"/>
      <c r="G22" s="9"/>
      <c r="H22" s="9"/>
      <c r="I22" s="9"/>
      <c r="J22" s="9"/>
      <c r="K22" s="9"/>
      <c r="L22" s="9"/>
      <c r="M22" s="9"/>
      <c r="N22" s="9"/>
      <c r="O22" s="9"/>
    </row>
    <row r="23" ht="14.25" customHeight="1">
      <c r="A23" s="9"/>
      <c r="B23" s="9"/>
      <c r="C23" s="9"/>
      <c r="D23" s="9"/>
      <c r="E23" s="9"/>
      <c r="F23" s="9"/>
      <c r="G23" s="9"/>
      <c r="H23" s="9"/>
      <c r="I23" s="9"/>
      <c r="J23" s="9"/>
      <c r="K23" s="9"/>
      <c r="L23" s="9"/>
      <c r="M23" s="9"/>
      <c r="N23" s="9"/>
      <c r="O23" s="9"/>
    </row>
    <row r="24" ht="14.25" customHeight="1">
      <c r="A24" s="9"/>
      <c r="B24" s="9"/>
      <c r="C24" s="9"/>
      <c r="D24" s="9"/>
      <c r="E24" s="9"/>
      <c r="F24" s="9"/>
      <c r="G24" s="9"/>
      <c r="H24" s="9"/>
      <c r="I24" s="9"/>
      <c r="J24" s="9"/>
      <c r="K24" s="9"/>
      <c r="L24" s="9"/>
      <c r="M24" s="9"/>
      <c r="N24" s="9"/>
      <c r="O24" s="9"/>
    </row>
    <row r="25" ht="14.25" customHeight="1">
      <c r="A25" s="9"/>
      <c r="B25" s="9"/>
      <c r="C25" s="9"/>
      <c r="D25" s="9"/>
      <c r="E25" s="9"/>
      <c r="F25" s="9"/>
      <c r="G25" s="9"/>
      <c r="H25" s="9"/>
      <c r="I25" s="9"/>
      <c r="J25" s="9"/>
      <c r="K25" s="9"/>
      <c r="L25" s="9"/>
      <c r="M25" s="9"/>
      <c r="N25" s="9"/>
      <c r="O25" s="9"/>
    </row>
    <row r="26" ht="14.25" customHeight="1">
      <c r="A26" s="9"/>
      <c r="B26" s="9"/>
      <c r="C26" s="9"/>
      <c r="D26" s="9"/>
      <c r="E26" s="9"/>
      <c r="F26" s="9"/>
      <c r="G26" s="9"/>
      <c r="H26" s="9"/>
      <c r="I26" s="9"/>
      <c r="J26" s="9"/>
      <c r="K26" s="9"/>
      <c r="L26" s="9"/>
      <c r="M26" s="9"/>
      <c r="N26" s="9"/>
      <c r="O26" s="9"/>
    </row>
    <row r="27" ht="14.25" customHeight="1">
      <c r="A27" s="9"/>
      <c r="B27" s="9"/>
      <c r="C27" s="9"/>
      <c r="D27" s="9"/>
      <c r="E27" s="9"/>
      <c r="F27" s="9"/>
      <c r="G27" s="9"/>
      <c r="H27" s="9"/>
      <c r="I27" s="9"/>
      <c r="J27" s="9"/>
      <c r="K27" s="9"/>
      <c r="L27" s="9"/>
      <c r="M27" s="9"/>
      <c r="N27" s="9"/>
      <c r="O27" s="9"/>
    </row>
    <row r="28" ht="14.25" customHeight="1">
      <c r="A28" s="9"/>
      <c r="B28" s="9"/>
      <c r="C28" s="9"/>
      <c r="D28" s="9"/>
      <c r="E28" s="9"/>
      <c r="F28" s="9"/>
      <c r="G28" s="9"/>
      <c r="H28" s="9"/>
      <c r="I28" s="9"/>
      <c r="J28" s="9"/>
      <c r="K28" s="9"/>
      <c r="L28" s="9"/>
      <c r="M28" s="9"/>
      <c r="N28" s="9"/>
      <c r="O28" s="9"/>
    </row>
    <row r="29" ht="14.25" customHeight="1">
      <c r="A29" s="9"/>
      <c r="B29" s="9"/>
      <c r="C29" s="9"/>
      <c r="D29" s="9"/>
      <c r="E29" s="9"/>
      <c r="F29" s="9"/>
      <c r="G29" s="9"/>
      <c r="H29" s="9"/>
      <c r="I29" s="9"/>
      <c r="J29" s="9"/>
      <c r="K29" s="9"/>
      <c r="L29" s="9"/>
      <c r="M29" s="9"/>
      <c r="N29" s="9"/>
      <c r="O29" s="9"/>
    </row>
    <row r="30" ht="14.25" customHeight="1">
      <c r="A30" s="9"/>
      <c r="B30" s="9"/>
      <c r="C30" s="9"/>
      <c r="D30" s="9"/>
      <c r="E30" s="9"/>
      <c r="F30" s="9"/>
      <c r="G30" s="9"/>
      <c r="H30" s="9"/>
      <c r="I30" s="9"/>
      <c r="J30" s="9"/>
      <c r="K30" s="9"/>
      <c r="L30" s="9"/>
      <c r="M30" s="9"/>
      <c r="N30" s="9"/>
      <c r="O30" s="9"/>
    </row>
    <row r="31" ht="14.25" customHeight="1">
      <c r="A31" s="9"/>
      <c r="B31" s="9"/>
      <c r="C31" s="9"/>
      <c r="D31" s="9"/>
      <c r="E31" s="9"/>
      <c r="F31" s="9"/>
      <c r="G31" s="9"/>
      <c r="H31" s="9"/>
      <c r="I31" s="9"/>
      <c r="J31" s="9"/>
      <c r="K31" s="9"/>
      <c r="L31" s="9"/>
      <c r="M31" s="9"/>
      <c r="N31" s="9"/>
      <c r="O31" s="9"/>
    </row>
    <row r="32" ht="14.25" customHeight="1">
      <c r="A32" s="9"/>
      <c r="B32" s="9"/>
      <c r="C32" s="9"/>
      <c r="D32" s="9"/>
      <c r="E32" s="9"/>
      <c r="F32" s="9"/>
      <c r="G32" s="9"/>
      <c r="H32" s="9"/>
      <c r="I32" s="9"/>
      <c r="J32" s="9"/>
      <c r="K32" s="9"/>
      <c r="L32" s="9"/>
      <c r="M32" s="9"/>
      <c r="N32" s="9"/>
      <c r="O32" s="9"/>
    </row>
    <row r="33" ht="14.25" customHeight="1">
      <c r="A33" s="9"/>
      <c r="B33" s="9"/>
      <c r="C33" s="9"/>
      <c r="D33" s="9"/>
      <c r="E33" s="9"/>
      <c r="F33" s="9"/>
      <c r="G33" s="9"/>
      <c r="H33" s="9"/>
      <c r="I33" s="9"/>
      <c r="J33" s="9"/>
      <c r="K33" s="9"/>
      <c r="L33" s="9"/>
      <c r="M33" s="9"/>
      <c r="N33" s="9"/>
      <c r="O33" s="9"/>
    </row>
    <row r="34" ht="14.25" customHeight="1">
      <c r="A34" s="9"/>
      <c r="B34" s="9"/>
      <c r="C34" s="9"/>
      <c r="D34" s="9"/>
      <c r="E34" s="9"/>
      <c r="F34" s="9"/>
      <c r="G34" s="9"/>
      <c r="H34" s="9"/>
      <c r="I34" s="9"/>
      <c r="J34" s="9"/>
      <c r="K34" s="9"/>
      <c r="L34" s="9"/>
      <c r="M34" s="9"/>
      <c r="N34" s="9"/>
      <c r="O34" s="9"/>
    </row>
    <row r="35" ht="14.25" customHeight="1">
      <c r="A35" s="9"/>
      <c r="B35" s="9"/>
      <c r="C35" s="9"/>
      <c r="D35" s="9"/>
      <c r="E35" s="9"/>
      <c r="F35" s="9"/>
      <c r="G35" s="9"/>
      <c r="H35" s="9"/>
      <c r="I35" s="9"/>
      <c r="J35" s="9"/>
      <c r="K35" s="9"/>
      <c r="L35" s="9"/>
      <c r="M35" s="9"/>
      <c r="N35" s="9"/>
      <c r="O35" s="9"/>
    </row>
    <row r="36" ht="14.25" customHeight="1">
      <c r="A36" s="9"/>
      <c r="B36" s="9"/>
      <c r="C36" s="9"/>
      <c r="D36" s="9"/>
      <c r="E36" s="9"/>
      <c r="F36" s="9"/>
      <c r="G36" s="9"/>
      <c r="H36" s="9"/>
      <c r="I36" s="9"/>
      <c r="J36" s="9"/>
      <c r="K36" s="9"/>
      <c r="L36" s="9"/>
      <c r="M36" s="9"/>
      <c r="N36" s="9"/>
      <c r="O36" s="9"/>
    </row>
    <row r="37" ht="15.75" customHeight="1">
      <c r="A37" s="77"/>
      <c r="B37" s="77"/>
      <c r="C37" s="77"/>
      <c r="D37" s="77"/>
      <c r="E37" s="77"/>
      <c r="F37" s="77"/>
      <c r="G37" s="77"/>
      <c r="H37" s="77"/>
      <c r="I37" s="77"/>
      <c r="J37" s="77"/>
      <c r="K37" s="77"/>
      <c r="L37" s="77"/>
      <c r="M37" s="77"/>
      <c r="N37" s="77"/>
      <c r="O37" s="77"/>
    </row>
    <row r="38" ht="15.75" customHeight="1">
      <c r="A38" s="77"/>
      <c r="B38" s="77"/>
      <c r="C38" s="77"/>
      <c r="D38" s="77"/>
      <c r="E38" s="77"/>
      <c r="F38" s="77"/>
      <c r="G38" s="77"/>
      <c r="H38" s="77"/>
      <c r="I38" s="77"/>
      <c r="J38" s="77"/>
      <c r="K38" s="77"/>
      <c r="L38" s="77"/>
      <c r="M38" s="77"/>
      <c r="N38" s="77"/>
      <c r="O38" s="77"/>
    </row>
    <row r="39" ht="15.75" customHeight="1">
      <c r="A39" s="77"/>
      <c r="B39" s="77"/>
      <c r="C39" s="77"/>
      <c r="D39" s="77"/>
      <c r="E39" s="77"/>
      <c r="F39" s="77"/>
      <c r="G39" s="77"/>
      <c r="H39" s="77"/>
      <c r="I39" s="77"/>
      <c r="J39" s="77"/>
      <c r="K39" s="77"/>
      <c r="L39" s="77"/>
      <c r="M39" s="77"/>
      <c r="N39" s="77"/>
      <c r="O39" s="77"/>
    </row>
    <row r="40" ht="15.75" customHeight="1">
      <c r="A40" s="77"/>
      <c r="B40" s="77"/>
      <c r="C40" s="77"/>
      <c r="D40" s="77"/>
      <c r="E40" s="77"/>
      <c r="F40" s="77"/>
      <c r="G40" s="77"/>
      <c r="H40" s="77"/>
      <c r="I40" s="77"/>
      <c r="J40" s="77"/>
      <c r="K40" s="77"/>
      <c r="L40" s="77"/>
      <c r="M40" s="77"/>
      <c r="N40" s="77"/>
      <c r="O40" s="77"/>
    </row>
    <row r="41" ht="15.75" customHeight="1">
      <c r="A41" s="77"/>
      <c r="B41" s="77"/>
      <c r="C41" s="77"/>
      <c r="D41" s="77"/>
      <c r="E41" s="77"/>
      <c r="F41" s="77"/>
      <c r="G41" s="77"/>
      <c r="H41" s="77"/>
      <c r="I41" s="77"/>
      <c r="J41" s="77"/>
      <c r="K41" s="77"/>
      <c r="L41" s="77"/>
      <c r="M41" s="77"/>
      <c r="N41" s="77"/>
      <c r="O41" s="77"/>
    </row>
    <row r="42" ht="15.75" customHeight="1">
      <c r="A42" s="77"/>
      <c r="B42" s="77"/>
      <c r="C42" s="77"/>
      <c r="D42" s="77"/>
      <c r="E42" s="77"/>
      <c r="F42" s="77"/>
      <c r="G42" s="77"/>
      <c r="H42" s="77"/>
      <c r="I42" s="77"/>
      <c r="J42" s="77"/>
      <c r="K42" s="77"/>
      <c r="L42" s="77"/>
      <c r="M42" s="77"/>
      <c r="N42" s="77"/>
      <c r="O42" s="77"/>
    </row>
    <row r="43" ht="15.75" customHeight="1">
      <c r="A43" s="77"/>
      <c r="B43" s="77"/>
      <c r="C43" s="77"/>
      <c r="D43" s="77"/>
      <c r="E43" s="77"/>
      <c r="F43" s="77"/>
      <c r="G43" s="77"/>
      <c r="H43" s="77"/>
      <c r="I43" s="77"/>
      <c r="J43" s="77"/>
      <c r="K43" s="77"/>
      <c r="L43" s="77"/>
      <c r="M43" s="77"/>
      <c r="N43" s="77"/>
      <c r="O43" s="77"/>
    </row>
    <row r="44" ht="15.75" customHeight="1">
      <c r="A44" s="77"/>
      <c r="B44" s="77"/>
      <c r="C44" s="77"/>
      <c r="D44" s="77"/>
      <c r="E44" s="77"/>
      <c r="F44" s="77"/>
      <c r="G44" s="77"/>
      <c r="H44" s="77"/>
      <c r="I44" s="77"/>
      <c r="J44" s="77"/>
      <c r="K44" s="77"/>
      <c r="L44" s="77"/>
      <c r="M44" s="77"/>
      <c r="N44" s="77"/>
      <c r="O44" s="77"/>
    </row>
    <row r="45" ht="15.75" customHeight="1">
      <c r="A45" s="77"/>
      <c r="B45" s="77"/>
      <c r="C45" s="77"/>
      <c r="D45" s="77"/>
      <c r="E45" s="77"/>
      <c r="F45" s="77"/>
      <c r="G45" s="77"/>
      <c r="H45" s="77"/>
      <c r="I45" s="77"/>
      <c r="J45" s="77"/>
      <c r="K45" s="77"/>
      <c r="L45" s="77"/>
      <c r="M45" s="77"/>
      <c r="N45" s="77"/>
      <c r="O45" s="77"/>
    </row>
    <row r="46" ht="15.75" customHeight="1">
      <c r="A46" s="77"/>
      <c r="B46" s="77"/>
      <c r="C46" s="77"/>
      <c r="D46" s="77"/>
      <c r="E46" s="77"/>
      <c r="F46" s="77"/>
      <c r="G46" s="77"/>
      <c r="H46" s="77"/>
      <c r="I46" s="77"/>
      <c r="J46" s="77"/>
      <c r="K46" s="77"/>
      <c r="L46" s="77"/>
      <c r="M46" s="77"/>
      <c r="N46" s="77"/>
      <c r="O46" s="77"/>
    </row>
    <row r="47" ht="15.75" customHeight="1">
      <c r="A47" s="77"/>
      <c r="B47" s="77"/>
      <c r="C47" s="77"/>
      <c r="D47" s="77"/>
      <c r="E47" s="77"/>
      <c r="F47" s="77"/>
      <c r="G47" s="77"/>
      <c r="H47" s="77"/>
      <c r="I47" s="77"/>
      <c r="J47" s="77"/>
      <c r="K47" s="77"/>
      <c r="L47" s="77"/>
      <c r="M47" s="77"/>
      <c r="N47" s="77"/>
      <c r="O47" s="77"/>
    </row>
    <row r="48" ht="15.75" customHeight="1">
      <c r="A48" s="77"/>
      <c r="B48" s="77"/>
      <c r="C48" s="77"/>
      <c r="D48" s="77"/>
      <c r="E48" s="77"/>
      <c r="F48" s="77"/>
      <c r="G48" s="77"/>
      <c r="H48" s="77"/>
      <c r="I48" s="77"/>
      <c r="J48" s="77"/>
      <c r="K48" s="77"/>
      <c r="L48" s="77"/>
      <c r="M48" s="77"/>
      <c r="N48" s="77"/>
      <c r="O48" s="77"/>
    </row>
    <row r="49" ht="15.75" customHeight="1">
      <c r="A49" s="77"/>
      <c r="B49" s="77"/>
      <c r="C49" s="77"/>
      <c r="D49" s="77"/>
      <c r="E49" s="77"/>
      <c r="F49" s="77"/>
      <c r="G49" s="77"/>
      <c r="H49" s="77"/>
      <c r="I49" s="77"/>
      <c r="J49" s="77"/>
      <c r="K49" s="77"/>
      <c r="L49" s="77"/>
      <c r="M49" s="77"/>
      <c r="N49" s="77"/>
      <c r="O49" s="77"/>
    </row>
    <row r="50" ht="15.75" customHeight="1">
      <c r="A50" s="77"/>
      <c r="B50" s="77"/>
      <c r="C50" s="77"/>
      <c r="D50" s="77"/>
      <c r="E50" s="77"/>
      <c r="F50" s="77"/>
      <c r="G50" s="77"/>
      <c r="H50" s="77"/>
      <c r="I50" s="77"/>
      <c r="J50" s="77"/>
      <c r="K50" s="77"/>
      <c r="L50" s="77"/>
      <c r="M50" s="77"/>
      <c r="N50" s="77"/>
      <c r="O50" s="77"/>
    </row>
    <row r="51" ht="15.75" customHeight="1">
      <c r="A51" s="77"/>
      <c r="B51" s="77"/>
      <c r="C51" s="77"/>
      <c r="D51" s="77"/>
      <c r="E51" s="77"/>
      <c r="F51" s="77"/>
      <c r="G51" s="77"/>
      <c r="H51" s="77"/>
      <c r="I51" s="77"/>
      <c r="J51" s="77"/>
      <c r="K51" s="77"/>
      <c r="L51" s="77"/>
      <c r="M51" s="77"/>
      <c r="N51" s="77"/>
      <c r="O51" s="77"/>
    </row>
    <row r="52" ht="15.75" customHeight="1">
      <c r="A52" s="77"/>
      <c r="B52" s="77"/>
      <c r="C52" s="77"/>
      <c r="D52" s="77"/>
      <c r="E52" s="77"/>
      <c r="F52" s="77"/>
      <c r="G52" s="77"/>
      <c r="H52" s="77"/>
      <c r="I52" s="77"/>
      <c r="J52" s="77"/>
      <c r="K52" s="77"/>
      <c r="L52" s="77"/>
      <c r="M52" s="77"/>
      <c r="N52" s="77"/>
      <c r="O52" s="77"/>
    </row>
    <row r="53" ht="15.75" customHeight="1">
      <c r="A53" s="77"/>
      <c r="B53" s="77"/>
      <c r="C53" s="77"/>
      <c r="D53" s="77"/>
      <c r="E53" s="77"/>
      <c r="F53" s="77"/>
      <c r="G53" s="77"/>
      <c r="H53" s="77"/>
      <c r="I53" s="77"/>
      <c r="J53" s="77"/>
      <c r="K53" s="77"/>
      <c r="L53" s="77"/>
      <c r="M53" s="77"/>
      <c r="N53" s="77"/>
      <c r="O53" s="77"/>
    </row>
    <row r="54" ht="15.75" customHeight="1">
      <c r="A54" s="77"/>
      <c r="B54" s="77"/>
      <c r="C54" s="77"/>
      <c r="D54" s="77"/>
      <c r="E54" s="77"/>
      <c r="F54" s="77"/>
      <c r="G54" s="77"/>
      <c r="H54" s="77"/>
      <c r="I54" s="77"/>
      <c r="J54" s="77"/>
      <c r="K54" s="77"/>
      <c r="L54" s="77"/>
      <c r="M54" s="77"/>
      <c r="N54" s="77"/>
      <c r="O54" s="77"/>
    </row>
    <row r="55" ht="15.75" customHeight="1">
      <c r="A55" s="77"/>
      <c r="B55" s="77"/>
      <c r="C55" s="77"/>
      <c r="D55" s="77"/>
      <c r="E55" s="77"/>
      <c r="F55" s="77"/>
      <c r="G55" s="77"/>
      <c r="H55" s="77"/>
      <c r="I55" s="77"/>
      <c r="J55" s="77"/>
      <c r="K55" s="77"/>
      <c r="L55" s="77"/>
      <c r="M55" s="77"/>
      <c r="N55" s="77"/>
      <c r="O55" s="77"/>
    </row>
    <row r="56" ht="15.75" customHeight="1">
      <c r="A56" s="77"/>
      <c r="B56" s="77"/>
      <c r="C56" s="77"/>
      <c r="D56" s="77"/>
      <c r="E56" s="77"/>
      <c r="F56" s="77"/>
      <c r="G56" s="77"/>
      <c r="H56" s="77"/>
      <c r="I56" s="77"/>
      <c r="J56" s="77"/>
      <c r="K56" s="77"/>
      <c r="L56" s="77"/>
      <c r="M56" s="77"/>
      <c r="N56" s="77"/>
      <c r="O56" s="77"/>
    </row>
    <row r="57" ht="15.75" customHeight="1">
      <c r="A57" s="77"/>
      <c r="B57" s="77"/>
      <c r="C57" s="77"/>
      <c r="D57" s="77"/>
      <c r="E57" s="77"/>
      <c r="F57" s="77"/>
      <c r="G57" s="77"/>
      <c r="H57" s="77"/>
      <c r="I57" s="77"/>
      <c r="J57" s="77"/>
      <c r="K57" s="77"/>
      <c r="L57" s="77"/>
      <c r="M57" s="77"/>
      <c r="N57" s="77"/>
      <c r="O57" s="77"/>
    </row>
    <row r="58" ht="15.75" customHeight="1">
      <c r="A58" s="77"/>
      <c r="B58" s="77"/>
      <c r="C58" s="77"/>
      <c r="D58" s="77"/>
      <c r="E58" s="77"/>
      <c r="F58" s="77"/>
      <c r="G58" s="77"/>
      <c r="H58" s="77"/>
      <c r="I58" s="77"/>
      <c r="J58" s="77"/>
      <c r="K58" s="77"/>
      <c r="L58" s="77"/>
      <c r="M58" s="77"/>
      <c r="N58" s="77"/>
      <c r="O58" s="77"/>
    </row>
    <row r="59" ht="15.75" customHeight="1">
      <c r="A59" s="77"/>
      <c r="B59" s="77"/>
      <c r="C59" s="77"/>
      <c r="D59" s="77"/>
      <c r="E59" s="77"/>
      <c r="F59" s="77"/>
      <c r="G59" s="77"/>
      <c r="H59" s="77"/>
      <c r="I59" s="77"/>
      <c r="J59" s="77"/>
      <c r="K59" s="77"/>
      <c r="L59" s="77"/>
      <c r="M59" s="77"/>
      <c r="N59" s="77"/>
      <c r="O59" s="77"/>
    </row>
    <row r="60" ht="15.75" customHeight="1">
      <c r="A60" s="77"/>
      <c r="B60" s="77"/>
      <c r="C60" s="77"/>
      <c r="D60" s="77"/>
      <c r="E60" s="77"/>
      <c r="F60" s="77"/>
      <c r="G60" s="77"/>
      <c r="H60" s="77"/>
      <c r="I60" s="77"/>
      <c r="J60" s="77"/>
      <c r="K60" s="77"/>
      <c r="L60" s="77"/>
      <c r="M60" s="77"/>
      <c r="N60" s="77"/>
      <c r="O60" s="77"/>
    </row>
    <row r="61" ht="15.75" customHeight="1">
      <c r="A61" s="77"/>
      <c r="B61" s="77"/>
      <c r="C61" s="77"/>
      <c r="D61" s="77"/>
      <c r="E61" s="77"/>
      <c r="F61" s="77"/>
      <c r="G61" s="77"/>
      <c r="H61" s="77"/>
      <c r="I61" s="77"/>
      <c r="J61" s="77"/>
      <c r="K61" s="77"/>
      <c r="L61" s="77"/>
      <c r="M61" s="77"/>
      <c r="N61" s="77"/>
      <c r="O61" s="77"/>
    </row>
    <row r="62" ht="15.75" customHeight="1">
      <c r="A62" s="77"/>
      <c r="B62" s="77"/>
      <c r="C62" s="77"/>
      <c r="D62" s="77"/>
      <c r="E62" s="77"/>
      <c r="F62" s="77"/>
      <c r="G62" s="77"/>
      <c r="H62" s="77"/>
      <c r="I62" s="77"/>
      <c r="J62" s="77"/>
      <c r="K62" s="77"/>
      <c r="L62" s="77"/>
      <c r="M62" s="77"/>
      <c r="N62" s="77"/>
      <c r="O62" s="77"/>
    </row>
    <row r="63" ht="15.75" customHeight="1">
      <c r="A63" s="77"/>
      <c r="B63" s="77"/>
      <c r="C63" s="77"/>
      <c r="D63" s="77"/>
      <c r="E63" s="77"/>
      <c r="F63" s="77"/>
      <c r="G63" s="77"/>
      <c r="H63" s="77"/>
      <c r="I63" s="77"/>
      <c r="J63" s="77"/>
      <c r="K63" s="77"/>
      <c r="L63" s="77"/>
      <c r="M63" s="77"/>
      <c r="N63" s="77"/>
      <c r="O63" s="77"/>
    </row>
    <row r="64" ht="15.75" customHeight="1">
      <c r="A64" s="77"/>
      <c r="B64" s="77"/>
      <c r="C64" s="77"/>
      <c r="D64" s="77"/>
      <c r="E64" s="77"/>
      <c r="F64" s="77"/>
      <c r="G64" s="77"/>
      <c r="H64" s="77"/>
      <c r="I64" s="77"/>
      <c r="J64" s="77"/>
      <c r="K64" s="77"/>
      <c r="L64" s="77"/>
      <c r="M64" s="77"/>
      <c r="N64" s="77"/>
      <c r="O64" s="77"/>
    </row>
    <row r="65" ht="15.75" customHeight="1">
      <c r="A65" s="77"/>
      <c r="B65" s="77"/>
      <c r="C65" s="77"/>
      <c r="D65" s="77"/>
      <c r="E65" s="77"/>
      <c r="F65" s="77"/>
      <c r="G65" s="77"/>
      <c r="H65" s="77"/>
      <c r="I65" s="77"/>
      <c r="J65" s="77"/>
      <c r="K65" s="77"/>
      <c r="L65" s="77"/>
      <c r="M65" s="77"/>
      <c r="N65" s="77"/>
      <c r="O65" s="77"/>
    </row>
    <row r="66" ht="15.75" customHeight="1">
      <c r="A66" s="77"/>
      <c r="B66" s="77"/>
      <c r="C66" s="77"/>
      <c r="D66" s="77"/>
      <c r="E66" s="77"/>
      <c r="F66" s="77"/>
      <c r="G66" s="77"/>
      <c r="H66" s="77"/>
      <c r="I66" s="77"/>
      <c r="J66" s="77"/>
      <c r="K66" s="77"/>
      <c r="L66" s="77"/>
      <c r="M66" s="77"/>
      <c r="N66" s="77"/>
      <c r="O66" s="77"/>
    </row>
    <row r="67" ht="15.75" customHeight="1">
      <c r="A67" s="77"/>
      <c r="B67" s="77"/>
      <c r="C67" s="77"/>
      <c r="D67" s="77"/>
      <c r="E67" s="77"/>
      <c r="F67" s="77"/>
      <c r="G67" s="77"/>
      <c r="H67" s="77"/>
      <c r="I67" s="77"/>
      <c r="J67" s="77"/>
      <c r="K67" s="77"/>
      <c r="L67" s="77"/>
      <c r="M67" s="77"/>
      <c r="N67" s="77"/>
      <c r="O67" s="77"/>
    </row>
    <row r="68" ht="15.75" customHeight="1">
      <c r="A68" s="77"/>
      <c r="B68" s="77"/>
      <c r="C68" s="77"/>
      <c r="D68" s="77"/>
      <c r="E68" s="77"/>
      <c r="F68" s="77"/>
      <c r="G68" s="77"/>
      <c r="H68" s="77"/>
      <c r="I68" s="77"/>
      <c r="J68" s="77"/>
      <c r="K68" s="77"/>
      <c r="L68" s="77"/>
      <c r="M68" s="77"/>
      <c r="N68" s="77"/>
      <c r="O68" s="77"/>
    </row>
    <row r="69" ht="15.75" customHeight="1">
      <c r="A69" s="77"/>
      <c r="B69" s="77"/>
      <c r="C69" s="77"/>
      <c r="D69" s="77"/>
      <c r="E69" s="77"/>
      <c r="F69" s="77"/>
      <c r="G69" s="77"/>
      <c r="H69" s="77"/>
      <c r="I69" s="77"/>
      <c r="J69" s="77"/>
      <c r="K69" s="77"/>
      <c r="L69" s="77"/>
      <c r="M69" s="77"/>
      <c r="N69" s="77"/>
      <c r="O69" s="77"/>
    </row>
    <row r="70" ht="15.75" customHeight="1">
      <c r="A70" s="77"/>
      <c r="B70" s="77"/>
      <c r="C70" s="77"/>
      <c r="D70" s="77"/>
      <c r="E70" s="77"/>
      <c r="F70" s="77"/>
      <c r="G70" s="77"/>
      <c r="H70" s="77"/>
      <c r="I70" s="77"/>
      <c r="J70" s="77"/>
      <c r="K70" s="77"/>
      <c r="L70" s="77"/>
      <c r="M70" s="77"/>
      <c r="N70" s="77"/>
      <c r="O70" s="77"/>
    </row>
    <row r="71" ht="15.75" customHeight="1">
      <c r="A71" s="77"/>
      <c r="B71" s="77"/>
      <c r="C71" s="77"/>
      <c r="D71" s="77"/>
      <c r="E71" s="77"/>
      <c r="F71" s="77"/>
      <c r="G71" s="77"/>
      <c r="H71" s="77"/>
      <c r="I71" s="77"/>
      <c r="J71" s="77"/>
      <c r="K71" s="77"/>
      <c r="L71" s="77"/>
      <c r="M71" s="77"/>
      <c r="N71" s="77"/>
      <c r="O71" s="77"/>
    </row>
    <row r="72" ht="15.75" customHeight="1">
      <c r="A72" s="77"/>
      <c r="B72" s="77"/>
      <c r="C72" s="77"/>
      <c r="D72" s="77"/>
      <c r="E72" s="77"/>
      <c r="F72" s="77"/>
      <c r="G72" s="77"/>
      <c r="H72" s="77"/>
      <c r="I72" s="77"/>
      <c r="J72" s="77"/>
      <c r="K72" s="77"/>
      <c r="L72" s="77"/>
      <c r="M72" s="77"/>
      <c r="N72" s="77"/>
      <c r="O72" s="77"/>
    </row>
    <row r="73" ht="15.75" customHeight="1">
      <c r="A73" s="77"/>
      <c r="B73" s="77"/>
      <c r="C73" s="77"/>
      <c r="D73" s="77"/>
      <c r="E73" s="77"/>
      <c r="F73" s="77"/>
      <c r="G73" s="77"/>
      <c r="H73" s="77"/>
      <c r="I73" s="77"/>
      <c r="J73" s="77"/>
      <c r="K73" s="77"/>
      <c r="L73" s="77"/>
      <c r="M73" s="77"/>
      <c r="N73" s="77"/>
      <c r="O73" s="77"/>
    </row>
    <row r="74" ht="15.75" customHeight="1">
      <c r="A74" s="77"/>
      <c r="B74" s="77"/>
      <c r="C74" s="77"/>
      <c r="D74" s="77"/>
      <c r="E74" s="77"/>
      <c r="F74" s="77"/>
      <c r="G74" s="77"/>
      <c r="H74" s="77"/>
      <c r="I74" s="77"/>
      <c r="J74" s="77"/>
      <c r="K74" s="77"/>
      <c r="L74" s="77"/>
      <c r="M74" s="77"/>
      <c r="N74" s="77"/>
      <c r="O74" s="77"/>
    </row>
    <row r="75" ht="15.75" customHeight="1">
      <c r="A75" s="77"/>
      <c r="B75" s="77"/>
      <c r="C75" s="77"/>
      <c r="D75" s="77"/>
      <c r="E75" s="77"/>
      <c r="F75" s="77"/>
      <c r="G75" s="77"/>
      <c r="H75" s="77"/>
      <c r="I75" s="77"/>
      <c r="J75" s="77"/>
      <c r="K75" s="77"/>
      <c r="L75" s="77"/>
      <c r="M75" s="77"/>
      <c r="N75" s="77"/>
      <c r="O75" s="77"/>
    </row>
    <row r="76" ht="15.75" customHeight="1">
      <c r="A76" s="77"/>
      <c r="B76" s="77"/>
      <c r="C76" s="77"/>
      <c r="D76" s="77"/>
      <c r="E76" s="77"/>
      <c r="F76" s="77"/>
      <c r="G76" s="77"/>
      <c r="H76" s="77"/>
      <c r="I76" s="77"/>
      <c r="J76" s="77"/>
      <c r="K76" s="77"/>
      <c r="L76" s="77"/>
      <c r="M76" s="77"/>
      <c r="N76" s="77"/>
      <c r="O76" s="77"/>
    </row>
    <row r="77" ht="15.75" customHeight="1">
      <c r="A77" s="77"/>
      <c r="B77" s="77"/>
      <c r="C77" s="77"/>
      <c r="D77" s="77"/>
      <c r="E77" s="77"/>
      <c r="F77" s="77"/>
      <c r="G77" s="77"/>
      <c r="H77" s="77"/>
      <c r="I77" s="77"/>
      <c r="J77" s="77"/>
      <c r="K77" s="77"/>
      <c r="L77" s="77"/>
      <c r="M77" s="77"/>
      <c r="N77" s="77"/>
      <c r="O77" s="77"/>
    </row>
    <row r="78" ht="15.75" customHeight="1">
      <c r="A78" s="77"/>
      <c r="B78" s="77"/>
      <c r="C78" s="77"/>
      <c r="D78" s="77"/>
      <c r="E78" s="77"/>
      <c r="F78" s="77"/>
      <c r="G78" s="77"/>
      <c r="H78" s="77"/>
      <c r="I78" s="77"/>
      <c r="J78" s="77"/>
      <c r="K78" s="77"/>
      <c r="L78" s="77"/>
      <c r="M78" s="77"/>
      <c r="N78" s="77"/>
      <c r="O78" s="77"/>
    </row>
    <row r="79" ht="15.75" customHeight="1">
      <c r="A79" s="77"/>
      <c r="B79" s="77"/>
      <c r="C79" s="77"/>
      <c r="D79" s="77"/>
      <c r="E79" s="77"/>
      <c r="F79" s="77"/>
      <c r="G79" s="77"/>
      <c r="H79" s="77"/>
      <c r="I79" s="77"/>
      <c r="J79" s="77"/>
      <c r="K79" s="77"/>
      <c r="L79" s="77"/>
      <c r="M79" s="77"/>
      <c r="N79" s="77"/>
      <c r="O79" s="77"/>
    </row>
    <row r="80" ht="15.75" customHeight="1">
      <c r="A80" s="77"/>
      <c r="B80" s="77"/>
      <c r="C80" s="77"/>
      <c r="D80" s="77"/>
      <c r="E80" s="77"/>
      <c r="F80" s="77"/>
      <c r="G80" s="77"/>
      <c r="H80" s="77"/>
      <c r="I80" s="77"/>
      <c r="J80" s="77"/>
      <c r="K80" s="77"/>
      <c r="L80" s="77"/>
      <c r="M80" s="77"/>
      <c r="N80" s="77"/>
      <c r="O80" s="77"/>
    </row>
    <row r="81" ht="15.75" customHeight="1">
      <c r="A81" s="77"/>
      <c r="B81" s="77"/>
      <c r="C81" s="77"/>
      <c r="D81" s="77"/>
      <c r="E81" s="77"/>
      <c r="F81" s="77"/>
      <c r="G81" s="77"/>
      <c r="H81" s="77"/>
      <c r="I81" s="77"/>
      <c r="J81" s="77"/>
      <c r="K81" s="77"/>
      <c r="L81" s="77"/>
      <c r="M81" s="77"/>
      <c r="N81" s="77"/>
      <c r="O81" s="77"/>
    </row>
    <row r="82" ht="15.75" customHeight="1">
      <c r="A82" s="77"/>
      <c r="B82" s="77"/>
      <c r="C82" s="77"/>
      <c r="D82" s="77"/>
      <c r="E82" s="77"/>
      <c r="F82" s="77"/>
      <c r="G82" s="77"/>
      <c r="H82" s="77"/>
      <c r="I82" s="77"/>
      <c r="J82" s="77"/>
      <c r="K82" s="77"/>
      <c r="L82" s="77"/>
      <c r="M82" s="77"/>
      <c r="N82" s="77"/>
      <c r="O82" s="77"/>
    </row>
    <row r="83" ht="15.75" customHeight="1">
      <c r="A83" s="77"/>
      <c r="B83" s="77"/>
      <c r="C83" s="77"/>
      <c r="D83" s="77"/>
      <c r="E83" s="77"/>
      <c r="F83" s="77"/>
      <c r="G83" s="77"/>
      <c r="H83" s="77"/>
      <c r="I83" s="77"/>
      <c r="J83" s="77"/>
      <c r="K83" s="77"/>
      <c r="L83" s="77"/>
      <c r="M83" s="77"/>
      <c r="N83" s="77"/>
      <c r="O83" s="77"/>
    </row>
    <row r="84" ht="15.75" customHeight="1">
      <c r="A84" s="77"/>
      <c r="B84" s="77"/>
      <c r="C84" s="77"/>
      <c r="D84" s="77"/>
      <c r="E84" s="77"/>
      <c r="F84" s="77"/>
      <c r="G84" s="77"/>
      <c r="H84" s="77"/>
      <c r="I84" s="77"/>
      <c r="J84" s="77"/>
      <c r="K84" s="77"/>
      <c r="L84" s="77"/>
      <c r="M84" s="77"/>
      <c r="N84" s="77"/>
      <c r="O84" s="77"/>
    </row>
    <row r="85" ht="15.75" customHeight="1">
      <c r="A85" s="77"/>
      <c r="B85" s="77"/>
      <c r="C85" s="77"/>
      <c r="D85" s="77"/>
      <c r="E85" s="77"/>
      <c r="F85" s="77"/>
      <c r="G85" s="77"/>
      <c r="H85" s="77"/>
      <c r="I85" s="77"/>
      <c r="J85" s="77"/>
      <c r="K85" s="77"/>
      <c r="L85" s="77"/>
      <c r="M85" s="77"/>
      <c r="N85" s="77"/>
      <c r="O85" s="77"/>
    </row>
    <row r="86" ht="15.75" customHeight="1">
      <c r="A86" s="77"/>
      <c r="B86" s="77"/>
      <c r="C86" s="77"/>
      <c r="D86" s="77"/>
      <c r="E86" s="77"/>
      <c r="F86" s="77"/>
      <c r="G86" s="77"/>
      <c r="H86" s="77"/>
      <c r="I86" s="77"/>
      <c r="J86" s="77"/>
      <c r="K86" s="77"/>
      <c r="L86" s="77"/>
      <c r="M86" s="77"/>
      <c r="N86" s="77"/>
      <c r="O86" s="77"/>
    </row>
    <row r="87" ht="15.75" customHeight="1">
      <c r="A87" s="77"/>
      <c r="B87" s="77"/>
      <c r="C87" s="77"/>
      <c r="D87" s="77"/>
      <c r="E87" s="77"/>
      <c r="F87" s="77"/>
      <c r="G87" s="77"/>
      <c r="H87" s="77"/>
      <c r="I87" s="77"/>
      <c r="J87" s="77"/>
      <c r="K87" s="77"/>
      <c r="L87" s="77"/>
      <c r="M87" s="77"/>
      <c r="N87" s="77"/>
      <c r="O87" s="77"/>
    </row>
    <row r="88" ht="15.75" customHeight="1">
      <c r="A88" s="77"/>
      <c r="B88" s="77"/>
      <c r="C88" s="77"/>
      <c r="D88" s="77"/>
      <c r="E88" s="77"/>
      <c r="F88" s="77"/>
      <c r="G88" s="77"/>
      <c r="H88" s="77"/>
      <c r="I88" s="77"/>
      <c r="J88" s="77"/>
      <c r="K88" s="77"/>
      <c r="L88" s="77"/>
      <c r="M88" s="77"/>
      <c r="N88" s="77"/>
      <c r="O88" s="77"/>
    </row>
    <row r="89" ht="15.75" customHeight="1">
      <c r="A89" s="77"/>
      <c r="B89" s="77"/>
      <c r="C89" s="77"/>
      <c r="D89" s="77"/>
      <c r="E89" s="77"/>
      <c r="F89" s="77"/>
      <c r="G89" s="77"/>
      <c r="H89" s="77"/>
      <c r="I89" s="77"/>
      <c r="J89" s="77"/>
      <c r="K89" s="77"/>
      <c r="L89" s="77"/>
      <c r="M89" s="77"/>
      <c r="N89" s="77"/>
      <c r="O89" s="77"/>
    </row>
    <row r="90" ht="15.75" customHeight="1">
      <c r="A90" s="77"/>
      <c r="B90" s="77"/>
      <c r="C90" s="77"/>
      <c r="D90" s="77"/>
      <c r="E90" s="77"/>
      <c r="F90" s="77"/>
      <c r="G90" s="77"/>
      <c r="H90" s="77"/>
      <c r="I90" s="77"/>
      <c r="J90" s="77"/>
      <c r="K90" s="77"/>
      <c r="L90" s="77"/>
      <c r="M90" s="77"/>
      <c r="N90" s="77"/>
      <c r="O90" s="77"/>
    </row>
    <row r="91" ht="15.75" customHeight="1">
      <c r="A91" s="77"/>
      <c r="B91" s="77"/>
      <c r="C91" s="77"/>
      <c r="D91" s="77"/>
      <c r="E91" s="77"/>
      <c r="F91" s="77"/>
      <c r="G91" s="77"/>
      <c r="H91" s="77"/>
      <c r="I91" s="77"/>
      <c r="J91" s="77"/>
      <c r="K91" s="77"/>
      <c r="L91" s="77"/>
      <c r="M91" s="77"/>
      <c r="N91" s="77"/>
      <c r="O91" s="77"/>
    </row>
    <row r="92" ht="15.75" customHeight="1">
      <c r="A92" s="77"/>
      <c r="B92" s="77"/>
      <c r="C92" s="77"/>
      <c r="D92" s="77"/>
      <c r="E92" s="77"/>
      <c r="F92" s="77"/>
      <c r="G92" s="77"/>
      <c r="H92" s="77"/>
      <c r="I92" s="77"/>
      <c r="J92" s="77"/>
      <c r="K92" s="77"/>
      <c r="L92" s="77"/>
      <c r="M92" s="77"/>
      <c r="N92" s="77"/>
      <c r="O92" s="77"/>
    </row>
    <row r="93" ht="15.75" customHeight="1">
      <c r="A93" s="77"/>
      <c r="B93" s="77"/>
      <c r="C93" s="77"/>
      <c r="D93" s="77"/>
      <c r="E93" s="77"/>
      <c r="F93" s="77"/>
      <c r="G93" s="77"/>
      <c r="H93" s="77"/>
      <c r="I93" s="77"/>
      <c r="J93" s="77"/>
      <c r="K93" s="77"/>
      <c r="L93" s="77"/>
      <c r="M93" s="77"/>
      <c r="N93" s="77"/>
      <c r="O93" s="77"/>
    </row>
    <row r="94" ht="15.75" customHeight="1">
      <c r="A94" s="77"/>
      <c r="B94" s="77"/>
      <c r="C94" s="77"/>
      <c r="D94" s="77"/>
      <c r="E94" s="77"/>
      <c r="F94" s="77"/>
      <c r="G94" s="77"/>
      <c r="H94" s="77"/>
      <c r="I94" s="77"/>
      <c r="J94" s="77"/>
      <c r="K94" s="77"/>
      <c r="L94" s="77"/>
      <c r="M94" s="77"/>
      <c r="N94" s="77"/>
      <c r="O94" s="77"/>
    </row>
    <row r="95" ht="15.75" customHeight="1">
      <c r="A95" s="77"/>
      <c r="B95" s="77"/>
      <c r="C95" s="77"/>
      <c r="D95" s="77"/>
      <c r="E95" s="77"/>
      <c r="F95" s="77"/>
      <c r="G95" s="77"/>
      <c r="H95" s="77"/>
      <c r="I95" s="77"/>
      <c r="J95" s="77"/>
      <c r="K95" s="77"/>
      <c r="L95" s="77"/>
      <c r="M95" s="77"/>
      <c r="N95" s="77"/>
      <c r="O95" s="77"/>
    </row>
    <row r="96" ht="15.75" customHeight="1">
      <c r="A96" s="77"/>
      <c r="B96" s="77"/>
      <c r="C96" s="77"/>
      <c r="D96" s="77"/>
      <c r="E96" s="77"/>
      <c r="F96" s="77"/>
      <c r="G96" s="77"/>
      <c r="H96" s="77"/>
      <c r="I96" s="77"/>
      <c r="J96" s="77"/>
      <c r="K96" s="77"/>
      <c r="L96" s="77"/>
      <c r="M96" s="77"/>
      <c r="N96" s="77"/>
      <c r="O96" s="77"/>
    </row>
    <row r="97" ht="15.75" customHeight="1">
      <c r="A97" s="77"/>
      <c r="B97" s="77"/>
      <c r="C97" s="77"/>
      <c r="D97" s="77"/>
      <c r="E97" s="77"/>
      <c r="F97" s="77"/>
      <c r="G97" s="77"/>
      <c r="H97" s="77"/>
      <c r="I97" s="77"/>
      <c r="J97" s="77"/>
      <c r="K97" s="77"/>
      <c r="L97" s="77"/>
      <c r="M97" s="77"/>
      <c r="N97" s="77"/>
      <c r="O97" s="77"/>
    </row>
    <row r="98" ht="15.75" customHeight="1">
      <c r="A98" s="77"/>
      <c r="B98" s="77"/>
      <c r="C98" s="77"/>
      <c r="D98" s="77"/>
      <c r="E98" s="77"/>
      <c r="F98" s="77"/>
      <c r="G98" s="77"/>
      <c r="H98" s="77"/>
      <c r="I98" s="77"/>
      <c r="J98" s="77"/>
      <c r="K98" s="77"/>
      <c r="L98" s="77"/>
      <c r="M98" s="77"/>
      <c r="N98" s="77"/>
      <c r="O98" s="77"/>
    </row>
    <row r="99" ht="15.75" customHeight="1">
      <c r="A99" s="77"/>
      <c r="B99" s="77"/>
      <c r="C99" s="77"/>
      <c r="D99" s="77"/>
      <c r="E99" s="77"/>
      <c r="F99" s="77"/>
      <c r="G99" s="77"/>
      <c r="H99" s="77"/>
      <c r="I99" s="77"/>
      <c r="J99" s="77"/>
      <c r="K99" s="77"/>
      <c r="L99" s="77"/>
      <c r="M99" s="77"/>
      <c r="N99" s="77"/>
      <c r="O99" s="77"/>
    </row>
    <row r="100" ht="15.75" customHeight="1">
      <c r="A100" s="77"/>
      <c r="B100" s="77"/>
      <c r="C100" s="77"/>
      <c r="D100" s="77"/>
      <c r="E100" s="77"/>
      <c r="F100" s="77"/>
      <c r="G100" s="77"/>
      <c r="H100" s="77"/>
      <c r="I100" s="77"/>
      <c r="J100" s="77"/>
      <c r="K100" s="77"/>
      <c r="L100" s="77"/>
      <c r="M100" s="77"/>
      <c r="N100" s="77"/>
      <c r="O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5.88"/>
    <col customWidth="1" min="2" max="15" width="8.88"/>
    <col customWidth="1" min="16" max="26" width="11.25"/>
  </cols>
  <sheetData>
    <row r="1" ht="37.5" customHeight="1">
      <c r="A1" s="2" t="str">
        <f>'Input sheet'!A1</f>
        <v>Novo Nordisk (NYSE:NVO)</v>
      </c>
      <c r="B1" s="2"/>
      <c r="C1" s="2" t="s">
        <v>57</v>
      </c>
      <c r="D1" s="2">
        <f>'Input sheet'!D1</f>
        <v>39.4</v>
      </c>
      <c r="E1" s="7"/>
      <c r="F1" s="7"/>
      <c r="G1" s="7"/>
      <c r="H1" s="7"/>
      <c r="I1" s="7"/>
      <c r="J1" s="7"/>
      <c r="K1" s="7"/>
      <c r="L1" s="7"/>
      <c r="M1" s="7"/>
      <c r="N1" s="7"/>
      <c r="O1" s="7"/>
    </row>
    <row r="2" ht="14.25" customHeight="1">
      <c r="A2" s="444" t="s">
        <v>620</v>
      </c>
      <c r="B2" s="444" t="s">
        <v>463</v>
      </c>
      <c r="C2" s="444" t="s">
        <v>464</v>
      </c>
      <c r="D2" s="444" t="s">
        <v>465</v>
      </c>
      <c r="E2" s="444" t="s">
        <v>466</v>
      </c>
      <c r="F2" s="444" t="s">
        <v>467</v>
      </c>
      <c r="G2" s="444" t="s">
        <v>468</v>
      </c>
      <c r="H2" s="444" t="s">
        <v>63</v>
      </c>
      <c r="I2" s="444" t="s">
        <v>64</v>
      </c>
      <c r="J2" s="444" t="s">
        <v>65</v>
      </c>
      <c r="K2" s="470" t="s">
        <v>66</v>
      </c>
      <c r="L2" s="9" t="s">
        <v>391</v>
      </c>
      <c r="M2" s="9"/>
      <c r="N2" s="9"/>
      <c r="O2" s="9"/>
    </row>
    <row r="3" ht="14.25" customHeight="1">
      <c r="A3" s="448" t="s">
        <v>621</v>
      </c>
      <c r="B3" s="477">
        <f>IFERROR('Balance Sheet'!B20+'Balance Sheet'!B21+'Balance Sheet'!B25+'Balance Sheet'!B26,"")</f>
        <v>32.5</v>
      </c>
      <c r="C3" s="477">
        <f>IFERROR('Balance Sheet'!C20+'Balance Sheet'!C21+'Balance Sheet'!C25+'Balance Sheet'!C26,"")</f>
        <v>272.9</v>
      </c>
      <c r="D3" s="477">
        <f>IFERROR('Balance Sheet'!D20+'Balance Sheet'!D21+'Balance Sheet'!D25+'Balance Sheet'!D26,"")</f>
        <v>79.0</v>
      </c>
      <c r="E3" s="477">
        <f>IFERROR('Balance Sheet'!E20+'Balance Sheet'!E21+'Balance Sheet'!E25+'Balance Sheet'!E26,"")</f>
        <v>674.0</v>
      </c>
      <c r="F3" s="477">
        <f>IFERROR('Balance Sheet'!F20+'Balance Sheet'!F21+'Balance Sheet'!F25+'Balance Sheet'!F26,"")</f>
        <v>1707.9</v>
      </c>
      <c r="G3" s="477">
        <f>IFERROR('Balance Sheet'!G20+'Balance Sheet'!G21+'Balance Sheet'!G25+'Balance Sheet'!G26,"")</f>
        <v>4058.2</v>
      </c>
      <c r="H3" s="477">
        <f>IFERROR('Balance Sheet'!H20+'Balance Sheet'!H21+'Balance Sheet'!H25+'Balance Sheet'!H26,"")</f>
        <v>3698.1</v>
      </c>
      <c r="I3" s="477">
        <f>IFERROR('Balance Sheet'!I20+'Balance Sheet'!I21+'Balance Sheet'!I25+'Balance Sheet'!I26,"")</f>
        <v>4004.1</v>
      </c>
      <c r="J3" s="477">
        <f>IFERROR('Balance Sheet'!J20+'Balance Sheet'!J21+'Balance Sheet'!J25+'Balance Sheet'!J26,"")</f>
        <v>14318.6</v>
      </c>
      <c r="K3" s="480">
        <f>IFERROR('Balance Sheet'!K20+'Balance Sheet'!K21+'Balance Sheet'!K25+'Balance Sheet'!K26,"")</f>
        <v>20602.2</v>
      </c>
      <c r="L3" s="481">
        <f>IFERROR('Balance Sheet'!L20+'Balance Sheet'!L21+'Balance Sheet'!L25+'Balance Sheet'!L26,"")</f>
        <v>21361.0</v>
      </c>
      <c r="M3" s="9"/>
      <c r="N3" s="9"/>
      <c r="O3" s="9"/>
    </row>
    <row r="4" ht="14.25" customHeight="1">
      <c r="A4" s="448" t="s">
        <v>628</v>
      </c>
      <c r="B4" s="477">
        <f>IFERROR(B3-'Balance Sheet'!B5,"")</f>
        <v>-2902.3</v>
      </c>
      <c r="C4" s="477">
        <f>IFERROR(C3-'Balance Sheet'!C5,"")</f>
        <v>-2764.0</v>
      </c>
      <c r="D4" s="477">
        <f>IFERROR(D3-'Balance Sheet'!D5,"")</f>
        <v>-2318.9</v>
      </c>
      <c r="E4" s="477">
        <f>IFERROR(E3-'Balance Sheet'!E5,"")</f>
        <v>-1652.8</v>
      </c>
      <c r="F4" s="477">
        <f>IFERROR(F3-'Balance Sheet'!F5,"")</f>
        <v>-395.9</v>
      </c>
      <c r="G4" s="477">
        <f>IFERROR(G3-'Balance Sheet'!G5,"")</f>
        <v>1395.1</v>
      </c>
      <c r="H4" s="477">
        <f>IFERROR(H3-'Balance Sheet'!H5,"")</f>
        <v>316.9</v>
      </c>
      <c r="I4" s="477">
        <f>IFERROR(I3-'Balance Sheet'!I5,"")</f>
        <v>-477.9</v>
      </c>
      <c r="J4" s="477">
        <f>IFERROR(J3-'Balance Sheet'!J5,"")</f>
        <v>10653.8</v>
      </c>
      <c r="K4" s="480">
        <f>IFERROR(K3-'Balance Sheet'!K5,"")</f>
        <v>16360.6</v>
      </c>
      <c r="L4" s="481">
        <f>IFERROR(L3-'Balance Sheet'!L5,"")</f>
        <v>14503.9</v>
      </c>
      <c r="M4" s="9"/>
      <c r="N4" s="9"/>
      <c r="O4" s="9"/>
    </row>
    <row r="5" ht="14.25" customHeight="1">
      <c r="A5" s="448" t="s">
        <v>633</v>
      </c>
      <c r="B5" s="473">
        <f>IFERROR('Balance Sheet'!B10/'Balance Sheet'!B24,"")</f>
        <v>1.25992446995153</v>
      </c>
      <c r="C5" s="473">
        <f>IFERROR('Balance Sheet'!C10/'Balance Sheet'!C24,"")</f>
        <v>1.27677004867881</v>
      </c>
      <c r="D5" s="473">
        <f>IFERROR('Balance Sheet'!D10/'Balance Sheet'!D24,"")</f>
        <v>1.09053364157395</v>
      </c>
      <c r="E5" s="473">
        <f>IFERROR('Balance Sheet'!E10/'Balance Sheet'!E24,"")</f>
        <v>1.05888189793203</v>
      </c>
      <c r="F5" s="473">
        <f>IFERROR('Balance Sheet'!F10/'Balance Sheet'!F24,"")</f>
        <v>0.936473694656093</v>
      </c>
      <c r="G5" s="473">
        <f>IFERROR('Balance Sheet'!G10/'Balance Sheet'!G24,"")</f>
        <v>0.860108993982899</v>
      </c>
      <c r="H5" s="473">
        <f>IFERROR('Balance Sheet'!H10/'Balance Sheet'!H24,"")</f>
        <v>0.894610315863508</v>
      </c>
      <c r="I5" s="473">
        <f>IFERROR('Balance Sheet'!I10/'Balance Sheet'!I24,"")</f>
        <v>0.823116189204017</v>
      </c>
      <c r="J5" s="473">
        <f>IFERROR('Balance Sheet'!J10/'Balance Sheet'!J24,"")</f>
        <v>0.743462699368289</v>
      </c>
      <c r="K5" s="474">
        <f>IFERROR('Balance Sheet'!K10/'Balance Sheet'!K24,"")</f>
        <v>0.799646895153209</v>
      </c>
      <c r="L5" s="484">
        <f>IFERROR('Balance Sheet'!L10/'Balance Sheet'!L24,"")</f>
        <v>0.87290202738854</v>
      </c>
      <c r="M5" s="9"/>
      <c r="N5" s="9"/>
      <c r="O5" s="9"/>
    </row>
    <row r="6" ht="14.25" customHeight="1">
      <c r="A6" s="448" t="s">
        <v>635</v>
      </c>
      <c r="B6" s="473">
        <f>IFERROR(('Balance Sheet'!B5+'Balance Sheet'!B8)/'Balance Sheet'!B24,"")</f>
        <v>0.946445032561182</v>
      </c>
      <c r="C6" s="473">
        <f>IFERROR(('Balance Sheet'!C5+'Balance Sheet'!C8)/'Balance Sheet'!C24,"")</f>
        <v>0.901112093188924</v>
      </c>
      <c r="D6" s="473">
        <f>IFERROR(('Balance Sheet'!D5+'Balance Sheet'!D8)/'Balance Sheet'!D24,"")</f>
        <v>0.785158695756875</v>
      </c>
      <c r="E6" s="473">
        <f>IFERROR(('Balance Sheet'!E5+'Balance Sheet'!E8)/'Balance Sheet'!E24,"")</f>
        <v>0.756601943937036</v>
      </c>
      <c r="F6" s="473">
        <f>IFERROR(('Balance Sheet'!F5+'Balance Sheet'!F8)/'Balance Sheet'!F24,"")</f>
        <v>0.63952575309132</v>
      </c>
      <c r="G6" s="473">
        <f>IFERROR(('Balance Sheet'!G5+'Balance Sheet'!G8)/'Balance Sheet'!G24,"")</f>
        <v>0.645967486540695</v>
      </c>
      <c r="H6" s="473">
        <f>IFERROR(('Balance Sheet'!H5+'Balance Sheet'!H8)/'Balance Sheet'!H24,"")</f>
        <v>0.670410063357181</v>
      </c>
      <c r="I6" s="473">
        <f>IFERROR(('Balance Sheet'!I5+'Balance Sheet'!I8)/'Balance Sheet'!I24,"")</f>
        <v>0.621794718889393</v>
      </c>
      <c r="J6" s="473">
        <f>IFERROR(('Balance Sheet'!J5+'Balance Sheet'!J8)/'Balance Sheet'!J24,"")</f>
        <v>0.526678652130169</v>
      </c>
      <c r="K6" s="474">
        <f>IFERROR(('Balance Sheet'!K5+'Balance Sheet'!K8)/'Balance Sheet'!K24,"")</f>
        <v>0.538567420035605</v>
      </c>
      <c r="L6" s="484">
        <f>IFERROR(('Balance Sheet'!L5+'Balance Sheet'!L8)/'Balance Sheet'!L24,"")</f>
        <v>0.642011858672718</v>
      </c>
      <c r="M6" s="9"/>
      <c r="N6" s="9"/>
      <c r="O6" s="9"/>
    </row>
    <row r="7" ht="14.25" customHeight="1">
      <c r="A7" s="448" t="s">
        <v>638</v>
      </c>
      <c r="B7" s="473">
        <f>IFERROR('Balance Sheet'!B5/'Balance Sheet'!B24,"")</f>
        <v>0.43634957923221</v>
      </c>
      <c r="C7" s="473">
        <f>IFERROR('Balance Sheet'!C5/'Balance Sheet'!C24,"")</f>
        <v>0.400630581903091</v>
      </c>
      <c r="D7" s="473">
        <f>IFERROR('Balance Sheet'!D5/'Balance Sheet'!D24,"")</f>
        <v>0.28872272792949</v>
      </c>
      <c r="E7" s="473">
        <f>IFERROR('Balance Sheet'!E5/'Balance Sheet'!E24,"")</f>
        <v>0.262363845477302</v>
      </c>
      <c r="F7" s="473">
        <f>IFERROR('Balance Sheet'!F5/'Balance Sheet'!F24,"")</f>
        <v>0.181535779927344</v>
      </c>
      <c r="G7" s="473">
        <f>IFERROR('Balance Sheet'!G5/'Balance Sheet'!G24,"")</f>
        <v>0.175703314683838</v>
      </c>
      <c r="H7" s="473">
        <f>IFERROR('Balance Sheet'!H5/'Balance Sheet'!H24,"")</f>
        <v>0.194925660523115</v>
      </c>
      <c r="I7" s="473">
        <f>IFERROR('Balance Sheet'!I5/'Balance Sheet'!I24,"")</f>
        <v>0.178183813181309</v>
      </c>
      <c r="J7" s="473">
        <f>IFERROR('Balance Sheet'!J5/'Balance Sheet'!J24,"")</f>
        <v>0.120892642134952</v>
      </c>
      <c r="K7" s="474">
        <f>IFERROR('Balance Sheet'!K5/'Balance Sheet'!K24,"")</f>
        <v>0.125019158443273</v>
      </c>
      <c r="L7" s="484">
        <f>IFERROR('Balance Sheet'!L5/'Balance Sheet'!L24,"")</f>
        <v>0.188144619833781</v>
      </c>
      <c r="M7" s="9"/>
      <c r="N7" s="9"/>
      <c r="O7" s="9"/>
    </row>
    <row r="8" ht="14.25" customHeight="1">
      <c r="A8" s="448" t="s">
        <v>643</v>
      </c>
      <c r="B8" s="473">
        <f>IFERROR(B3/'Balance Sheet'!B16,"")</f>
        <v>0.00235001482317042</v>
      </c>
      <c r="C8" s="473">
        <f>IFERROR(C3/'Balance Sheet'!C16,"")</f>
        <v>0.0165510298149002</v>
      </c>
      <c r="D8" s="473">
        <f>IFERROR(D3/'Balance Sheet'!D16,"")</f>
        <v>0.00465121755922943</v>
      </c>
      <c r="E8" s="473">
        <f>IFERROR(E3/'Balance Sheet'!E16,"")</f>
        <v>0.0356862994260542</v>
      </c>
      <c r="F8" s="473">
        <f>IFERROR(F3/'Balance Sheet'!F16,"")</f>
        <v>0.0714617460616331</v>
      </c>
      <c r="G8" s="473">
        <f>IFERROR(G3/'Balance Sheet'!G16,"")</f>
        <v>0.136987966041621</v>
      </c>
      <c r="H8" s="473">
        <f>IFERROR(H3/'Balance Sheet'!H16,"")</f>
        <v>0.106872545364695</v>
      </c>
      <c r="I8" s="473">
        <f>IFERROR(I3/'Balance Sheet'!I16,"")</f>
        <v>0.0858749525490541</v>
      </c>
      <c r="J8" s="473">
        <f>IFERROR(J3/'Balance Sheet'!J16,"")</f>
        <v>0.220748026640355</v>
      </c>
      <c r="K8" s="474">
        <f>IFERROR(K3/'Balance Sheet'!K16,"")</f>
        <v>0.241218703459128</v>
      </c>
      <c r="L8" s="484">
        <f>IFERROR(L3/'Balance Sheet'!L16,"")</f>
        <v>0.235530856846725</v>
      </c>
      <c r="M8" s="9"/>
      <c r="N8" s="9"/>
      <c r="O8" s="9"/>
    </row>
    <row r="9" ht="14.25" customHeight="1">
      <c r="A9" s="448" t="s">
        <v>644</v>
      </c>
      <c r="B9" s="473">
        <f>IFERROR('Balance Sheet'!B16/'Balance Sheet'!B35,"")</f>
        <v>2.1546623042767</v>
      </c>
      <c r="C9" s="473">
        <f>IFERROR('Balance Sheet'!C16/'Balance Sheet'!C35,"")</f>
        <v>2.0547060949319</v>
      </c>
      <c r="D9" s="473">
        <f>IFERROR('Balance Sheet'!D16/'Balance Sheet'!D35,"")</f>
        <v>2.13680224439216</v>
      </c>
      <c r="E9" s="473">
        <f>IFERROR('Balance Sheet'!E16/'Balance Sheet'!E35,"")</f>
        <v>2.18102452769181</v>
      </c>
      <c r="F9" s="473">
        <f>IFERROR('Balance Sheet'!F16/'Balance Sheet'!F35,"")</f>
        <v>2.28854458925032</v>
      </c>
      <c r="G9" s="473">
        <f>IFERROR('Balance Sheet'!G16/'Balance Sheet'!G35,"")</f>
        <v>2.74937354988399</v>
      </c>
      <c r="H9" s="473">
        <f>IFERROR('Balance Sheet'!H16/'Balance Sheet'!H35,"")</f>
        <v>2.88978804429524</v>
      </c>
      <c r="I9" s="473">
        <f>IFERROR('Balance Sheet'!I16/'Balance Sheet'!I35,"")</f>
        <v>2.95123170793458</v>
      </c>
      <c r="J9" s="473">
        <f>IFERROR('Balance Sheet'!J16/'Balance Sheet'!J35,"")</f>
        <v>3.24513085285745</v>
      </c>
      <c r="K9" s="474">
        <f>IFERROR('Balance Sheet'!K16/'Balance Sheet'!K35,"")</f>
        <v>2.79778427833447</v>
      </c>
      <c r="L9" s="484">
        <f>IFERROR('Balance Sheet'!L16/'Balance Sheet'!L35,"")</f>
        <v>2.68867379155982</v>
      </c>
      <c r="M9" s="9"/>
      <c r="N9" s="9"/>
      <c r="O9" s="9"/>
    </row>
    <row r="10" ht="14.25" customHeight="1">
      <c r="A10" s="448" t="s">
        <v>646</v>
      </c>
      <c r="B10" s="473">
        <f>IFERROR('Cash Flow Statement'!B13/B3,"")</f>
        <v>220.901538461538</v>
      </c>
      <c r="C10" s="473">
        <f>IFERROR('Cash Flow Statement'!C13/C3,"")</f>
        <v>22.8625870282155</v>
      </c>
      <c r="D10" s="473">
        <f>IFERROR('Cash Flow Statement'!D13/D3,"")</f>
        <v>89.3987341772152</v>
      </c>
      <c r="E10" s="473">
        <f>IFERROR('Cash Flow Statement'!E13/E3,"")</f>
        <v>10.4057863501484</v>
      </c>
      <c r="F10" s="473">
        <f>IFERROR('Cash Flow Statement'!F13/F3,"")</f>
        <v>4.65366824755548</v>
      </c>
      <c r="G10" s="473">
        <f>IFERROR('Cash Flow Statement'!G13/G3,"")</f>
        <v>2.15410773249224</v>
      </c>
      <c r="H10" s="473">
        <f>IFERROR('Cash Flow Statement'!H13/H3,"")</f>
        <v>3.01262810632487</v>
      </c>
      <c r="I10" s="473">
        <f>IFERROR('Cash Flow Statement'!I13/I3,"")</f>
        <v>3.94618016533054</v>
      </c>
      <c r="J10" s="473">
        <f>IFERROR('Cash Flow Statement'!J13/J3,"")</f>
        <v>1.22563658458229</v>
      </c>
      <c r="K10" s="474">
        <f>IFERROR('Cash Flow Statement'!K13/K3,"")</f>
        <v>0.873566900622264</v>
      </c>
      <c r="L10" s="484">
        <f>IFERROR('Cash Flow Statement'!L13/L3,"")</f>
        <v>0.963896821309864</v>
      </c>
      <c r="M10" s="9"/>
      <c r="N10" s="9"/>
      <c r="O10" s="9"/>
    </row>
    <row r="11" ht="14.25" customHeight="1">
      <c r="A11" s="448" t="s">
        <v>648</v>
      </c>
      <c r="B11" s="473">
        <f>IFERROR(('Balance Sheet'!B25+'Balance Sheet'!B26)/'Balance Sheet'!B16,"")</f>
        <v>0.0</v>
      </c>
      <c r="C11" s="473">
        <f>IFERROR(('Balance Sheet'!C25+'Balance Sheet'!C26)/'Balance Sheet'!C16,"")</f>
        <v>0.0</v>
      </c>
      <c r="D11" s="473">
        <f>IFERROR(('Balance Sheet'!D25+'Balance Sheet'!D26)/'Balance Sheet'!D16,"")</f>
        <v>0.0</v>
      </c>
      <c r="E11" s="473">
        <f>IFERROR(('Balance Sheet'!E25+'Balance Sheet'!E26)/'Balance Sheet'!E16,"")</f>
        <v>0.0239532371815236</v>
      </c>
      <c r="F11" s="473">
        <f>IFERROR(('Balance Sheet'!F25+'Balance Sheet'!F26)/'Balance Sheet'!F16,"")</f>
        <v>0.0199920500428879</v>
      </c>
      <c r="G11" s="473">
        <f>IFERROR(('Balance Sheet'!G25+'Balance Sheet'!G26)/'Balance Sheet'!G16,"")</f>
        <v>0.0666374116018836</v>
      </c>
      <c r="H11" s="473">
        <f>IFERROR(('Balance Sheet'!H25+'Balance Sheet'!H26)/'Balance Sheet'!H16,"")</f>
        <v>0.100797910001763</v>
      </c>
      <c r="I11" s="473">
        <f>IFERROR(('Balance Sheet'!I25+'Balance Sheet'!I26)/'Balance Sheet'!I16,"")</f>
        <v>0.0652753441668043</v>
      </c>
      <c r="J11" s="473">
        <f>IFERROR(('Balance Sheet'!J25+'Balance Sheet'!J26)/'Balance Sheet'!J16,"")</f>
        <v>0.192586026147015</v>
      </c>
      <c r="K11" s="474">
        <f>IFERROR(('Balance Sheet'!K25+'Balance Sheet'!K26)/'Balance Sheet'!K16,"")</f>
        <v>0.219083981978438</v>
      </c>
      <c r="L11" s="484">
        <f>IFERROR(('Balance Sheet'!L25+'Balance Sheet'!L26)/'Balance Sheet'!L16,"")</f>
        <v>0.204715909717398</v>
      </c>
      <c r="M11" s="9"/>
      <c r="N11" s="9"/>
      <c r="O11" s="9"/>
    </row>
    <row r="12" ht="14.25" customHeight="1">
      <c r="A12" s="448" t="s">
        <v>650</v>
      </c>
      <c r="B12" s="473">
        <f>IFERROR(('Balance Sheet'!B12+'Balance Sheet'!B13)/'Balance Sheet'!B16,"")</f>
        <v>0.0278241755063378</v>
      </c>
      <c r="C12" s="473">
        <f>IFERROR(('Balance Sheet'!C12+'Balance Sheet'!C13)/'Balance Sheet'!C16,"")</f>
        <v>0.0324834429053153</v>
      </c>
      <c r="D12" s="473">
        <f>IFERROR(('Balance Sheet'!D12+'Balance Sheet'!D13)/'Balance Sheet'!D16,"")</f>
        <v>0.0464474118034949</v>
      </c>
      <c r="E12" s="473">
        <f>IFERROR(('Balance Sheet'!E12+'Balance Sheet'!E13)/'Balance Sheet'!E16,"")</f>
        <v>0.0464504309888388</v>
      </c>
      <c r="F12" s="473">
        <f>IFERROR(('Balance Sheet'!F12+'Balance Sheet'!F13)/'Balance Sheet'!F16,"")</f>
        <v>0.142538546831524</v>
      </c>
      <c r="G12" s="473">
        <f>IFERROR(('Balance Sheet'!G12+'Balance Sheet'!G13)/'Balance Sheet'!G16,"")</f>
        <v>0.221948049756114</v>
      </c>
      <c r="H12" s="473">
        <f>IFERROR(('Balance Sheet'!H12+'Balance Sheet'!H13)/'Balance Sheet'!H16,"")</f>
        <v>0.211138372795344</v>
      </c>
      <c r="I12" s="473">
        <f>IFERROR(('Balance Sheet'!I12+'Balance Sheet'!I13)/'Balance Sheet'!I16,"")</f>
        <v>0.192079284364672</v>
      </c>
      <c r="J12" s="473">
        <f>IFERROR(('Balance Sheet'!J12+'Balance Sheet'!J13)/'Balance Sheet'!J16,"")</f>
        <v>0.238001048347311</v>
      </c>
      <c r="K12" s="474">
        <f>IFERROR(('Balance Sheet'!K12+'Balance Sheet'!K13)/'Balance Sheet'!K16,"")</f>
        <v>0.239551427955901</v>
      </c>
      <c r="L12" s="484">
        <f>IFERROR(('Balance Sheet'!L12+'Balance Sheet'!L13)/'Balance Sheet'!L16,"")</f>
        <v>0.205158060710308</v>
      </c>
      <c r="M12" s="9"/>
      <c r="N12" s="9"/>
      <c r="O12" s="9"/>
    </row>
    <row r="13" ht="14.25" customHeight="1">
      <c r="A13" s="448" t="s">
        <v>654</v>
      </c>
      <c r="B13" s="477">
        <f>IFERROR('Balance Sheet'!B10-'Balance Sheet'!B29,"")</f>
        <v>1062.8</v>
      </c>
      <c r="C13" s="477">
        <f>IFERROR('Balance Sheet'!C10-'Balance Sheet'!C29,"")</f>
        <v>1214.6</v>
      </c>
      <c r="D13" s="477">
        <f>IFERROR('Balance Sheet'!D10-'Balance Sheet'!D29,"")</f>
        <v>21.1000000000004</v>
      </c>
      <c r="E13" s="477">
        <f>IFERROR('Balance Sheet'!E10-'Balance Sheet'!E29,"")</f>
        <v>-836.400000000002</v>
      </c>
      <c r="F13" s="477">
        <f>IFERROR('Balance Sheet'!F10-'Balance Sheet'!F29,"")</f>
        <v>-2603.7</v>
      </c>
      <c r="G13" s="477">
        <f>IFERROR('Balance Sheet'!G10-'Balance Sheet'!G29,"")</f>
        <v>-5813.1</v>
      </c>
      <c r="H13" s="477">
        <f>IFERROR('Balance Sheet'!H10-'Balance Sheet'!H29,"")</f>
        <v>-7110.7</v>
      </c>
      <c r="I13" s="477">
        <f>IFERROR('Balance Sheet'!I10-'Balance Sheet'!I29,"")</f>
        <v>-10123.4</v>
      </c>
      <c r="J13" s="477">
        <f>IFERROR('Balance Sheet'!J10-'Balance Sheet'!J29,"")</f>
        <v>-22338.2</v>
      </c>
      <c r="K13" s="480">
        <f>IFERROR('Balance Sheet'!K10-'Balance Sheet'!K29,"")</f>
        <v>-27751.4</v>
      </c>
      <c r="L13" s="481">
        <f>IFERROR('Balance Sheet'!L10-'Balance Sheet'!L29,"")</f>
        <v>-25147.8</v>
      </c>
      <c r="M13" s="9"/>
      <c r="N13" s="9"/>
      <c r="O13" s="9"/>
    </row>
    <row r="14" ht="14.25" customHeight="1">
      <c r="A14" s="448" t="s">
        <v>656</v>
      </c>
      <c r="B14" s="473">
        <f>IFERROR('Balance Sheet'!B13/'Balance Sheet'!B16,"")</f>
        <v>0.0</v>
      </c>
      <c r="C14" s="473">
        <f>IFERROR('Balance Sheet'!C13/'Balance Sheet'!C16,"")</f>
        <v>0.0</v>
      </c>
      <c r="D14" s="473">
        <f>IFERROR('Balance Sheet'!D13/'Balance Sheet'!D16,"")</f>
        <v>0.0</v>
      </c>
      <c r="E14" s="473">
        <f>IFERROR('Balance Sheet'!E13/'Balance Sheet'!E16,"")</f>
        <v>0.0</v>
      </c>
      <c r="F14" s="473">
        <f>IFERROR('Balance Sheet'!F13/'Balance Sheet'!F16,"")</f>
        <v>0.0</v>
      </c>
      <c r="G14" s="473">
        <f>IFERROR('Balance Sheet'!G13/'Balance Sheet'!G16,"")</f>
        <v>0.0223429931306858</v>
      </c>
      <c r="H14" s="473">
        <f>IFERROR('Balance Sheet'!H13/'Balance Sheet'!H16,"")</f>
        <v>0.0191284545514971</v>
      </c>
      <c r="I14" s="473">
        <f>IFERROR('Balance Sheet'!I13/'Balance Sheet'!I16,"")</f>
        <v>0.0141956072755972</v>
      </c>
      <c r="J14" s="473">
        <f>IFERROR('Balance Sheet'!J13/'Balance Sheet'!J16,"")</f>
        <v>0.0429884065120868</v>
      </c>
      <c r="K14" s="474">
        <f>IFERROR('Balance Sheet'!K13/'Balance Sheet'!K16,"")</f>
        <v>0.0365536104008018</v>
      </c>
      <c r="L14" s="484">
        <f>IFERROR('Balance Sheet'!L13/'Balance Sheet'!L16,"")</f>
        <v>0.0334314665960989</v>
      </c>
      <c r="M14" s="9"/>
      <c r="N14" s="9"/>
      <c r="O14" s="9"/>
    </row>
    <row r="15" ht="14.25" customHeight="1">
      <c r="A15" s="448" t="s">
        <v>662</v>
      </c>
      <c r="B15" s="473">
        <f>IFERROR(B3/'Balance Sheet'!B35,"")</f>
        <v>0.00506348835397679</v>
      </c>
      <c r="C15" s="473">
        <f>IFERROR(C3/'Balance Sheet'!C35,"")</f>
        <v>0.0340075018380749</v>
      </c>
      <c r="D15" s="473">
        <f>IFERROR(D3/'Balance Sheet'!D35,"")</f>
        <v>0.00993873211971769</v>
      </c>
      <c r="E15" s="473">
        <f>IFERROR(E3/'Balance Sheet'!E35,"")</f>
        <v>0.0778326943507783</v>
      </c>
      <c r="F15" s="473">
        <f>IFERROR(F3/'Balance Sheet'!F35,"")</f>
        <v>0.163543392287731</v>
      </c>
      <c r="G15" s="473">
        <f>IFERROR(G3/'Balance Sheet'!G35,"")</f>
        <v>0.376631090487239</v>
      </c>
      <c r="H15" s="473">
        <f>IFERROR(H3/'Balance Sheet'!H35,"")</f>
        <v>0.308839003858295</v>
      </c>
      <c r="I15" s="473">
        <f>IFERROR(I3/'Balance Sheet'!I35,"")</f>
        <v>0.253436882880146</v>
      </c>
      <c r="J15" s="473">
        <f>IFERROR(J3/'Balance Sheet'!J35,"")</f>
        <v>0.716356231958015</v>
      </c>
      <c r="K15" s="474">
        <f>IFERROR(K3/'Balance Sheet'!K35,"")</f>
        <v>0.674877896178175</v>
      </c>
      <c r="L15" s="484">
        <f>IFERROR(L3/'Balance Sheet'!L35,"")</f>
        <v>0.633265641907416</v>
      </c>
      <c r="M15" s="9"/>
      <c r="N15" s="9"/>
      <c r="O15" s="9"/>
    </row>
    <row r="16" ht="14.25" customHeight="1">
      <c r="A16" s="448" t="s">
        <v>666</v>
      </c>
      <c r="B16" s="473">
        <f>IFERROR(B3/(B3+'Balance Sheet'!B35),"")</f>
        <v>0.00503797860796776</v>
      </c>
      <c r="C16" s="473">
        <f>IFERROR(C3/(C3+'Balance Sheet'!C35),"")</f>
        <v>0.0328890281527189</v>
      </c>
      <c r="D16" s="473">
        <f>IFERROR(D3/(D3+'Balance Sheet'!D35),"")</f>
        <v>0.00984092579443676</v>
      </c>
      <c r="E16" s="473">
        <f>IFERROR(E3/(E3+'Balance Sheet'!E35),"")</f>
        <v>0.0722122225079283</v>
      </c>
      <c r="F16" s="473">
        <f>IFERROR(F3/(F3+'Balance Sheet'!F35),"")</f>
        <v>0.140556332812114</v>
      </c>
      <c r="G16" s="473">
        <f>IFERROR(G3/(G3+'Balance Sheet'!G35),"")</f>
        <v>0.273588976080684</v>
      </c>
      <c r="H16" s="473">
        <f>IFERROR(H3/(H3+'Balance Sheet'!H35),"")</f>
        <v>0.235964089508241</v>
      </c>
      <c r="I16" s="473">
        <f>IFERROR(I3/(I3+'Balance Sheet'!I35),"")</f>
        <v>0.202193573798306</v>
      </c>
      <c r="J16" s="473">
        <f>IFERROR(J3/(J3+'Balance Sheet'!J35),"")</f>
        <v>0.417370367887322</v>
      </c>
      <c r="K16" s="474">
        <f>IFERROR(K3/(K3+'Balance Sheet'!K35),"")</f>
        <v>0.402941550376984</v>
      </c>
      <c r="L16" s="484">
        <f>IFERROR(L3/(L3+'Balance Sheet'!L35),"")</f>
        <v>0.387729727276853</v>
      </c>
      <c r="M16" s="9"/>
      <c r="N16" s="9"/>
      <c r="O16" s="9"/>
    </row>
    <row r="17" ht="14.25" customHeight="1">
      <c r="A17" s="448" t="s">
        <v>667</v>
      </c>
      <c r="B17" s="473">
        <f>IFERROR(('Balance Sheet'!B25+'Balance Sheet'!B26)/(('Balance Sheet'!B25+'Balance Sheet'!B26)+'Balance Sheet'!B35),"")</f>
        <v>0.0</v>
      </c>
      <c r="C17" s="473">
        <f>IFERROR(('Balance Sheet'!C25+'Balance Sheet'!C26)/(('Balance Sheet'!C25+'Balance Sheet'!C26)+'Balance Sheet'!C35),"")</f>
        <v>0.0</v>
      </c>
      <c r="D17" s="473">
        <f>IFERROR(('Balance Sheet'!D25+'Balance Sheet'!D26)/(('Balance Sheet'!D25+'Balance Sheet'!D26)+'Balance Sheet'!D35),"")</f>
        <v>0.0</v>
      </c>
      <c r="E17" s="473">
        <f>IFERROR(('Balance Sheet'!E25+'Balance Sheet'!E26)/(('Balance Sheet'!E25+'Balance Sheet'!E26)+'Balance Sheet'!E35),"")</f>
        <v>0.0496488147497805</v>
      </c>
      <c r="F17" s="473">
        <f>IFERROR(('Balance Sheet'!F25+'Balance Sheet'!F26)/(('Balance Sheet'!F25+'Balance Sheet'!F26)+'Balance Sheet'!F35),"")</f>
        <v>0.0437509729051635</v>
      </c>
      <c r="G17" s="473">
        <f>IFERROR(('Balance Sheet'!G25+'Balance Sheet'!G26)/(('Balance Sheet'!G25+'Balance Sheet'!G26)+'Balance Sheet'!G35),"")</f>
        <v>0.154842302593909</v>
      </c>
      <c r="H17" s="473">
        <f>IFERROR(('Balance Sheet'!H25+'Balance Sheet'!H26)/(('Balance Sheet'!H25+'Balance Sheet'!H26)+'Balance Sheet'!H35),"")</f>
        <v>0.225577379528007</v>
      </c>
      <c r="I17" s="473">
        <f>IFERROR(('Balance Sheet'!I25+'Balance Sheet'!I26)/(('Balance Sheet'!I25+'Balance Sheet'!I26)+'Balance Sheet'!I35),"")</f>
        <v>0.161525887872291</v>
      </c>
      <c r="J17" s="473">
        <f>IFERROR(('Balance Sheet'!J25+'Balance Sheet'!J26)/(('Balance Sheet'!J25+'Balance Sheet'!J26)+'Balance Sheet'!J35),"")</f>
        <v>0.384602832512315</v>
      </c>
      <c r="K17" s="474">
        <f>IFERROR(('Balance Sheet'!K25+'Balance Sheet'!K26)/(('Balance Sheet'!K25+'Balance Sheet'!K26)+'Balance Sheet'!K35),"")</f>
        <v>0.380017872012023</v>
      </c>
      <c r="L17" s="484">
        <f>IFERROR(('Balance Sheet'!L25+'Balance Sheet'!L26)/(('Balance Sheet'!L25+'Balance Sheet'!L26)+'Balance Sheet'!L35),"")</f>
        <v>0.355011109453935</v>
      </c>
      <c r="M17" s="9"/>
      <c r="N17" s="9"/>
      <c r="O17" s="9"/>
    </row>
    <row r="18" ht="14.25" customHeight="1">
      <c r="A18" s="448" t="s">
        <v>668</v>
      </c>
      <c r="B18" s="473">
        <f>IFERROR(('Balance Sheet'!B25+'Balance Sheet'!B26)/'Balance Sheet'!B35,"")</f>
        <v>0.0</v>
      </c>
      <c r="C18" s="473">
        <f>IFERROR(('Balance Sheet'!C25+'Balance Sheet'!C26)/'Balance Sheet'!C35,"")</f>
        <v>0.0</v>
      </c>
      <c r="D18" s="473">
        <f>IFERROR(('Balance Sheet'!D25+'Balance Sheet'!D26)/'Balance Sheet'!D35,"")</f>
        <v>0.0</v>
      </c>
      <c r="E18" s="473">
        <f>IFERROR(('Balance Sheet'!E25+'Balance Sheet'!E26)/'Balance Sheet'!E35,"")</f>
        <v>0.0522425978105224</v>
      </c>
      <c r="F18" s="473">
        <f>IFERROR(('Balance Sheet'!F25+'Balance Sheet'!F26)/'Balance Sheet'!F35,"")</f>
        <v>0.0457526979536728</v>
      </c>
      <c r="G18" s="473">
        <f>IFERROR(('Balance Sheet'!G25+'Balance Sheet'!G26)/'Balance Sheet'!G35,"")</f>
        <v>0.183211136890951</v>
      </c>
      <c r="H18" s="473">
        <f>IFERROR(('Balance Sheet'!H25+'Balance Sheet'!H26)/'Balance Sheet'!H35,"")</f>
        <v>0.291284595213041</v>
      </c>
      <c r="I18" s="473">
        <f>IFERROR(('Balance Sheet'!I25+'Balance Sheet'!I26)/'Balance Sheet'!I35,"")</f>
        <v>0.192642665451415</v>
      </c>
      <c r="J18" s="473">
        <f>IFERROR(('Balance Sheet'!J25+'Balance Sheet'!J26)/'Balance Sheet'!J35,"")</f>
        <v>0.624966855278891</v>
      </c>
      <c r="K18" s="474">
        <f>IFERROR(('Balance Sheet'!K25+'Balance Sheet'!K26)/'Balance Sheet'!K35,"")</f>
        <v>0.612949720414187</v>
      </c>
      <c r="L18" s="484">
        <f>IFERROR(('Balance Sheet'!L25+'Balance Sheet'!L26)/'Balance Sheet'!L35,"")</f>
        <v>0.550414301172495</v>
      </c>
      <c r="M18" s="9"/>
      <c r="N18" s="9"/>
      <c r="O18" s="9"/>
    </row>
    <row r="19" ht="14.25" customHeight="1">
      <c r="A19" s="448" t="s">
        <v>669</v>
      </c>
      <c r="B19" s="473">
        <f>IFERROR(B4/'Income Statement'!B28,"")</f>
        <v>-0.378332225307314</v>
      </c>
      <c r="C19" s="473">
        <f>IFERROR(C4/'Income Statement'!C28,"")</f>
        <v>-0.349722904066604</v>
      </c>
      <c r="D19" s="473">
        <f>IFERROR(D4/'Income Statement'!D28,"")</f>
        <v>-0.286269813836354</v>
      </c>
      <c r="E19" s="473">
        <f>IFERROR(E4/'Income Statement'!E28,"")</f>
        <v>-0.189608691163143</v>
      </c>
      <c r="F19" s="473">
        <f>IFERROR(F4/'Income Statement'!F28,"")</f>
        <v>-0.0432162778766279</v>
      </c>
      <c r="G19" s="473">
        <f>IFERROR(G4/'Income Statement'!G28,"")</f>
        <v>0.135728601171366</v>
      </c>
      <c r="H19" s="473">
        <f>IFERROR(H4/'Income Statement'!H28,"")</f>
        <v>0.0273076657934647</v>
      </c>
      <c r="I19" s="473">
        <f>IFERROR(I4/'Income Statement'!I28,"")</f>
        <v>-0.0294135749279894</v>
      </c>
      <c r="J19" s="473">
        <f>IFERROR(J4/'Income Statement'!J28,"")</f>
        <v>0.498057567073541</v>
      </c>
      <c r="K19" s="475">
        <f>IFERROR(K4/'Income Statement'!K28,"")</f>
        <v>0.723536175482045</v>
      </c>
      <c r="L19" s="484">
        <f>IFERROR(L4/'Income Statement'!L28,"")</f>
        <v>0.65194857733627</v>
      </c>
      <c r="M19" s="9"/>
      <c r="N19" s="9"/>
      <c r="O19" s="9"/>
    </row>
    <row r="20" ht="14.25" customHeight="1">
      <c r="A20" s="9" t="s">
        <v>670</v>
      </c>
      <c r="B20" s="493">
        <f>IFERROR('Income Statement'!B12/(-'Income Statement'!B15),"")</f>
        <v>-734.367346938775</v>
      </c>
      <c r="C20" s="493">
        <f>IFERROR('Income Statement'!C12/(-'Income Statement'!C15),"")</f>
        <v>-562.212121212121</v>
      </c>
      <c r="D20" s="493">
        <f>IFERROR('Income Statement'!D12/(-'Income Statement'!D15),"")</f>
        <v>-530.432624113475</v>
      </c>
      <c r="E20" s="493">
        <f>IFERROR('Income Statement'!E12/(-'Income Statement'!E15),"")</f>
        <v>-238.430303030303</v>
      </c>
      <c r="F20" s="493">
        <f>IFERROR('Income Statement'!F12/(-'Income Statement'!F15),"")</f>
        <v>-138.705192629816</v>
      </c>
      <c r="G20" s="493">
        <f>IFERROR('Income Statement'!G12/(-'Income Statement'!G15),"")</f>
        <v>-203.071895424837</v>
      </c>
      <c r="H20" s="493">
        <f>IFERROR('Income Statement'!H12/(-'Income Statement'!H15),"")</f>
        <v>-197.848314606742</v>
      </c>
      <c r="I20" s="493">
        <f>IFERROR('Income Statement'!I12/(-'Income Statement'!I15),"")</f>
        <v>-189.337150127226</v>
      </c>
      <c r="J20" s="493">
        <f>IFERROR('Income Statement'!J12/(-'Income Statement'!J15),"")</f>
        <v>-78.2631357713325</v>
      </c>
      <c r="K20" s="493">
        <f>IFERROR('Income Statement'!K12/(-'Income Statement'!K15),"")</f>
        <v>-30.3449740443605</v>
      </c>
      <c r="L20" s="494">
        <f>IFERROR('Income Statement'!L12/(-'Income Statement'!L15),"")</f>
        <v>-24.2652018395503</v>
      </c>
      <c r="M20" s="9"/>
      <c r="N20" s="9"/>
      <c r="O20" s="9"/>
    </row>
    <row r="21" ht="14.25" customHeight="1">
      <c r="A21" s="9" t="s">
        <v>671</v>
      </c>
      <c r="B21" s="493">
        <f>IFERROR('Income Statement'!B28/(-'Income Statement'!B15),"")</f>
        <v>-782.785714285714</v>
      </c>
      <c r="C21" s="493">
        <f>IFERROR('Income Statement'!C28/(-'Income Statement'!C15),"")</f>
        <v>-598.742424242424</v>
      </c>
      <c r="D21" s="493">
        <f>IFERROR('Income Statement'!D28/(-'Income Statement'!D15),"")</f>
        <v>-574.496453900709</v>
      </c>
      <c r="E21" s="493">
        <f>IFERROR('Income Statement'!E28/(-'Income Statement'!E15),"")</f>
        <v>-264.148484848485</v>
      </c>
      <c r="F21" s="493">
        <f>IFERROR('Income Statement'!F28/(-'Income Statement'!F15),"")</f>
        <v>-153.448911222781</v>
      </c>
      <c r="G21" s="493">
        <f>IFERROR('Income Statement'!G28/(-'Income Statement'!G15),"")</f>
        <v>-223.934640522876</v>
      </c>
      <c r="H21" s="493">
        <f>IFERROR('Income Statement'!H28/(-'Income Statement'!H15),"")</f>
        <v>-217.318352059925</v>
      </c>
      <c r="I21" s="493">
        <f>IFERROR('Income Statement'!I28/(-'Income Statement'!I15),"")</f>
        <v>-206.712468193384</v>
      </c>
      <c r="J21" s="493">
        <f>IFERROR('Income Statement'!J28/(-'Income Statement'!J15),"")</f>
        <v>-89.9146700294241</v>
      </c>
      <c r="K21" s="493">
        <f>IFERROR('Income Statement'!K28/(-'Income Statement'!K15),"")</f>
        <v>-35.5702375334277</v>
      </c>
      <c r="L21" s="494">
        <f>IFERROR('Income Statement'!L28/(-'Income Statement'!L15),"")</f>
        <v>-28.4197751660705</v>
      </c>
      <c r="M21" s="9"/>
      <c r="N21" s="9"/>
      <c r="O21" s="9"/>
    </row>
    <row r="22" ht="14.25" customHeight="1">
      <c r="A22" s="9" t="s">
        <v>674</v>
      </c>
      <c r="B22" s="493">
        <f>IFERROR(('Income Statement'!B28+'Cash Flow Statement'!B15)/(-'Income Statement'!B15),"")</f>
        <v>-675.612244897959</v>
      </c>
      <c r="C22" s="493">
        <f>IFERROR(('Income Statement'!C28+'Cash Flow Statement'!C15)/(-'Income Statement'!C15),"")</f>
        <v>-511.181818181818</v>
      </c>
      <c r="D22" s="493">
        <f>IFERROR(('Income Statement'!D28+'Cash Flow Statement'!D15)/(-'Income Statement'!D15),"")</f>
        <v>-466.31914893617</v>
      </c>
      <c r="E22" s="493">
        <f>IFERROR(('Income Statement'!E28+'Cash Flow Statement'!E15)/(-'Income Statement'!E15),"")</f>
        <v>-223.569696969697</v>
      </c>
      <c r="F22" s="493">
        <f>IFERROR(('Income Statement'!F28+'Cash Flow Statement'!F15)/(-'Income Statement'!F15),"")</f>
        <v>-138.520938023451</v>
      </c>
      <c r="G22" s="493">
        <f>IFERROR(('Income Statement'!G28+'Cash Flow Statement'!G15)/(-'Income Statement'!G15),"")</f>
        <v>-201.997821350763</v>
      </c>
      <c r="H22" s="493">
        <f>IFERROR(('Income Statement'!H28+'Cash Flow Statement'!H15)/(-'Income Statement'!H15),"")</f>
        <v>-185.194756554307</v>
      </c>
      <c r="I22" s="493">
        <f>IFERROR(('Income Statement'!I28+'Cash Flow Statement'!I15)/(-'Income Statement'!I15),"")</f>
        <v>-159.077608142494</v>
      </c>
      <c r="J22" s="493">
        <f>IFERROR(('Income Statement'!J28+'Cash Flow Statement'!J15)/(-'Income Statement'!J15),"")</f>
        <v>-61.1534258091635</v>
      </c>
      <c r="K22" s="493">
        <f>IFERROR(('Income Statement'!K28+'Cash Flow Statement'!K15)/(-'Income Statement'!K15),"")</f>
        <v>-21.2746578574799</v>
      </c>
      <c r="L22" s="494">
        <f>IFERROR(('Income Statement'!L28+'Cash Flow Statement'!L15)/(-'Income Statement'!L15),"")</f>
        <v>-17.2424629535003</v>
      </c>
      <c r="M22" s="9"/>
      <c r="N22" s="9"/>
      <c r="O22" s="9"/>
    </row>
    <row r="23" ht="14.25" customHeight="1">
      <c r="A23" s="9"/>
      <c r="B23" s="9"/>
      <c r="C23" s="9"/>
      <c r="D23" s="9"/>
      <c r="E23" s="9"/>
      <c r="F23" s="9"/>
      <c r="G23" s="9"/>
      <c r="H23" s="9"/>
      <c r="I23" s="9"/>
      <c r="J23" s="9"/>
      <c r="K23" s="9"/>
      <c r="L23" s="9"/>
      <c r="M23" s="9"/>
      <c r="N23" s="9"/>
      <c r="O23" s="9"/>
    </row>
    <row r="24" ht="14.25" customHeight="1">
      <c r="A24" s="9"/>
      <c r="B24" s="9"/>
      <c r="C24" s="9"/>
      <c r="D24" s="9"/>
      <c r="E24" s="9"/>
      <c r="F24" s="9"/>
      <c r="G24" s="9"/>
      <c r="H24" s="9"/>
      <c r="I24" s="9"/>
      <c r="J24" s="9"/>
      <c r="K24" s="9"/>
      <c r="L24" s="9"/>
      <c r="M24" s="9"/>
      <c r="N24" s="9"/>
      <c r="O24" s="9"/>
    </row>
    <row r="25" ht="14.25" customHeight="1">
      <c r="A25" s="9"/>
      <c r="B25" s="9"/>
      <c r="C25" s="9"/>
      <c r="D25" s="9"/>
      <c r="E25" s="9"/>
      <c r="F25" s="9"/>
      <c r="G25" s="9"/>
      <c r="H25" s="9"/>
      <c r="I25" s="9"/>
      <c r="J25" s="9"/>
      <c r="K25" s="9"/>
      <c r="L25" s="9"/>
      <c r="M25" s="9"/>
      <c r="N25" s="9"/>
      <c r="O25" s="9"/>
    </row>
    <row r="26" ht="14.25" customHeight="1">
      <c r="A26" s="9"/>
      <c r="B26" s="9"/>
      <c r="C26" s="9"/>
      <c r="D26" s="9"/>
      <c r="E26" s="9"/>
      <c r="F26" s="9"/>
      <c r="G26" s="9"/>
      <c r="H26" s="9"/>
      <c r="I26" s="9"/>
      <c r="J26" s="9"/>
      <c r="K26" s="9"/>
      <c r="L26" s="9"/>
      <c r="M26" s="9"/>
      <c r="N26" s="9"/>
      <c r="O26" s="9"/>
    </row>
    <row r="27" ht="14.25" customHeight="1">
      <c r="A27" s="9"/>
      <c r="B27" s="9"/>
      <c r="C27" s="9"/>
      <c r="D27" s="9"/>
      <c r="E27" s="9"/>
      <c r="F27" s="9"/>
      <c r="G27" s="9"/>
      <c r="H27" s="9"/>
      <c r="I27" s="9"/>
      <c r="J27" s="9"/>
      <c r="K27" s="9"/>
      <c r="L27" s="9"/>
      <c r="M27" s="9"/>
      <c r="N27" s="9"/>
      <c r="O27" s="9"/>
    </row>
    <row r="28" ht="14.25" customHeight="1">
      <c r="A28" s="9"/>
      <c r="B28" s="9"/>
      <c r="C28" s="9"/>
      <c r="D28" s="9"/>
      <c r="E28" s="9"/>
      <c r="F28" s="9"/>
      <c r="G28" s="9"/>
      <c r="H28" s="9"/>
      <c r="I28" s="9"/>
      <c r="J28" s="9"/>
      <c r="K28" s="9"/>
      <c r="L28" s="9"/>
      <c r="M28" s="9"/>
      <c r="N28" s="9"/>
      <c r="O28" s="9"/>
    </row>
    <row r="29" ht="14.25" customHeight="1">
      <c r="A29" s="9"/>
      <c r="B29" s="9"/>
      <c r="C29" s="9"/>
      <c r="D29" s="9"/>
      <c r="E29" s="9"/>
      <c r="F29" s="9"/>
      <c r="G29" s="9"/>
      <c r="H29" s="9"/>
      <c r="I29" s="9"/>
      <c r="J29" s="9"/>
      <c r="K29" s="9"/>
      <c r="L29" s="9"/>
      <c r="M29" s="9"/>
      <c r="N29" s="9"/>
      <c r="O29" s="9"/>
    </row>
    <row r="30" ht="14.25" customHeight="1">
      <c r="A30" s="9"/>
      <c r="B30" s="9"/>
      <c r="C30" s="9"/>
      <c r="D30" s="9"/>
      <c r="E30" s="9"/>
      <c r="F30" s="9"/>
      <c r="G30" s="9"/>
      <c r="H30" s="9"/>
      <c r="I30" s="9"/>
      <c r="J30" s="9"/>
      <c r="K30" s="9"/>
      <c r="L30" s="9"/>
      <c r="M30" s="9"/>
      <c r="N30" s="9"/>
      <c r="O30" s="9"/>
    </row>
    <row r="31" ht="14.25" customHeight="1">
      <c r="A31" s="9"/>
      <c r="B31" s="9"/>
      <c r="C31" s="9"/>
      <c r="D31" s="9"/>
      <c r="E31" s="9"/>
      <c r="F31" s="9"/>
      <c r="G31" s="9"/>
      <c r="H31" s="9"/>
      <c r="I31" s="9"/>
      <c r="J31" s="9"/>
      <c r="K31" s="9"/>
      <c r="L31" s="9"/>
      <c r="M31" s="9"/>
      <c r="N31" s="9"/>
      <c r="O31" s="9"/>
    </row>
    <row r="32" ht="14.25" customHeight="1">
      <c r="A32" s="9"/>
      <c r="B32" s="9"/>
      <c r="C32" s="9"/>
      <c r="D32" s="9"/>
      <c r="E32" s="9"/>
      <c r="F32" s="9"/>
      <c r="G32" s="9"/>
      <c r="H32" s="9"/>
      <c r="I32" s="9"/>
      <c r="J32" s="9"/>
      <c r="K32" s="9"/>
      <c r="L32" s="9"/>
      <c r="M32" s="9"/>
      <c r="N32" s="9"/>
      <c r="O32" s="9"/>
    </row>
    <row r="33" ht="14.25" customHeight="1">
      <c r="A33" s="9"/>
      <c r="B33" s="9"/>
      <c r="C33" s="9"/>
      <c r="D33" s="9"/>
      <c r="E33" s="9"/>
      <c r="F33" s="9"/>
      <c r="G33" s="9"/>
      <c r="H33" s="9"/>
      <c r="I33" s="9"/>
      <c r="J33" s="9"/>
      <c r="K33" s="9"/>
      <c r="L33" s="9"/>
      <c r="M33" s="9"/>
      <c r="N33" s="9"/>
      <c r="O33" s="9"/>
    </row>
    <row r="34" ht="14.25" customHeight="1">
      <c r="A34" s="9"/>
      <c r="B34" s="9"/>
      <c r="C34" s="9"/>
      <c r="D34" s="9"/>
      <c r="E34" s="9"/>
      <c r="F34" s="9"/>
      <c r="G34" s="9"/>
      <c r="H34" s="9"/>
      <c r="I34" s="9"/>
      <c r="J34" s="9"/>
      <c r="K34" s="9"/>
      <c r="L34" s="9"/>
      <c r="M34" s="9"/>
      <c r="N34" s="9"/>
      <c r="O34" s="9"/>
    </row>
    <row r="35" ht="14.25" customHeight="1">
      <c r="A35" s="9"/>
      <c r="B35" s="9"/>
      <c r="C35" s="9"/>
      <c r="D35" s="9"/>
      <c r="E35" s="9"/>
      <c r="F35" s="9"/>
      <c r="G35" s="9"/>
      <c r="H35" s="9"/>
      <c r="I35" s="9"/>
      <c r="J35" s="9"/>
      <c r="K35" s="9"/>
      <c r="L35" s="9"/>
      <c r="M35" s="9"/>
      <c r="N35" s="9"/>
      <c r="O35" s="9"/>
    </row>
    <row r="36" ht="14.25" customHeight="1">
      <c r="A36" s="9"/>
      <c r="B36" s="9"/>
      <c r="C36" s="9"/>
      <c r="D36" s="9"/>
      <c r="E36" s="9"/>
      <c r="F36" s="9"/>
      <c r="G36" s="9"/>
      <c r="H36" s="9"/>
      <c r="I36" s="9"/>
      <c r="J36" s="9"/>
      <c r="K36" s="9"/>
      <c r="L36" s="9"/>
      <c r="M36" s="9"/>
      <c r="N36" s="9"/>
      <c r="O36" s="9"/>
    </row>
    <row r="37" ht="14.25" customHeight="1">
      <c r="A37" s="9"/>
      <c r="B37" s="9"/>
      <c r="C37" s="9"/>
      <c r="D37" s="9"/>
      <c r="E37" s="9"/>
      <c r="F37" s="9"/>
      <c r="G37" s="9"/>
      <c r="H37" s="9"/>
      <c r="I37" s="9"/>
      <c r="J37" s="9"/>
      <c r="K37" s="9"/>
      <c r="L37" s="9"/>
      <c r="M37" s="9"/>
      <c r="N37" s="9"/>
      <c r="O37" s="9"/>
    </row>
    <row r="38" ht="15.75" customHeight="1">
      <c r="A38" s="77"/>
      <c r="B38" s="77"/>
      <c r="C38" s="77"/>
      <c r="D38" s="77"/>
      <c r="E38" s="77"/>
      <c r="F38" s="77"/>
      <c r="G38" s="77"/>
      <c r="H38" s="77"/>
      <c r="I38" s="77"/>
      <c r="J38" s="77"/>
      <c r="K38" s="77"/>
      <c r="L38" s="77"/>
      <c r="M38" s="77"/>
      <c r="N38" s="77"/>
      <c r="O38" s="77"/>
    </row>
    <row r="39" ht="15.75" customHeight="1">
      <c r="A39" s="77"/>
      <c r="B39" s="77"/>
      <c r="C39" s="77"/>
      <c r="D39" s="77"/>
      <c r="E39" s="77"/>
      <c r="F39" s="77"/>
      <c r="G39" s="77"/>
      <c r="H39" s="77"/>
      <c r="I39" s="77"/>
      <c r="J39" s="77"/>
      <c r="K39" s="77"/>
      <c r="L39" s="77"/>
      <c r="M39" s="77"/>
      <c r="N39" s="77"/>
      <c r="O39" s="77"/>
    </row>
    <row r="40" ht="15.75" customHeight="1">
      <c r="A40" s="77"/>
      <c r="B40" s="77"/>
      <c r="C40" s="77"/>
      <c r="D40" s="77"/>
      <c r="E40" s="77"/>
      <c r="F40" s="77"/>
      <c r="G40" s="77"/>
      <c r="H40" s="77"/>
      <c r="I40" s="77"/>
      <c r="J40" s="77"/>
      <c r="K40" s="77"/>
      <c r="L40" s="77"/>
      <c r="M40" s="77"/>
      <c r="N40" s="77"/>
      <c r="O40" s="77"/>
    </row>
    <row r="41" ht="15.75" customHeight="1">
      <c r="A41" s="77"/>
      <c r="B41" s="77"/>
      <c r="C41" s="77"/>
      <c r="D41" s="77"/>
      <c r="E41" s="77"/>
      <c r="F41" s="77"/>
      <c r="G41" s="77"/>
      <c r="H41" s="77"/>
      <c r="I41" s="77"/>
      <c r="J41" s="77"/>
      <c r="K41" s="77"/>
      <c r="L41" s="77"/>
      <c r="M41" s="77"/>
      <c r="N41" s="77"/>
      <c r="O41" s="77"/>
    </row>
    <row r="42" ht="15.75" customHeight="1">
      <c r="A42" s="77"/>
      <c r="B42" s="77"/>
      <c r="C42" s="77"/>
      <c r="D42" s="77"/>
      <c r="E42" s="77"/>
      <c r="F42" s="77"/>
      <c r="G42" s="77"/>
      <c r="H42" s="77"/>
      <c r="I42" s="77"/>
      <c r="J42" s="77"/>
      <c r="K42" s="77"/>
      <c r="L42" s="77"/>
      <c r="M42" s="77"/>
      <c r="N42" s="77"/>
      <c r="O42" s="77"/>
    </row>
    <row r="43" ht="15.75" customHeight="1">
      <c r="A43" s="77"/>
      <c r="B43" s="77"/>
      <c r="C43" s="77"/>
      <c r="D43" s="77"/>
      <c r="E43" s="77"/>
      <c r="F43" s="77"/>
      <c r="G43" s="77"/>
      <c r="H43" s="77"/>
      <c r="I43" s="77"/>
      <c r="J43" s="77"/>
      <c r="K43" s="77"/>
      <c r="L43" s="77"/>
      <c r="M43" s="77"/>
      <c r="N43" s="77"/>
      <c r="O43" s="77"/>
    </row>
    <row r="44" ht="15.75" customHeight="1">
      <c r="A44" s="77"/>
      <c r="B44" s="77"/>
      <c r="C44" s="77"/>
      <c r="D44" s="77"/>
      <c r="E44" s="77"/>
      <c r="F44" s="77"/>
      <c r="G44" s="77"/>
      <c r="H44" s="77"/>
      <c r="I44" s="77"/>
      <c r="J44" s="77"/>
      <c r="K44" s="77"/>
      <c r="L44" s="77"/>
      <c r="M44" s="77"/>
      <c r="N44" s="77"/>
      <c r="O44" s="77"/>
    </row>
    <row r="45" ht="15.75" customHeight="1">
      <c r="A45" s="77"/>
      <c r="B45" s="77"/>
      <c r="C45" s="77"/>
      <c r="D45" s="77"/>
      <c r="E45" s="77"/>
      <c r="F45" s="77"/>
      <c r="G45" s="77"/>
      <c r="H45" s="77"/>
      <c r="I45" s="77"/>
      <c r="J45" s="77"/>
      <c r="K45" s="77"/>
      <c r="L45" s="77"/>
      <c r="M45" s="77"/>
      <c r="N45" s="77"/>
      <c r="O45" s="77"/>
    </row>
    <row r="46" ht="15.75" customHeight="1">
      <c r="A46" s="77"/>
      <c r="B46" s="77"/>
      <c r="C46" s="77"/>
      <c r="D46" s="77"/>
      <c r="E46" s="77"/>
      <c r="F46" s="77"/>
      <c r="G46" s="77"/>
      <c r="H46" s="77"/>
      <c r="I46" s="77"/>
      <c r="J46" s="77"/>
      <c r="K46" s="77"/>
      <c r="L46" s="77"/>
      <c r="M46" s="77"/>
      <c r="N46" s="77"/>
      <c r="O46" s="77"/>
    </row>
    <row r="47" ht="15.75" customHeight="1">
      <c r="A47" s="77"/>
      <c r="B47" s="77"/>
      <c r="C47" s="77"/>
      <c r="D47" s="77"/>
      <c r="E47" s="77"/>
      <c r="F47" s="77"/>
      <c r="G47" s="77"/>
      <c r="H47" s="77"/>
      <c r="I47" s="77"/>
      <c r="J47" s="77"/>
      <c r="K47" s="77"/>
      <c r="L47" s="77"/>
      <c r="M47" s="77"/>
      <c r="N47" s="77"/>
      <c r="O47" s="77"/>
    </row>
    <row r="48" ht="15.75" customHeight="1">
      <c r="A48" s="77"/>
      <c r="B48" s="77"/>
      <c r="C48" s="77"/>
      <c r="D48" s="77"/>
      <c r="E48" s="77"/>
      <c r="F48" s="77"/>
      <c r="G48" s="77"/>
      <c r="H48" s="77"/>
      <c r="I48" s="77"/>
      <c r="J48" s="77"/>
      <c r="K48" s="77"/>
      <c r="L48" s="77"/>
      <c r="M48" s="77"/>
      <c r="N48" s="77"/>
      <c r="O48" s="77"/>
    </row>
    <row r="49" ht="15.75" customHeight="1">
      <c r="A49" s="77"/>
      <c r="B49" s="77"/>
      <c r="C49" s="77"/>
      <c r="D49" s="77"/>
      <c r="E49" s="77"/>
      <c r="F49" s="77"/>
      <c r="G49" s="77"/>
      <c r="H49" s="77"/>
      <c r="I49" s="77"/>
      <c r="J49" s="77"/>
      <c r="K49" s="77"/>
      <c r="L49" s="77"/>
      <c r="M49" s="77"/>
      <c r="N49" s="77"/>
      <c r="O49" s="77"/>
    </row>
    <row r="50" ht="15.75" customHeight="1">
      <c r="A50" s="77"/>
      <c r="B50" s="77"/>
      <c r="C50" s="77"/>
      <c r="D50" s="77"/>
      <c r="E50" s="77"/>
      <c r="F50" s="77"/>
      <c r="G50" s="77"/>
      <c r="H50" s="77"/>
      <c r="I50" s="77"/>
      <c r="J50" s="77"/>
      <c r="K50" s="77"/>
      <c r="L50" s="77"/>
      <c r="M50" s="77"/>
      <c r="N50" s="77"/>
      <c r="O50" s="77"/>
    </row>
    <row r="51" ht="15.75" customHeight="1">
      <c r="A51" s="77"/>
      <c r="B51" s="77"/>
      <c r="C51" s="77"/>
      <c r="D51" s="77"/>
      <c r="E51" s="77"/>
      <c r="F51" s="77"/>
      <c r="G51" s="77"/>
      <c r="H51" s="77"/>
      <c r="I51" s="77"/>
      <c r="J51" s="77"/>
      <c r="K51" s="77"/>
      <c r="L51" s="77"/>
      <c r="M51" s="77"/>
      <c r="N51" s="77"/>
      <c r="O51" s="77"/>
    </row>
    <row r="52" ht="15.75" customHeight="1">
      <c r="A52" s="77"/>
      <c r="B52" s="77"/>
      <c r="C52" s="77"/>
      <c r="D52" s="77"/>
      <c r="E52" s="77"/>
      <c r="F52" s="77"/>
      <c r="G52" s="77"/>
      <c r="H52" s="77"/>
      <c r="I52" s="77"/>
      <c r="J52" s="77"/>
      <c r="K52" s="77"/>
      <c r="L52" s="77"/>
      <c r="M52" s="77"/>
      <c r="N52" s="77"/>
      <c r="O52" s="77"/>
    </row>
    <row r="53" ht="15.75" customHeight="1">
      <c r="A53" s="77"/>
      <c r="B53" s="77"/>
      <c r="C53" s="77"/>
      <c r="D53" s="77"/>
      <c r="E53" s="77"/>
      <c r="F53" s="77"/>
      <c r="G53" s="77"/>
      <c r="H53" s="77"/>
      <c r="I53" s="77"/>
      <c r="J53" s="77"/>
      <c r="K53" s="77"/>
      <c r="L53" s="77"/>
      <c r="M53" s="77"/>
      <c r="N53" s="77"/>
      <c r="O53" s="77"/>
    </row>
    <row r="54" ht="15.75" customHeight="1">
      <c r="A54" s="77"/>
      <c r="B54" s="77"/>
      <c r="C54" s="77"/>
      <c r="D54" s="77"/>
      <c r="E54" s="77"/>
      <c r="F54" s="77"/>
      <c r="G54" s="77"/>
      <c r="H54" s="77"/>
      <c r="I54" s="77"/>
      <c r="J54" s="77"/>
      <c r="K54" s="77"/>
      <c r="L54" s="77"/>
      <c r="M54" s="77"/>
      <c r="N54" s="77"/>
      <c r="O54" s="77"/>
    </row>
    <row r="55" ht="15.75" customHeight="1">
      <c r="A55" s="77"/>
      <c r="B55" s="77"/>
      <c r="C55" s="77"/>
      <c r="D55" s="77"/>
      <c r="E55" s="77"/>
      <c r="F55" s="77"/>
      <c r="G55" s="77"/>
      <c r="H55" s="77"/>
      <c r="I55" s="77"/>
      <c r="J55" s="77"/>
      <c r="K55" s="77"/>
      <c r="L55" s="77"/>
      <c r="M55" s="77"/>
      <c r="N55" s="77"/>
      <c r="O55" s="77"/>
    </row>
    <row r="56" ht="15.75" customHeight="1">
      <c r="A56" s="77"/>
      <c r="B56" s="77"/>
      <c r="C56" s="77"/>
      <c r="D56" s="77"/>
      <c r="E56" s="77"/>
      <c r="F56" s="77"/>
      <c r="G56" s="77"/>
      <c r="H56" s="77"/>
      <c r="I56" s="77"/>
      <c r="J56" s="77"/>
      <c r="K56" s="77"/>
      <c r="L56" s="77"/>
      <c r="M56" s="77"/>
      <c r="N56" s="77"/>
      <c r="O56" s="77"/>
    </row>
    <row r="57" ht="15.75" customHeight="1">
      <c r="A57" s="77"/>
      <c r="B57" s="77"/>
      <c r="C57" s="77"/>
      <c r="D57" s="77"/>
      <c r="E57" s="77"/>
      <c r="F57" s="77"/>
      <c r="G57" s="77"/>
      <c r="H57" s="77"/>
      <c r="I57" s="77"/>
      <c r="J57" s="77"/>
      <c r="K57" s="77"/>
      <c r="L57" s="77"/>
      <c r="M57" s="77"/>
      <c r="N57" s="77"/>
      <c r="O57" s="77"/>
    </row>
    <row r="58" ht="15.75" customHeight="1">
      <c r="A58" s="77"/>
      <c r="B58" s="77"/>
      <c r="C58" s="77"/>
      <c r="D58" s="77"/>
      <c r="E58" s="77"/>
      <c r="F58" s="77"/>
      <c r="G58" s="77"/>
      <c r="H58" s="77"/>
      <c r="I58" s="77"/>
      <c r="J58" s="77"/>
      <c r="K58" s="77"/>
      <c r="L58" s="77"/>
      <c r="M58" s="77"/>
      <c r="N58" s="77"/>
      <c r="O58" s="77"/>
    </row>
    <row r="59" ht="15.75" customHeight="1">
      <c r="A59" s="77"/>
      <c r="B59" s="77"/>
      <c r="C59" s="77"/>
      <c r="D59" s="77"/>
      <c r="E59" s="77"/>
      <c r="F59" s="77"/>
      <c r="G59" s="77"/>
      <c r="H59" s="77"/>
      <c r="I59" s="77"/>
      <c r="J59" s="77"/>
      <c r="K59" s="77"/>
      <c r="L59" s="77"/>
      <c r="M59" s="77"/>
      <c r="N59" s="77"/>
      <c r="O59" s="77"/>
    </row>
    <row r="60" ht="15.75" customHeight="1">
      <c r="A60" s="77"/>
      <c r="B60" s="77"/>
      <c r="C60" s="77"/>
      <c r="D60" s="77"/>
      <c r="E60" s="77"/>
      <c r="F60" s="77"/>
      <c r="G60" s="77"/>
      <c r="H60" s="77"/>
      <c r="I60" s="77"/>
      <c r="J60" s="77"/>
      <c r="K60" s="77"/>
      <c r="L60" s="77"/>
      <c r="M60" s="77"/>
      <c r="N60" s="77"/>
      <c r="O60" s="77"/>
    </row>
    <row r="61" ht="15.75" customHeight="1">
      <c r="A61" s="77"/>
      <c r="B61" s="77"/>
      <c r="C61" s="77"/>
      <c r="D61" s="77"/>
      <c r="E61" s="77"/>
      <c r="F61" s="77"/>
      <c r="G61" s="77"/>
      <c r="H61" s="77"/>
      <c r="I61" s="77"/>
      <c r="J61" s="77"/>
      <c r="K61" s="77"/>
      <c r="L61" s="77"/>
      <c r="M61" s="77"/>
      <c r="N61" s="77"/>
      <c r="O61" s="77"/>
    </row>
    <row r="62" ht="15.75" customHeight="1">
      <c r="A62" s="77"/>
      <c r="B62" s="77"/>
      <c r="C62" s="77"/>
      <c r="D62" s="77"/>
      <c r="E62" s="77"/>
      <c r="F62" s="77"/>
      <c r="G62" s="77"/>
      <c r="H62" s="77"/>
      <c r="I62" s="77"/>
      <c r="J62" s="77"/>
      <c r="K62" s="77"/>
      <c r="L62" s="77"/>
      <c r="M62" s="77"/>
      <c r="N62" s="77"/>
      <c r="O62" s="77"/>
    </row>
    <row r="63" ht="15.75" customHeight="1">
      <c r="A63" s="77"/>
      <c r="B63" s="77"/>
      <c r="C63" s="77"/>
      <c r="D63" s="77"/>
      <c r="E63" s="77"/>
      <c r="F63" s="77"/>
      <c r="G63" s="77"/>
      <c r="H63" s="77"/>
      <c r="I63" s="77"/>
      <c r="J63" s="77"/>
      <c r="K63" s="77"/>
      <c r="L63" s="77"/>
      <c r="M63" s="77"/>
      <c r="N63" s="77"/>
      <c r="O63" s="77"/>
    </row>
    <row r="64" ht="15.75" customHeight="1">
      <c r="A64" s="77"/>
      <c r="B64" s="77"/>
      <c r="C64" s="77"/>
      <c r="D64" s="77"/>
      <c r="E64" s="77"/>
      <c r="F64" s="77"/>
      <c r="G64" s="77"/>
      <c r="H64" s="77"/>
      <c r="I64" s="77"/>
      <c r="J64" s="77"/>
      <c r="K64" s="77"/>
      <c r="L64" s="77"/>
      <c r="M64" s="77"/>
      <c r="N64" s="77"/>
      <c r="O64" s="77"/>
    </row>
    <row r="65" ht="15.75" customHeight="1">
      <c r="A65" s="77"/>
      <c r="B65" s="77"/>
      <c r="C65" s="77"/>
      <c r="D65" s="77"/>
      <c r="E65" s="77"/>
      <c r="F65" s="77"/>
      <c r="G65" s="77"/>
      <c r="H65" s="77"/>
      <c r="I65" s="77"/>
      <c r="J65" s="77"/>
      <c r="K65" s="77"/>
      <c r="L65" s="77"/>
      <c r="M65" s="77"/>
      <c r="N65" s="77"/>
      <c r="O65" s="77"/>
    </row>
    <row r="66" ht="15.75" customHeight="1">
      <c r="A66" s="77"/>
      <c r="B66" s="77"/>
      <c r="C66" s="77"/>
      <c r="D66" s="77"/>
      <c r="E66" s="77"/>
      <c r="F66" s="77"/>
      <c r="G66" s="77"/>
      <c r="H66" s="77"/>
      <c r="I66" s="77"/>
      <c r="J66" s="77"/>
      <c r="K66" s="77"/>
      <c r="L66" s="77"/>
      <c r="M66" s="77"/>
      <c r="N66" s="77"/>
      <c r="O66" s="77"/>
    </row>
    <row r="67" ht="15.75" customHeight="1">
      <c r="A67" s="77"/>
      <c r="B67" s="77"/>
      <c r="C67" s="77"/>
      <c r="D67" s="77"/>
      <c r="E67" s="77"/>
      <c r="F67" s="77"/>
      <c r="G67" s="77"/>
      <c r="H67" s="77"/>
      <c r="I67" s="77"/>
      <c r="J67" s="77"/>
      <c r="K67" s="77"/>
      <c r="L67" s="77"/>
      <c r="M67" s="77"/>
      <c r="N67" s="77"/>
      <c r="O67" s="77"/>
    </row>
    <row r="68" ht="15.75" customHeight="1">
      <c r="A68" s="77"/>
      <c r="B68" s="77"/>
      <c r="C68" s="77"/>
      <c r="D68" s="77"/>
      <c r="E68" s="77"/>
      <c r="F68" s="77"/>
      <c r="G68" s="77"/>
      <c r="H68" s="77"/>
      <c r="I68" s="77"/>
      <c r="J68" s="77"/>
      <c r="K68" s="77"/>
      <c r="L68" s="77"/>
      <c r="M68" s="77"/>
      <c r="N68" s="77"/>
      <c r="O68" s="77"/>
    </row>
    <row r="69" ht="15.75" customHeight="1">
      <c r="A69" s="77"/>
      <c r="B69" s="77"/>
      <c r="C69" s="77"/>
      <c r="D69" s="77"/>
      <c r="E69" s="77"/>
      <c r="F69" s="77"/>
      <c r="G69" s="77"/>
      <c r="H69" s="77"/>
      <c r="I69" s="77"/>
      <c r="J69" s="77"/>
      <c r="K69" s="77"/>
      <c r="L69" s="77"/>
      <c r="M69" s="77"/>
      <c r="N69" s="77"/>
      <c r="O69" s="77"/>
    </row>
    <row r="70" ht="15.75" customHeight="1">
      <c r="A70" s="77"/>
      <c r="B70" s="77"/>
      <c r="C70" s="77"/>
      <c r="D70" s="77"/>
      <c r="E70" s="77"/>
      <c r="F70" s="77"/>
      <c r="G70" s="77"/>
      <c r="H70" s="77"/>
      <c r="I70" s="77"/>
      <c r="J70" s="77"/>
      <c r="K70" s="77"/>
      <c r="L70" s="77"/>
      <c r="M70" s="77"/>
      <c r="N70" s="77"/>
      <c r="O70" s="77"/>
    </row>
    <row r="71" ht="15.75" customHeight="1">
      <c r="A71" s="77"/>
      <c r="B71" s="77"/>
      <c r="C71" s="77"/>
      <c r="D71" s="77"/>
      <c r="E71" s="77"/>
      <c r="F71" s="77"/>
      <c r="G71" s="77"/>
      <c r="H71" s="77"/>
      <c r="I71" s="77"/>
      <c r="J71" s="77"/>
      <c r="K71" s="77"/>
      <c r="L71" s="77"/>
      <c r="M71" s="77"/>
      <c r="N71" s="77"/>
      <c r="O71" s="77"/>
    </row>
    <row r="72" ht="15.75" customHeight="1">
      <c r="A72" s="77"/>
      <c r="B72" s="77"/>
      <c r="C72" s="77"/>
      <c r="D72" s="77"/>
      <c r="E72" s="77"/>
      <c r="F72" s="77"/>
      <c r="G72" s="77"/>
      <c r="H72" s="77"/>
      <c r="I72" s="77"/>
      <c r="J72" s="77"/>
      <c r="K72" s="77"/>
      <c r="L72" s="77"/>
      <c r="M72" s="77"/>
      <c r="N72" s="77"/>
      <c r="O72" s="77"/>
    </row>
    <row r="73" ht="15.75" customHeight="1">
      <c r="A73" s="77"/>
      <c r="B73" s="77"/>
      <c r="C73" s="77"/>
      <c r="D73" s="77"/>
      <c r="E73" s="77"/>
      <c r="F73" s="77"/>
      <c r="G73" s="77"/>
      <c r="H73" s="77"/>
      <c r="I73" s="77"/>
      <c r="J73" s="77"/>
      <c r="K73" s="77"/>
      <c r="L73" s="77"/>
      <c r="M73" s="77"/>
      <c r="N73" s="77"/>
      <c r="O73" s="77"/>
    </row>
    <row r="74" ht="15.75" customHeight="1">
      <c r="A74" s="77"/>
      <c r="B74" s="77"/>
      <c r="C74" s="77"/>
      <c r="D74" s="77"/>
      <c r="E74" s="77"/>
      <c r="F74" s="77"/>
      <c r="G74" s="77"/>
      <c r="H74" s="77"/>
      <c r="I74" s="77"/>
      <c r="J74" s="77"/>
      <c r="K74" s="77"/>
      <c r="L74" s="77"/>
      <c r="M74" s="77"/>
      <c r="N74" s="77"/>
      <c r="O74" s="77"/>
    </row>
    <row r="75" ht="15.75" customHeight="1">
      <c r="A75" s="77"/>
      <c r="B75" s="77"/>
      <c r="C75" s="77"/>
      <c r="D75" s="77"/>
      <c r="E75" s="77"/>
      <c r="F75" s="77"/>
      <c r="G75" s="77"/>
      <c r="H75" s="77"/>
      <c r="I75" s="77"/>
      <c r="J75" s="77"/>
      <c r="K75" s="77"/>
      <c r="L75" s="77"/>
      <c r="M75" s="77"/>
      <c r="N75" s="77"/>
      <c r="O75" s="77"/>
    </row>
    <row r="76" ht="15.75" customHeight="1">
      <c r="A76" s="77"/>
      <c r="B76" s="77"/>
      <c r="C76" s="77"/>
      <c r="D76" s="77"/>
      <c r="E76" s="77"/>
      <c r="F76" s="77"/>
      <c r="G76" s="77"/>
      <c r="H76" s="77"/>
      <c r="I76" s="77"/>
      <c r="J76" s="77"/>
      <c r="K76" s="77"/>
      <c r="L76" s="77"/>
      <c r="M76" s="77"/>
      <c r="N76" s="77"/>
      <c r="O76" s="77"/>
    </row>
    <row r="77" ht="15.75" customHeight="1">
      <c r="A77" s="77"/>
      <c r="B77" s="77"/>
      <c r="C77" s="77"/>
      <c r="D77" s="77"/>
      <c r="E77" s="77"/>
      <c r="F77" s="77"/>
      <c r="G77" s="77"/>
      <c r="H77" s="77"/>
      <c r="I77" s="77"/>
      <c r="J77" s="77"/>
      <c r="K77" s="77"/>
      <c r="L77" s="77"/>
      <c r="M77" s="77"/>
      <c r="N77" s="77"/>
      <c r="O77" s="77"/>
    </row>
    <row r="78" ht="15.75" customHeight="1">
      <c r="A78" s="77"/>
      <c r="B78" s="77"/>
      <c r="C78" s="77"/>
      <c r="D78" s="77"/>
      <c r="E78" s="77"/>
      <c r="F78" s="77"/>
      <c r="G78" s="77"/>
      <c r="H78" s="77"/>
      <c r="I78" s="77"/>
      <c r="J78" s="77"/>
      <c r="K78" s="77"/>
      <c r="L78" s="77"/>
      <c r="M78" s="77"/>
      <c r="N78" s="77"/>
      <c r="O78" s="77"/>
    </row>
    <row r="79" ht="15.75" customHeight="1">
      <c r="A79" s="77"/>
      <c r="B79" s="77"/>
      <c r="C79" s="77"/>
      <c r="D79" s="77"/>
      <c r="E79" s="77"/>
      <c r="F79" s="77"/>
      <c r="G79" s="77"/>
      <c r="H79" s="77"/>
      <c r="I79" s="77"/>
      <c r="J79" s="77"/>
      <c r="K79" s="77"/>
      <c r="L79" s="77"/>
      <c r="M79" s="77"/>
      <c r="N79" s="77"/>
      <c r="O79" s="77"/>
    </row>
    <row r="80" ht="15.75" customHeight="1">
      <c r="A80" s="77"/>
      <c r="B80" s="77"/>
      <c r="C80" s="77"/>
      <c r="D80" s="77"/>
      <c r="E80" s="77"/>
      <c r="F80" s="77"/>
      <c r="G80" s="77"/>
      <c r="H80" s="77"/>
      <c r="I80" s="77"/>
      <c r="J80" s="77"/>
      <c r="K80" s="77"/>
      <c r="L80" s="77"/>
      <c r="M80" s="77"/>
      <c r="N80" s="77"/>
      <c r="O80" s="77"/>
    </row>
    <row r="81" ht="15.75" customHeight="1">
      <c r="A81" s="77"/>
      <c r="B81" s="77"/>
      <c r="C81" s="77"/>
      <c r="D81" s="77"/>
      <c r="E81" s="77"/>
      <c r="F81" s="77"/>
      <c r="G81" s="77"/>
      <c r="H81" s="77"/>
      <c r="I81" s="77"/>
      <c r="J81" s="77"/>
      <c r="K81" s="77"/>
      <c r="L81" s="77"/>
      <c r="M81" s="77"/>
      <c r="N81" s="77"/>
      <c r="O81" s="77"/>
    </row>
    <row r="82" ht="15.75" customHeight="1">
      <c r="A82" s="77"/>
      <c r="B82" s="77"/>
      <c r="C82" s="77"/>
      <c r="D82" s="77"/>
      <c r="E82" s="77"/>
      <c r="F82" s="77"/>
      <c r="G82" s="77"/>
      <c r="H82" s="77"/>
      <c r="I82" s="77"/>
      <c r="J82" s="77"/>
      <c r="K82" s="77"/>
      <c r="L82" s="77"/>
      <c r="M82" s="77"/>
      <c r="N82" s="77"/>
      <c r="O82" s="77"/>
    </row>
    <row r="83" ht="15.75" customHeight="1">
      <c r="A83" s="77"/>
      <c r="B83" s="77"/>
      <c r="C83" s="77"/>
      <c r="D83" s="77"/>
      <c r="E83" s="77"/>
      <c r="F83" s="77"/>
      <c r="G83" s="77"/>
      <c r="H83" s="77"/>
      <c r="I83" s="77"/>
      <c r="J83" s="77"/>
      <c r="K83" s="77"/>
      <c r="L83" s="77"/>
      <c r="M83" s="77"/>
      <c r="N83" s="77"/>
      <c r="O83" s="77"/>
    </row>
    <row r="84" ht="15.75" customHeight="1">
      <c r="A84" s="77"/>
      <c r="B84" s="77"/>
      <c r="C84" s="77"/>
      <c r="D84" s="77"/>
      <c r="E84" s="77"/>
      <c r="F84" s="77"/>
      <c r="G84" s="77"/>
      <c r="H84" s="77"/>
      <c r="I84" s="77"/>
      <c r="J84" s="77"/>
      <c r="K84" s="77"/>
      <c r="L84" s="77"/>
      <c r="M84" s="77"/>
      <c r="N84" s="77"/>
      <c r="O84" s="77"/>
    </row>
    <row r="85" ht="15.75" customHeight="1">
      <c r="A85" s="77"/>
      <c r="B85" s="77"/>
      <c r="C85" s="77"/>
      <c r="D85" s="77"/>
      <c r="E85" s="77"/>
      <c r="F85" s="77"/>
      <c r="G85" s="77"/>
      <c r="H85" s="77"/>
      <c r="I85" s="77"/>
      <c r="J85" s="77"/>
      <c r="K85" s="77"/>
      <c r="L85" s="77"/>
      <c r="M85" s="77"/>
      <c r="N85" s="77"/>
      <c r="O85" s="77"/>
    </row>
    <row r="86" ht="15.75" customHeight="1">
      <c r="A86" s="77"/>
      <c r="B86" s="77"/>
      <c r="C86" s="77"/>
      <c r="D86" s="77"/>
      <c r="E86" s="77"/>
      <c r="F86" s="77"/>
      <c r="G86" s="77"/>
      <c r="H86" s="77"/>
      <c r="I86" s="77"/>
      <c r="J86" s="77"/>
      <c r="K86" s="77"/>
      <c r="L86" s="77"/>
      <c r="M86" s="77"/>
      <c r="N86" s="77"/>
      <c r="O86" s="77"/>
    </row>
    <row r="87" ht="15.75" customHeight="1">
      <c r="A87" s="77"/>
      <c r="B87" s="77"/>
      <c r="C87" s="77"/>
      <c r="D87" s="77"/>
      <c r="E87" s="77"/>
      <c r="F87" s="77"/>
      <c r="G87" s="77"/>
      <c r="H87" s="77"/>
      <c r="I87" s="77"/>
      <c r="J87" s="77"/>
      <c r="K87" s="77"/>
      <c r="L87" s="77"/>
      <c r="M87" s="77"/>
      <c r="N87" s="77"/>
      <c r="O87" s="77"/>
    </row>
    <row r="88" ht="15.75" customHeight="1">
      <c r="A88" s="77"/>
      <c r="B88" s="77"/>
      <c r="C88" s="77"/>
      <c r="D88" s="77"/>
      <c r="E88" s="77"/>
      <c r="F88" s="77"/>
      <c r="G88" s="77"/>
      <c r="H88" s="77"/>
      <c r="I88" s="77"/>
      <c r="J88" s="77"/>
      <c r="K88" s="77"/>
      <c r="L88" s="77"/>
      <c r="M88" s="77"/>
      <c r="N88" s="77"/>
      <c r="O88" s="77"/>
    </row>
    <row r="89" ht="15.75" customHeight="1">
      <c r="A89" s="77"/>
      <c r="B89" s="77"/>
      <c r="C89" s="77"/>
      <c r="D89" s="77"/>
      <c r="E89" s="77"/>
      <c r="F89" s="77"/>
      <c r="G89" s="77"/>
      <c r="H89" s="77"/>
      <c r="I89" s="77"/>
      <c r="J89" s="77"/>
      <c r="K89" s="77"/>
      <c r="L89" s="77"/>
      <c r="M89" s="77"/>
      <c r="N89" s="77"/>
      <c r="O89" s="77"/>
    </row>
    <row r="90" ht="15.75" customHeight="1">
      <c r="A90" s="77"/>
      <c r="B90" s="77"/>
      <c r="C90" s="77"/>
      <c r="D90" s="77"/>
      <c r="E90" s="77"/>
      <c r="F90" s="77"/>
      <c r="G90" s="77"/>
      <c r="H90" s="77"/>
      <c r="I90" s="77"/>
      <c r="J90" s="77"/>
      <c r="K90" s="77"/>
      <c r="L90" s="77"/>
      <c r="M90" s="77"/>
      <c r="N90" s="77"/>
      <c r="O90" s="77"/>
    </row>
    <row r="91" ht="15.75" customHeight="1">
      <c r="A91" s="77"/>
      <c r="B91" s="77"/>
      <c r="C91" s="77"/>
      <c r="D91" s="77"/>
      <c r="E91" s="77"/>
      <c r="F91" s="77"/>
      <c r="G91" s="77"/>
      <c r="H91" s="77"/>
      <c r="I91" s="77"/>
      <c r="J91" s="77"/>
      <c r="K91" s="77"/>
      <c r="L91" s="77"/>
      <c r="M91" s="77"/>
      <c r="N91" s="77"/>
      <c r="O91" s="77"/>
    </row>
    <row r="92" ht="15.75" customHeight="1">
      <c r="A92" s="77"/>
      <c r="B92" s="77"/>
      <c r="C92" s="77"/>
      <c r="D92" s="77"/>
      <c r="E92" s="77"/>
      <c r="F92" s="77"/>
      <c r="G92" s="77"/>
      <c r="H92" s="77"/>
      <c r="I92" s="77"/>
      <c r="J92" s="77"/>
      <c r="K92" s="77"/>
      <c r="L92" s="77"/>
      <c r="M92" s="77"/>
      <c r="N92" s="77"/>
      <c r="O92" s="77"/>
    </row>
    <row r="93" ht="15.75" customHeight="1">
      <c r="A93" s="77"/>
      <c r="B93" s="77"/>
      <c r="C93" s="77"/>
      <c r="D93" s="77"/>
      <c r="E93" s="77"/>
      <c r="F93" s="77"/>
      <c r="G93" s="77"/>
      <c r="H93" s="77"/>
      <c r="I93" s="77"/>
      <c r="J93" s="77"/>
      <c r="K93" s="77"/>
      <c r="L93" s="77"/>
      <c r="M93" s="77"/>
      <c r="N93" s="77"/>
      <c r="O93" s="77"/>
    </row>
    <row r="94" ht="15.75" customHeight="1">
      <c r="A94" s="77"/>
      <c r="B94" s="77"/>
      <c r="C94" s="77"/>
      <c r="D94" s="77"/>
      <c r="E94" s="77"/>
      <c r="F94" s="77"/>
      <c r="G94" s="77"/>
      <c r="H94" s="77"/>
      <c r="I94" s="77"/>
      <c r="J94" s="77"/>
      <c r="K94" s="77"/>
      <c r="L94" s="77"/>
      <c r="M94" s="77"/>
      <c r="N94" s="77"/>
      <c r="O94" s="77"/>
    </row>
    <row r="95" ht="15.75" customHeight="1">
      <c r="A95" s="77"/>
      <c r="B95" s="77"/>
      <c r="C95" s="77"/>
      <c r="D95" s="77"/>
      <c r="E95" s="77"/>
      <c r="F95" s="77"/>
      <c r="G95" s="77"/>
      <c r="H95" s="77"/>
      <c r="I95" s="77"/>
      <c r="J95" s="77"/>
      <c r="K95" s="77"/>
      <c r="L95" s="77"/>
      <c r="M95" s="77"/>
      <c r="N95" s="77"/>
      <c r="O95" s="77"/>
    </row>
    <row r="96" ht="15.75" customHeight="1">
      <c r="A96" s="77"/>
      <c r="B96" s="77"/>
      <c r="C96" s="77"/>
      <c r="D96" s="77"/>
      <c r="E96" s="77"/>
      <c r="F96" s="77"/>
      <c r="G96" s="77"/>
      <c r="H96" s="77"/>
      <c r="I96" s="77"/>
      <c r="J96" s="77"/>
      <c r="K96" s="77"/>
      <c r="L96" s="77"/>
      <c r="M96" s="77"/>
      <c r="N96" s="77"/>
      <c r="O96" s="77"/>
    </row>
    <row r="97" ht="15.75" customHeight="1">
      <c r="A97" s="77"/>
      <c r="B97" s="77"/>
      <c r="C97" s="77"/>
      <c r="D97" s="77"/>
      <c r="E97" s="77"/>
      <c r="F97" s="77"/>
      <c r="G97" s="77"/>
      <c r="H97" s="77"/>
      <c r="I97" s="77"/>
      <c r="J97" s="77"/>
      <c r="K97" s="77"/>
      <c r="L97" s="77"/>
      <c r="M97" s="77"/>
      <c r="N97" s="77"/>
      <c r="O97" s="77"/>
    </row>
    <row r="98" ht="15.75" customHeight="1">
      <c r="A98" s="77"/>
      <c r="B98" s="77"/>
      <c r="C98" s="77"/>
      <c r="D98" s="77"/>
      <c r="E98" s="77"/>
      <c r="F98" s="77"/>
      <c r="G98" s="77"/>
      <c r="H98" s="77"/>
      <c r="I98" s="77"/>
      <c r="J98" s="77"/>
      <c r="K98" s="77"/>
      <c r="L98" s="77"/>
      <c r="M98" s="77"/>
      <c r="N98" s="77"/>
      <c r="O98" s="77"/>
    </row>
    <row r="99" ht="15.75" customHeight="1">
      <c r="A99" s="77"/>
      <c r="B99" s="77"/>
      <c r="C99" s="77"/>
      <c r="D99" s="77"/>
      <c r="E99" s="77"/>
      <c r="F99" s="77"/>
      <c r="G99" s="77"/>
      <c r="H99" s="77"/>
      <c r="I99" s="77"/>
      <c r="J99" s="77"/>
      <c r="K99" s="77"/>
      <c r="L99" s="77"/>
      <c r="M99" s="77"/>
      <c r="N99" s="77"/>
      <c r="O99" s="77"/>
    </row>
    <row r="100" ht="15.75" customHeight="1">
      <c r="A100" s="77"/>
      <c r="B100" s="77"/>
      <c r="C100" s="77"/>
      <c r="D100" s="77"/>
      <c r="E100" s="77"/>
      <c r="F100" s="77"/>
      <c r="G100" s="77"/>
      <c r="H100" s="77"/>
      <c r="I100" s="77"/>
      <c r="J100" s="77"/>
      <c r="K100" s="77"/>
      <c r="L100" s="77"/>
      <c r="M100" s="77"/>
      <c r="N100" s="77"/>
      <c r="O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63"/>
    <col customWidth="1" min="2" max="15" width="8.88"/>
    <col customWidth="1" min="16" max="26" width="11.25"/>
  </cols>
  <sheetData>
    <row r="1" ht="37.5" customHeight="1">
      <c r="A1" s="2" t="str">
        <f>'Input sheet'!A1</f>
        <v>Novo Nordisk (NYSE:NVO)</v>
      </c>
      <c r="B1" s="2"/>
      <c r="C1" s="2" t="s">
        <v>57</v>
      </c>
      <c r="D1" s="2">
        <f>'Input sheet'!D1</f>
        <v>39.4</v>
      </c>
      <c r="E1" s="7"/>
      <c r="F1" s="7"/>
      <c r="G1" s="7"/>
      <c r="H1" s="7"/>
      <c r="I1" s="7"/>
      <c r="J1" s="7"/>
      <c r="K1" s="7"/>
      <c r="L1" s="7"/>
      <c r="M1" s="7"/>
      <c r="N1" s="7"/>
      <c r="O1" s="7"/>
    </row>
    <row r="2" ht="14.25" customHeight="1">
      <c r="A2" s="444" t="s">
        <v>640</v>
      </c>
      <c r="B2" s="444" t="s">
        <v>463</v>
      </c>
      <c r="C2" s="444" t="s">
        <v>464</v>
      </c>
      <c r="D2" s="444" t="s">
        <v>465</v>
      </c>
      <c r="E2" s="444" t="s">
        <v>466</v>
      </c>
      <c r="F2" s="444" t="s">
        <v>467</v>
      </c>
      <c r="G2" s="444" t="s">
        <v>468</v>
      </c>
      <c r="H2" s="444" t="s">
        <v>63</v>
      </c>
      <c r="I2" s="444" t="s">
        <v>64</v>
      </c>
      <c r="J2" s="444" t="s">
        <v>65</v>
      </c>
      <c r="K2" s="470" t="s">
        <v>66</v>
      </c>
      <c r="L2" s="9" t="s">
        <v>391</v>
      </c>
      <c r="M2" s="9"/>
      <c r="N2" s="9"/>
      <c r="O2" s="9"/>
    </row>
    <row r="3" ht="14.25" customHeight="1">
      <c r="A3" s="448" t="s">
        <v>641</v>
      </c>
      <c r="B3" s="477">
        <f>IFERROR('Income Statement'!B3/'Income Statement'!B26,"")</f>
        <v>3.27602461441363</v>
      </c>
      <c r="C3" s="477">
        <f>IFERROR('Income Statement'!C3/'Income Statement'!C26,"")</f>
        <v>3.41622941556345</v>
      </c>
      <c r="D3" s="477">
        <f>IFERROR('Income Statement'!D3/'Income Statement'!D26,"")</f>
        <v>3.65018454749778</v>
      </c>
      <c r="E3" s="477">
        <f>IFERROR('Income Statement'!E3/'Income Statement'!E26,"")</f>
        <v>3.84523058813638</v>
      </c>
      <c r="F3" s="477">
        <f>IFERROR('Income Statement'!F3/'Income Statement'!F26,"")</f>
        <v>4.1498717948718</v>
      </c>
      <c r="G3" s="477">
        <f>IFERROR('Income Statement'!G3/'Income Statement'!G26,"")</f>
        <v>4.85847336199036</v>
      </c>
      <c r="H3" s="477">
        <f>IFERROR('Income Statement'!H3/'Income Statement'!H26,"")</f>
        <v>5.499009813845</v>
      </c>
      <c r="I3" s="477">
        <f>IFERROR('Income Statement'!I3/'Income Statement'!I26,"")</f>
        <v>7.49699652932277</v>
      </c>
      <c r="J3" s="477">
        <f>IFERROR('Income Statement'!J3/'Income Statement'!J26,"")</f>
        <v>9.4398834864441</v>
      </c>
      <c r="K3" s="480">
        <f>IFERROR('Income Statement'!K3/'Income Statement'!K26,"")</f>
        <v>10.5003484947276</v>
      </c>
      <c r="L3" s="486">
        <f>IFERROR('Income Statement'!L3/'Income Statement'!L26,"")</f>
        <v>10.6375444599523</v>
      </c>
      <c r="M3" s="9"/>
      <c r="N3" s="9"/>
      <c r="O3" s="9"/>
    </row>
    <row r="4" ht="14.25" customHeight="1">
      <c r="A4" s="448" t="s">
        <v>563</v>
      </c>
      <c r="B4" s="477">
        <f>IFERROR('Income Statement'!B23,"")</f>
        <v>1.114</v>
      </c>
      <c r="C4" s="477">
        <f>IFERROR('Income Statement'!C23,"")</f>
        <v>1.168</v>
      </c>
      <c r="D4" s="477">
        <f>IFERROR('Income Statement'!D23,"")</f>
        <v>1.263</v>
      </c>
      <c r="E4" s="477">
        <f>IFERROR('Income Statement'!E23,"")</f>
        <v>1.23</v>
      </c>
      <c r="F4" s="477">
        <f>IFERROR('Income Statement'!F23,"")</f>
        <v>1.381</v>
      </c>
      <c r="G4" s="477">
        <f>IFERROR('Income Statement'!G23,"")</f>
        <v>1.653</v>
      </c>
      <c r="H4" s="477">
        <f>IFERROR('Income Statement'!H23,"")</f>
        <v>1.731</v>
      </c>
      <c r="I4" s="477">
        <f>IFERROR('Income Statement'!I23,"")</f>
        <v>2.709</v>
      </c>
      <c r="J4" s="477">
        <f>IFERROR('Income Statement'!J23,"")</f>
        <v>3.289</v>
      </c>
      <c r="K4" s="480">
        <f>IFERROR('Income Statement'!K23,"")</f>
        <v>3.485</v>
      </c>
      <c r="L4" s="486">
        <f>IFERROR('Income Statement'!L23,"")</f>
        <v>3.534</v>
      </c>
      <c r="M4" s="9"/>
      <c r="N4" s="9"/>
      <c r="O4" s="9"/>
    </row>
    <row r="5" ht="14.25" customHeight="1">
      <c r="A5" s="448" t="s">
        <v>564</v>
      </c>
      <c r="B5" s="477">
        <f>IFERROR('Income Statement'!B24,"")</f>
        <v>1.112</v>
      </c>
      <c r="C5" s="477">
        <f>IFERROR('Income Statement'!C24,"")</f>
        <v>1.166</v>
      </c>
      <c r="D5" s="477">
        <f>IFERROR('Income Statement'!D24,"")</f>
        <v>1.261</v>
      </c>
      <c r="E5" s="477">
        <f>IFERROR('Income Statement'!E24,"")</f>
        <v>1.228</v>
      </c>
      <c r="F5" s="477">
        <f>IFERROR('Income Statement'!F24,"")</f>
        <v>1.378</v>
      </c>
      <c r="G5" s="477">
        <f>IFERROR('Income Statement'!G24,"")</f>
        <v>1.648</v>
      </c>
      <c r="H5" s="477">
        <f>IFERROR('Income Statement'!H24,"")</f>
        <v>1.726</v>
      </c>
      <c r="I5" s="477">
        <f>IFERROR('Income Statement'!I24,"")</f>
        <v>2.701</v>
      </c>
      <c r="J5" s="477">
        <f>IFERROR('Income Statement'!J24,"")</f>
        <v>3.283</v>
      </c>
      <c r="K5" s="480">
        <f>IFERROR('Income Statement'!K24,"")</f>
        <v>3.48</v>
      </c>
      <c r="L5" s="486">
        <f>IFERROR('Income Statement'!L24,"")</f>
        <v>3.53</v>
      </c>
      <c r="M5" s="9"/>
      <c r="N5" s="9"/>
      <c r="O5" s="9"/>
    </row>
    <row r="6" ht="14.25" customHeight="1">
      <c r="A6" s="448" t="s">
        <v>645</v>
      </c>
      <c r="B6" s="477">
        <f>IFERROR('Balance Sheet'!B35/'Income Statement'!B27,"")</f>
        <v>1.26847826086957</v>
      </c>
      <c r="C6" s="477">
        <f>IFERROR('Balance Sheet'!C35/'Income Statement'!C27,"")</f>
        <v>1.62262663026994</v>
      </c>
      <c r="D6" s="477">
        <f>IFERROR('Balance Sheet'!D35/'Income Statement'!D27,"")</f>
        <v>1.64208982357559</v>
      </c>
      <c r="E6" s="477">
        <f>IFERROR('Balance Sheet'!E35/'Income Statement'!E27,"")</f>
        <v>1.82361116960788</v>
      </c>
      <c r="F6" s="477">
        <f>IFERROR('Balance Sheet'!F35/'Income Statement'!F27,"")</f>
        <v>2.23726380736107</v>
      </c>
      <c r="G6" s="477">
        <f>IFERROR('Balance Sheet'!G35/'Income Statement'!G27,"")</f>
        <v>2.34585909605504</v>
      </c>
      <c r="H6" s="477">
        <f>IFERROR('Balance Sheet'!H35/'Income Statement'!H27,"")</f>
        <v>2.64296119719242</v>
      </c>
      <c r="I6" s="477">
        <f>IFERROR('Balance Sheet'!I35/'Income Statement'!I27,"")</f>
        <v>3.52440439011332</v>
      </c>
      <c r="J6" s="477">
        <f>IFERROR('Balance Sheet'!J35/'Income Statement'!J27,"")</f>
        <v>4.4877747591998</v>
      </c>
      <c r="K6" s="480">
        <f>IFERROR('Balance Sheet'!K35/'Income Statement'!K27,"")</f>
        <v>6.87087553454873</v>
      </c>
      <c r="L6" s="486">
        <f>IFERROR('Balance Sheet'!L35/'Income Statement'!L27,"")</f>
        <v>7.63709020105053</v>
      </c>
      <c r="M6" s="9"/>
      <c r="N6" s="9"/>
      <c r="O6" s="9"/>
    </row>
    <row r="7" ht="14.25" customHeight="1">
      <c r="A7" s="448" t="s">
        <v>647</v>
      </c>
      <c r="B7" s="477">
        <f>IFERROR(('Balance Sheet'!B35-'Balance Sheet'!B12-'Balance Sheet'!B13)/'Income Statement'!B27,"")</f>
        <v>1.19243083003953</v>
      </c>
      <c r="C7" s="477">
        <f>IFERROR(('Balance Sheet'!C35-'Balance Sheet'!C12-'Balance Sheet'!C13)/'Income Statement'!C27,"")</f>
        <v>1.51432615509049</v>
      </c>
      <c r="D7" s="477">
        <f>IFERROR(('Balance Sheet'!D35-'Balance Sheet'!D12-'Balance Sheet'!D13)/'Income Statement'!D27,"")</f>
        <v>1.47911415940173</v>
      </c>
      <c r="E7" s="477">
        <f>IFERROR(('Balance Sheet'!E35-'Balance Sheet'!E12-'Balance Sheet'!E13)/'Income Statement'!E27,"")</f>
        <v>1.63886198037316</v>
      </c>
      <c r="F7" s="477">
        <f>IFERROR(('Balance Sheet'!F35-'Balance Sheet'!F12-'Balance Sheet'!F13)/'Income Statement'!F27,"")</f>
        <v>1.50745533227645</v>
      </c>
      <c r="G7" s="477">
        <f>IFERROR(('Balance Sheet'!G35-'Balance Sheet'!G12-'Balance Sheet'!G13)/'Income Statement'!G27,"")</f>
        <v>0.914373421579727</v>
      </c>
      <c r="H7" s="477">
        <f>IFERROR(('Balance Sheet'!H35-'Balance Sheet'!H12-'Balance Sheet'!H13)/'Income Statement'!H27,"")</f>
        <v>1.03037125325564</v>
      </c>
      <c r="I7" s="477">
        <f>IFERROR(('Balance Sheet'!I35-'Balance Sheet'!I12-'Balance Sheet'!I13)/'Income Statement'!I27,"")</f>
        <v>1.5265236013206</v>
      </c>
      <c r="J7" s="477">
        <f>IFERROR(('Balance Sheet'!J35-'Balance Sheet'!J12-'Balance Sheet'!J13)/'Income Statement'!J27,"")</f>
        <v>1.02166640472395</v>
      </c>
      <c r="K7" s="480">
        <f>IFERROR(('Balance Sheet'!K35-'Balance Sheet'!K12-'Balance Sheet'!K13)/'Income Statement'!K27,"")</f>
        <v>2.26592392527571</v>
      </c>
      <c r="L7" s="486">
        <f>IFERROR(('Balance Sheet'!L35-'Balance Sheet'!L12-'Balance Sheet'!L13)/'Income Statement'!L27,"")</f>
        <v>3.42444756384713</v>
      </c>
      <c r="M7" s="9"/>
      <c r="N7" s="9"/>
      <c r="O7" s="9"/>
    </row>
    <row r="8" ht="14.25" customHeight="1">
      <c r="A8" s="448" t="s">
        <v>649</v>
      </c>
      <c r="B8" s="477">
        <f>IFERROR('Balance Sheet'!B5/'Income Statement'!B27,"")</f>
        <v>0.58</v>
      </c>
      <c r="C8" s="477">
        <f>IFERROR('Balance Sheet'!C5/'Income Statement'!C27,"")</f>
        <v>0.614073400060661</v>
      </c>
      <c r="D8" s="477">
        <f>IFERROR('Balance Sheet'!D5/'Income Statement'!D27,"")</f>
        <v>0.495372474486634</v>
      </c>
      <c r="E8" s="477">
        <f>IFERROR('Balance Sheet'!E5/'Income Statement'!E27,"")</f>
        <v>0.489997051762625</v>
      </c>
      <c r="F8" s="477">
        <f>IFERROR('Balance Sheet'!F5/'Income Statement'!F27,"")</f>
        <v>0.450704828827285</v>
      </c>
      <c r="G8" s="477">
        <f>IFERROR('Balance Sheet'!G5/'Income Statement'!G27,"")</f>
        <v>0.579791866237046</v>
      </c>
      <c r="H8" s="477">
        <f>IFERROR('Balance Sheet'!H5/'Income Statement'!H27,"")</f>
        <v>0.746302917935814</v>
      </c>
      <c r="I8" s="477">
        <f>IFERROR('Balance Sheet'!I5/'Income Statement'!I27,"")</f>
        <v>0.999821540108861</v>
      </c>
      <c r="J8" s="477">
        <f>IFERROR('Balance Sheet'!J5/'Income Statement'!J27,"")</f>
        <v>0.822829430386852</v>
      </c>
      <c r="K8" s="480">
        <f>IFERROR('Balance Sheet'!K5/'Income Statement'!K27,"")</f>
        <v>0.954670267837047</v>
      </c>
      <c r="L8" s="486">
        <f>IFERROR('Balance Sheet'!L5/'Income Statement'!L27,"")</f>
        <v>1.55250407534867</v>
      </c>
      <c r="M8" s="9"/>
      <c r="N8" s="9"/>
      <c r="O8" s="9"/>
    </row>
    <row r="9" ht="14.25" customHeight="1">
      <c r="A9" s="448" t="s">
        <v>651</v>
      </c>
      <c r="B9" s="477">
        <f>IFERROR('Cash Flow Statement'!B13/'Income Statement'!B26,"")</f>
        <v>1.41597964577334</v>
      </c>
      <c r="C9" s="477">
        <f>IFERROR('Cash Flow Statement'!C13/'Income Statement'!C26,"")</f>
        <v>1.25912173070714</v>
      </c>
      <c r="D9" s="477">
        <f>IFERROR('Cash Flow Statement'!D13/'Income Statement'!D26,"")</f>
        <v>1.45627564591624</v>
      </c>
      <c r="E9" s="477">
        <f>IFERROR('Cash Flow Statement'!E13/'Income Statement'!E26,"")</f>
        <v>1.47422962122168</v>
      </c>
      <c r="F9" s="477">
        <f>IFERROR('Cash Flow Statement'!F13/'Income Statement'!F26,"")</f>
        <v>1.6982905982906</v>
      </c>
      <c r="G9" s="477">
        <f>IFERROR('Cash Flow Statement'!G13/'Income Statement'!G26,"")</f>
        <v>1.8978333550432</v>
      </c>
      <c r="H9" s="477">
        <f>IFERROR('Cash Flow Statement'!H13/'Income Statement'!H26,"")</f>
        <v>2.45148087840514</v>
      </c>
      <c r="I9" s="477">
        <f>IFERROR('Cash Flow Statement'!I13/'Income Statement'!I26,"")</f>
        <v>3.51537332028121</v>
      </c>
      <c r="J9" s="477">
        <f>IFERROR('Cash Flow Statement'!J13/'Income Statement'!J26,"")</f>
        <v>3.93219807304504</v>
      </c>
      <c r="K9" s="480">
        <f>IFERROR('Cash Flow Statement'!K13/'Income Statement'!K26,"")</f>
        <v>4.04645097466106</v>
      </c>
      <c r="L9" s="486">
        <f>IFERROR('Cash Flow Statement'!L13/'Income Statement'!L26,"")</f>
        <v>4.63504569807753</v>
      </c>
      <c r="M9" s="9"/>
      <c r="N9" s="9"/>
      <c r="O9" s="9"/>
    </row>
    <row r="10" ht="14.25" customHeight="1">
      <c r="A10" s="448" t="s">
        <v>652</v>
      </c>
      <c r="B10" s="477">
        <f>IFERROR('Cash Flow Statement'!B36/'Income Statement'!B26,"")</f>
        <v>1.20882805412015</v>
      </c>
      <c r="C10" s="477">
        <f>IFERROR('Cash Flow Statement'!C36/'Income Statement'!C26,"")</f>
        <v>1.02589199225057</v>
      </c>
      <c r="D10" s="477">
        <f>IFERROR('Cash Flow Statement'!D36/'Income Statement'!D26,"")</f>
        <v>1.14176134606264</v>
      </c>
      <c r="E10" s="477">
        <f>IFERROR('Cash Flow Statement'!E36/'Income Statement'!E26,"")</f>
        <v>1.19275234371716</v>
      </c>
      <c r="F10" s="477">
        <f>IFERROR('Cash Flow Statement'!F36/'Income Statement'!F26,"")</f>
        <v>1.50786324786325</v>
      </c>
      <c r="G10" s="477">
        <f>IFERROR('Cash Flow Statement'!G36/'Income Statement'!G26,"")</f>
        <v>1.67923668099518</v>
      </c>
      <c r="H10" s="477">
        <f>IFERROR('Cash Flow Statement'!H36/'Income Statement'!H26,"")</f>
        <v>2.07404392025701</v>
      </c>
      <c r="I10" s="477">
        <f>IFERROR('Cash Flow Statement'!I36/'Income Statement'!I26,"")</f>
        <v>2.68238853786598</v>
      </c>
      <c r="J10" s="477">
        <f>IFERROR('Cash Flow Statement'!J36/'Income Statement'!J26,"")</f>
        <v>2.3990813354246</v>
      </c>
      <c r="K10" s="480">
        <f>IFERROR('Cash Flow Statement'!K36/'Income Statement'!K26,"")</f>
        <v>2.00321514490636</v>
      </c>
      <c r="L10" s="486">
        <f>IFERROR('Cash Flow Statement'!L36/'Income Statement'!L26,"")</f>
        <v>2.6653685110981</v>
      </c>
      <c r="M10" s="9"/>
      <c r="N10" s="9"/>
      <c r="O10" s="9"/>
    </row>
    <row r="11" ht="14.25" customHeight="1">
      <c r="A11" s="448" t="s">
        <v>653</v>
      </c>
      <c r="B11" s="477">
        <f>IFERROR(-'Cash Flow Statement'!B15/'Income Statement'!B26,"")</f>
        <v>0.207151591653189</v>
      </c>
      <c r="C11" s="477">
        <f>IFERROR(-'Cash Flow Statement'!C15/'Income Statement'!C26,"")</f>
        <v>0.233249919276719</v>
      </c>
      <c r="D11" s="477">
        <f>IFERROR(-'Cash Flow Statement'!D15/'Income Statement'!D26,"")</f>
        <v>0.314514299853599</v>
      </c>
      <c r="E11" s="477">
        <f>IFERROR(-'Cash Flow Statement'!E15/'Income Statement'!E26,"")</f>
        <v>0.281477277504519</v>
      </c>
      <c r="F11" s="477">
        <f>IFERROR(-'Cash Flow Statement'!F15/'Income Statement'!F26,"")</f>
        <v>0.19042735042735</v>
      </c>
      <c r="G11" s="477">
        <f>IFERROR(-'Cash Flow Statement'!G15/'Income Statement'!G26,"")</f>
        <v>0.218596674048022</v>
      </c>
      <c r="H11" s="477">
        <f>IFERROR(-'Cash Flow Statement'!H15/'Income Statement'!H26,"")</f>
        <v>0.37745896228491</v>
      </c>
      <c r="I11" s="477">
        <f>IFERROR(-'Cash Flow Statement'!I15/'Income Statement'!I26,"")</f>
        <v>0.832984782415235</v>
      </c>
      <c r="J11" s="477">
        <f>IFERROR(-'Cash Flow Statement'!J15/'Income Statement'!J26,"")</f>
        <v>1.53311673762043</v>
      </c>
      <c r="K11" s="480">
        <f>IFERROR(-'Cash Flow Statement'!K15/'Income Statement'!K26,"")</f>
        <v>2.04323582975471</v>
      </c>
      <c r="L11" s="486">
        <f>IFERROR(-'Cash Flow Statement'!L15/'Income Statement'!L26,"")</f>
        <v>1.96965467561118</v>
      </c>
      <c r="M11" s="9"/>
      <c r="N11" s="9"/>
      <c r="O11" s="9"/>
    </row>
    <row r="12" ht="14.25" customHeight="1">
      <c r="A12" s="448" t="s">
        <v>655</v>
      </c>
      <c r="B12" s="477">
        <f>IFERROR('Income Statement'!B25,"")</f>
        <v>5060.0</v>
      </c>
      <c r="C12" s="477">
        <f>IFERROR('Income Statement'!C25,"")</f>
        <v>4945.5</v>
      </c>
      <c r="D12" s="477">
        <f>IFERROR('Income Statement'!D25,"")</f>
        <v>4840.6</v>
      </c>
      <c r="E12" s="477">
        <f>IFERROR('Income Statement'!E25,"")</f>
        <v>4748.6</v>
      </c>
      <c r="F12" s="477">
        <f>IFERROR('Income Statement'!F25,"")</f>
        <v>4667.8</v>
      </c>
      <c r="G12" s="477">
        <f>IFERROR('Income Statement'!G25,"")</f>
        <v>4593.2</v>
      </c>
      <c r="H12" s="477">
        <f>IFERROR('Income Statement'!H25,"")</f>
        <v>4530.6</v>
      </c>
      <c r="I12" s="477">
        <f>IFERROR('Income Statement'!I25,"")</f>
        <v>4482.8</v>
      </c>
      <c r="J12" s="477">
        <f>IFERROR('Income Statement'!J25,"")</f>
        <v>4453.9</v>
      </c>
      <c r="K12" s="480">
        <f>IFERROR('Income Statement'!K25,"")</f>
        <v>4443.0</v>
      </c>
      <c r="L12" s="486">
        <f>IFERROR('Income Statement'!L25,"")</f>
        <v>4438.2</v>
      </c>
      <c r="M12" s="9"/>
      <c r="N12" s="9"/>
      <c r="O12" s="9"/>
    </row>
    <row r="13" ht="14.25" customHeight="1">
      <c r="A13" s="487" t="s">
        <v>657</v>
      </c>
      <c r="B13" s="488">
        <f>IFERROR('Income Statement'!B26,"")</f>
        <v>5070.2</v>
      </c>
      <c r="C13" s="488">
        <f>IFERROR('Income Statement'!C26,"")</f>
        <v>4955.2</v>
      </c>
      <c r="D13" s="488">
        <f>IFERROR('Income Statement'!D26,"")</f>
        <v>4849.7</v>
      </c>
      <c r="E13" s="488">
        <f>IFERROR('Income Statement'!E26,"")</f>
        <v>4757.4</v>
      </c>
      <c r="F13" s="488">
        <f>IFERROR('Income Statement'!F26,"")</f>
        <v>4680.0</v>
      </c>
      <c r="G13" s="488">
        <f>IFERROR('Income Statement'!G26,"")</f>
        <v>4606.2</v>
      </c>
      <c r="H13" s="488">
        <f>IFERROR('Income Statement'!H26,"")</f>
        <v>4544.6</v>
      </c>
      <c r="I13" s="488">
        <f>IFERROR('Income Statement'!I26,"")</f>
        <v>4494.8</v>
      </c>
      <c r="J13" s="488">
        <f>IFERROR('Income Statement'!J26,"")</f>
        <v>4463.0</v>
      </c>
      <c r="K13" s="489">
        <f>IFERROR('Income Statement'!K26,"")</f>
        <v>4447.7</v>
      </c>
      <c r="L13" s="490">
        <f>IFERROR('Income Statement'!L26,"")</f>
        <v>4442.2</v>
      </c>
      <c r="M13" s="9"/>
      <c r="N13" s="9"/>
      <c r="O13" s="9"/>
    </row>
    <row r="14" ht="14.25" customHeight="1">
      <c r="A14" s="9"/>
      <c r="B14" s="9"/>
      <c r="C14" s="9"/>
      <c r="D14" s="9"/>
      <c r="E14" s="9"/>
      <c r="F14" s="9"/>
      <c r="G14" s="9"/>
      <c r="H14" s="9"/>
      <c r="I14" s="9"/>
      <c r="J14" s="9"/>
      <c r="K14" s="9"/>
      <c r="L14" s="9"/>
      <c r="M14" s="9"/>
      <c r="N14" s="9"/>
      <c r="O14" s="9"/>
    </row>
    <row r="15" ht="14.25" customHeight="1">
      <c r="A15" s="9"/>
      <c r="B15" s="9"/>
      <c r="C15" s="9"/>
      <c r="D15" s="9"/>
      <c r="E15" s="9"/>
      <c r="F15" s="9"/>
      <c r="G15" s="9"/>
      <c r="H15" s="9"/>
      <c r="I15" s="9"/>
      <c r="J15" s="9"/>
      <c r="K15" s="9"/>
      <c r="L15" s="9"/>
      <c r="M15" s="9"/>
      <c r="N15" s="9"/>
      <c r="O15" s="9"/>
    </row>
    <row r="16" ht="14.25" customHeight="1">
      <c r="A16" s="9"/>
      <c r="B16" s="9"/>
      <c r="C16" s="9"/>
      <c r="D16" s="9"/>
      <c r="E16" s="9"/>
      <c r="F16" s="9"/>
      <c r="G16" s="9"/>
      <c r="H16" s="9"/>
      <c r="I16" s="9"/>
      <c r="J16" s="9"/>
      <c r="K16" s="9"/>
      <c r="L16" s="9"/>
      <c r="M16" s="9"/>
      <c r="N16" s="9"/>
      <c r="O16" s="9"/>
    </row>
    <row r="17" ht="14.25" customHeight="1">
      <c r="A17" s="9"/>
      <c r="B17" s="9"/>
      <c r="C17" s="9"/>
      <c r="D17" s="9"/>
      <c r="E17" s="9"/>
      <c r="F17" s="9"/>
      <c r="G17" s="9"/>
      <c r="H17" s="9"/>
      <c r="I17" s="9"/>
      <c r="J17" s="9"/>
      <c r="K17" s="9"/>
      <c r="L17" s="9"/>
      <c r="M17" s="9"/>
      <c r="N17" s="9"/>
      <c r="O17" s="9"/>
    </row>
    <row r="18" ht="14.25" customHeight="1">
      <c r="A18" s="9"/>
      <c r="B18" s="9"/>
      <c r="C18" s="9"/>
      <c r="D18" s="9"/>
      <c r="E18" s="9"/>
      <c r="F18" s="9"/>
      <c r="G18" s="9"/>
      <c r="H18" s="9"/>
      <c r="I18" s="9"/>
      <c r="J18" s="9"/>
      <c r="K18" s="9"/>
      <c r="L18" s="9"/>
      <c r="M18" s="9"/>
      <c r="N18" s="9"/>
      <c r="O18" s="9"/>
    </row>
    <row r="19" ht="14.25" customHeight="1">
      <c r="A19" s="9"/>
      <c r="B19" s="9"/>
      <c r="C19" s="9"/>
      <c r="D19" s="9"/>
      <c r="E19" s="9"/>
      <c r="F19" s="9"/>
      <c r="G19" s="9"/>
      <c r="H19" s="9"/>
      <c r="I19" s="9"/>
      <c r="J19" s="9"/>
      <c r="K19" s="9"/>
      <c r="L19" s="9"/>
      <c r="M19" s="9"/>
      <c r="N19" s="9"/>
      <c r="O19" s="9"/>
    </row>
    <row r="20" ht="14.25" customHeight="1">
      <c r="A20" s="9"/>
      <c r="B20" s="9"/>
      <c r="C20" s="9"/>
      <c r="D20" s="9"/>
      <c r="E20" s="9"/>
      <c r="F20" s="9"/>
      <c r="G20" s="9"/>
      <c r="H20" s="9"/>
      <c r="I20" s="9"/>
      <c r="J20" s="9"/>
      <c r="K20" s="9"/>
      <c r="L20" s="9"/>
      <c r="M20" s="9"/>
      <c r="N20" s="9"/>
      <c r="O20" s="9"/>
    </row>
    <row r="21" ht="14.25" customHeight="1">
      <c r="A21" s="9"/>
      <c r="B21" s="9"/>
      <c r="C21" s="9"/>
      <c r="D21" s="9"/>
      <c r="E21" s="9"/>
      <c r="F21" s="9"/>
      <c r="G21" s="9"/>
      <c r="H21" s="9"/>
      <c r="I21" s="9"/>
      <c r="J21" s="9"/>
      <c r="K21" s="9"/>
      <c r="L21" s="9"/>
      <c r="M21" s="9"/>
      <c r="N21" s="9"/>
      <c r="O21" s="9"/>
    </row>
    <row r="22" ht="14.25" customHeight="1">
      <c r="A22" s="9"/>
      <c r="B22" s="9"/>
      <c r="C22" s="9"/>
      <c r="D22" s="9"/>
      <c r="E22" s="9"/>
      <c r="F22" s="9"/>
      <c r="G22" s="9"/>
      <c r="H22" s="9"/>
      <c r="I22" s="9"/>
      <c r="J22" s="9"/>
      <c r="K22" s="9"/>
      <c r="L22" s="9"/>
      <c r="M22" s="9"/>
      <c r="N22" s="9"/>
      <c r="O22" s="9"/>
    </row>
    <row r="23" ht="14.25" customHeight="1">
      <c r="A23" s="9"/>
      <c r="B23" s="9"/>
      <c r="C23" s="9"/>
      <c r="D23" s="9"/>
      <c r="E23" s="9"/>
      <c r="F23" s="9"/>
      <c r="G23" s="9"/>
      <c r="H23" s="9"/>
      <c r="I23" s="9"/>
      <c r="J23" s="9"/>
      <c r="K23" s="9"/>
      <c r="L23" s="9"/>
      <c r="M23" s="9"/>
      <c r="N23" s="9"/>
      <c r="O23" s="9"/>
    </row>
    <row r="24" ht="14.25" customHeight="1">
      <c r="A24" s="9"/>
      <c r="B24" s="9"/>
      <c r="C24" s="9"/>
      <c r="D24" s="9"/>
      <c r="E24" s="9"/>
      <c r="F24" s="9"/>
      <c r="G24" s="9"/>
      <c r="H24" s="9"/>
      <c r="I24" s="9"/>
      <c r="J24" s="9"/>
      <c r="K24" s="9"/>
      <c r="L24" s="9"/>
      <c r="M24" s="9"/>
      <c r="N24" s="9"/>
      <c r="O24" s="9"/>
    </row>
    <row r="25" ht="14.25" customHeight="1">
      <c r="A25" s="9"/>
      <c r="B25" s="9"/>
      <c r="C25" s="9"/>
      <c r="D25" s="9"/>
      <c r="E25" s="9"/>
      <c r="F25" s="9"/>
      <c r="G25" s="9"/>
      <c r="H25" s="9"/>
      <c r="I25" s="9"/>
      <c r="J25" s="9"/>
      <c r="K25" s="9"/>
      <c r="L25" s="9"/>
      <c r="M25" s="9"/>
      <c r="N25" s="9"/>
      <c r="O25" s="9"/>
    </row>
    <row r="26" ht="14.25" customHeight="1">
      <c r="A26" s="9"/>
      <c r="B26" s="9"/>
      <c r="C26" s="9"/>
      <c r="D26" s="9"/>
      <c r="E26" s="9"/>
      <c r="F26" s="9"/>
      <c r="G26" s="9"/>
      <c r="H26" s="9"/>
      <c r="I26" s="9"/>
      <c r="J26" s="9"/>
      <c r="K26" s="9"/>
      <c r="L26" s="9"/>
      <c r="M26" s="9"/>
      <c r="N26" s="9"/>
      <c r="O26" s="9"/>
    </row>
    <row r="27" ht="14.25" customHeight="1">
      <c r="A27" s="9"/>
      <c r="B27" s="9"/>
      <c r="C27" s="9"/>
      <c r="D27" s="9"/>
      <c r="E27" s="9"/>
      <c r="F27" s="9"/>
      <c r="G27" s="9"/>
      <c r="H27" s="9"/>
      <c r="I27" s="9"/>
      <c r="J27" s="9"/>
      <c r="K27" s="9"/>
      <c r="L27" s="9"/>
      <c r="M27" s="9"/>
      <c r="N27" s="9"/>
      <c r="O27" s="9"/>
    </row>
    <row r="28" ht="14.25" customHeight="1">
      <c r="A28" s="9"/>
      <c r="B28" s="9"/>
      <c r="C28" s="9"/>
      <c r="D28" s="9"/>
      <c r="E28" s="9"/>
      <c r="F28" s="9"/>
      <c r="G28" s="9"/>
      <c r="H28" s="9"/>
      <c r="I28" s="9"/>
      <c r="J28" s="9"/>
      <c r="K28" s="9"/>
      <c r="L28" s="9"/>
      <c r="M28" s="9"/>
      <c r="N28" s="9"/>
      <c r="O28" s="9"/>
    </row>
    <row r="29" ht="15.75" customHeight="1">
      <c r="A29" s="77"/>
      <c r="B29" s="77"/>
      <c r="C29" s="77"/>
      <c r="D29" s="77"/>
      <c r="E29" s="77"/>
      <c r="F29" s="77"/>
      <c r="G29" s="77"/>
      <c r="H29" s="77"/>
      <c r="I29" s="77"/>
      <c r="J29" s="77"/>
      <c r="K29" s="77"/>
      <c r="L29" s="77"/>
      <c r="M29" s="77"/>
      <c r="N29" s="77"/>
      <c r="O29" s="77"/>
    </row>
    <row r="30" ht="15.75" customHeight="1">
      <c r="A30" s="77"/>
      <c r="B30" s="77"/>
      <c r="C30" s="77"/>
      <c r="D30" s="77"/>
      <c r="E30" s="77"/>
      <c r="F30" s="77"/>
      <c r="G30" s="77"/>
      <c r="H30" s="77"/>
      <c r="I30" s="77"/>
      <c r="J30" s="77"/>
      <c r="K30" s="77"/>
      <c r="L30" s="77"/>
      <c r="M30" s="77"/>
      <c r="N30" s="77"/>
      <c r="O30" s="77"/>
    </row>
    <row r="31" ht="15.75" customHeight="1">
      <c r="A31" s="77"/>
      <c r="B31" s="77"/>
      <c r="C31" s="77"/>
      <c r="D31" s="77"/>
      <c r="E31" s="77"/>
      <c r="F31" s="77"/>
      <c r="G31" s="77"/>
      <c r="H31" s="77"/>
      <c r="I31" s="77"/>
      <c r="J31" s="77"/>
      <c r="K31" s="77"/>
      <c r="L31" s="77"/>
      <c r="M31" s="77"/>
      <c r="N31" s="77"/>
      <c r="O31" s="77"/>
    </row>
    <row r="32" ht="15.75" customHeight="1">
      <c r="A32" s="77"/>
      <c r="B32" s="77"/>
      <c r="C32" s="77"/>
      <c r="D32" s="77"/>
      <c r="E32" s="77"/>
      <c r="F32" s="77"/>
      <c r="G32" s="77"/>
      <c r="H32" s="77"/>
      <c r="I32" s="77"/>
      <c r="J32" s="77"/>
      <c r="K32" s="77"/>
      <c r="L32" s="77"/>
      <c r="M32" s="77"/>
      <c r="N32" s="77"/>
      <c r="O32" s="77"/>
    </row>
    <row r="33" ht="15.75" customHeight="1">
      <c r="A33" s="77"/>
      <c r="B33" s="77"/>
      <c r="C33" s="77"/>
      <c r="D33" s="77"/>
      <c r="E33" s="77"/>
      <c r="F33" s="77"/>
      <c r="G33" s="77"/>
      <c r="H33" s="77"/>
      <c r="I33" s="77"/>
      <c r="J33" s="77"/>
      <c r="K33" s="77"/>
      <c r="L33" s="77"/>
      <c r="M33" s="77"/>
      <c r="N33" s="77"/>
      <c r="O33" s="77"/>
    </row>
    <row r="34" ht="15.75" customHeight="1">
      <c r="A34" s="77"/>
      <c r="B34" s="77"/>
      <c r="C34" s="77"/>
      <c r="D34" s="77"/>
      <c r="E34" s="77"/>
      <c r="F34" s="77"/>
      <c r="G34" s="77"/>
      <c r="H34" s="77"/>
      <c r="I34" s="77"/>
      <c r="J34" s="77"/>
      <c r="K34" s="77"/>
      <c r="L34" s="77"/>
      <c r="M34" s="77"/>
      <c r="N34" s="77"/>
      <c r="O34" s="77"/>
    </row>
    <row r="35" ht="15.75" customHeight="1">
      <c r="A35" s="77"/>
      <c r="B35" s="77"/>
      <c r="C35" s="77"/>
      <c r="D35" s="77"/>
      <c r="E35" s="77"/>
      <c r="F35" s="77"/>
      <c r="G35" s="77"/>
      <c r="H35" s="77"/>
      <c r="I35" s="77"/>
      <c r="J35" s="77"/>
      <c r="K35" s="77"/>
      <c r="L35" s="77"/>
      <c r="M35" s="77"/>
      <c r="N35" s="77"/>
      <c r="O35" s="77"/>
    </row>
    <row r="36" ht="15.75" customHeight="1">
      <c r="A36" s="77"/>
      <c r="B36" s="77"/>
      <c r="C36" s="77"/>
      <c r="D36" s="77"/>
      <c r="E36" s="77"/>
      <c r="F36" s="77"/>
      <c r="G36" s="77"/>
      <c r="H36" s="77"/>
      <c r="I36" s="77"/>
      <c r="J36" s="77"/>
      <c r="K36" s="77"/>
      <c r="L36" s="77"/>
      <c r="M36" s="77"/>
      <c r="N36" s="77"/>
      <c r="O36" s="77"/>
    </row>
    <row r="37" ht="15.75" customHeight="1">
      <c r="A37" s="77"/>
      <c r="B37" s="77"/>
      <c r="C37" s="77"/>
      <c r="D37" s="77"/>
      <c r="E37" s="77"/>
      <c r="F37" s="77"/>
      <c r="G37" s="77"/>
      <c r="H37" s="77"/>
      <c r="I37" s="77"/>
      <c r="J37" s="77"/>
      <c r="K37" s="77"/>
      <c r="L37" s="77"/>
      <c r="M37" s="77"/>
      <c r="N37" s="77"/>
      <c r="O37" s="77"/>
    </row>
    <row r="38" ht="15.75" customHeight="1">
      <c r="A38" s="77"/>
      <c r="B38" s="77"/>
      <c r="C38" s="77"/>
      <c r="D38" s="77"/>
      <c r="E38" s="77"/>
      <c r="F38" s="77"/>
      <c r="G38" s="77"/>
      <c r="H38" s="77"/>
      <c r="I38" s="77"/>
      <c r="J38" s="77"/>
      <c r="K38" s="77"/>
      <c r="L38" s="77"/>
      <c r="M38" s="77"/>
      <c r="N38" s="77"/>
      <c r="O38" s="77"/>
    </row>
    <row r="39" ht="15.75" customHeight="1">
      <c r="A39" s="77"/>
      <c r="B39" s="77"/>
      <c r="C39" s="77"/>
      <c r="D39" s="77"/>
      <c r="E39" s="77"/>
      <c r="F39" s="77"/>
      <c r="G39" s="77"/>
      <c r="H39" s="77"/>
      <c r="I39" s="77"/>
      <c r="J39" s="77"/>
      <c r="K39" s="77"/>
      <c r="L39" s="77"/>
      <c r="M39" s="77"/>
      <c r="N39" s="77"/>
      <c r="O39" s="77"/>
    </row>
    <row r="40" ht="15.75" customHeight="1">
      <c r="A40" s="77"/>
      <c r="B40" s="77"/>
      <c r="C40" s="77"/>
      <c r="D40" s="77"/>
      <c r="E40" s="77"/>
      <c r="F40" s="77"/>
      <c r="G40" s="77"/>
      <c r="H40" s="77"/>
      <c r="I40" s="77"/>
      <c r="J40" s="77"/>
      <c r="K40" s="77"/>
      <c r="L40" s="77"/>
      <c r="M40" s="77"/>
      <c r="N40" s="77"/>
      <c r="O40" s="77"/>
    </row>
    <row r="41" ht="15.75" customHeight="1">
      <c r="A41" s="77"/>
      <c r="B41" s="77"/>
      <c r="C41" s="77"/>
      <c r="D41" s="77"/>
      <c r="E41" s="77"/>
      <c r="F41" s="77"/>
      <c r="G41" s="77"/>
      <c r="H41" s="77"/>
      <c r="I41" s="77"/>
      <c r="J41" s="77"/>
      <c r="K41" s="77"/>
      <c r="L41" s="77"/>
      <c r="M41" s="77"/>
      <c r="N41" s="77"/>
      <c r="O41" s="77"/>
    </row>
    <row r="42" ht="15.75" customHeight="1">
      <c r="A42" s="77"/>
      <c r="B42" s="77"/>
      <c r="C42" s="77"/>
      <c r="D42" s="77"/>
      <c r="E42" s="77"/>
      <c r="F42" s="77"/>
      <c r="G42" s="77"/>
      <c r="H42" s="77"/>
      <c r="I42" s="77"/>
      <c r="J42" s="77"/>
      <c r="K42" s="77"/>
      <c r="L42" s="77"/>
      <c r="M42" s="77"/>
      <c r="N42" s="77"/>
      <c r="O42" s="77"/>
    </row>
    <row r="43" ht="15.75" customHeight="1">
      <c r="A43" s="77"/>
      <c r="B43" s="77"/>
      <c r="C43" s="77"/>
      <c r="D43" s="77"/>
      <c r="E43" s="77"/>
      <c r="F43" s="77"/>
      <c r="G43" s="77"/>
      <c r="H43" s="77"/>
      <c r="I43" s="77"/>
      <c r="J43" s="77"/>
      <c r="K43" s="77"/>
      <c r="L43" s="77"/>
      <c r="M43" s="77"/>
      <c r="N43" s="77"/>
      <c r="O43" s="77"/>
    </row>
    <row r="44" ht="15.75" customHeight="1">
      <c r="A44" s="77"/>
      <c r="B44" s="77"/>
      <c r="C44" s="77"/>
      <c r="D44" s="77"/>
      <c r="E44" s="77"/>
      <c r="F44" s="77"/>
      <c r="G44" s="77"/>
      <c r="H44" s="77"/>
      <c r="I44" s="77"/>
      <c r="J44" s="77"/>
      <c r="K44" s="77"/>
      <c r="L44" s="77"/>
      <c r="M44" s="77"/>
      <c r="N44" s="77"/>
      <c r="O44" s="77"/>
    </row>
    <row r="45" ht="15.75" customHeight="1">
      <c r="A45" s="77"/>
      <c r="B45" s="77"/>
      <c r="C45" s="77"/>
      <c r="D45" s="77"/>
      <c r="E45" s="77"/>
      <c r="F45" s="77"/>
      <c r="G45" s="77"/>
      <c r="H45" s="77"/>
      <c r="I45" s="77"/>
      <c r="J45" s="77"/>
      <c r="K45" s="77"/>
      <c r="L45" s="77"/>
      <c r="M45" s="77"/>
      <c r="N45" s="77"/>
      <c r="O45" s="77"/>
    </row>
    <row r="46" ht="15.75" customHeight="1">
      <c r="A46" s="77"/>
      <c r="B46" s="77"/>
      <c r="C46" s="77"/>
      <c r="D46" s="77"/>
      <c r="E46" s="77"/>
      <c r="F46" s="77"/>
      <c r="G46" s="77"/>
      <c r="H46" s="77"/>
      <c r="I46" s="77"/>
      <c r="J46" s="77"/>
      <c r="K46" s="77"/>
      <c r="L46" s="77"/>
      <c r="M46" s="77"/>
      <c r="N46" s="77"/>
      <c r="O46" s="77"/>
    </row>
    <row r="47" ht="15.75" customHeight="1">
      <c r="A47" s="77"/>
      <c r="B47" s="77"/>
      <c r="C47" s="77"/>
      <c r="D47" s="77"/>
      <c r="E47" s="77"/>
      <c r="F47" s="77"/>
      <c r="G47" s="77"/>
      <c r="H47" s="77"/>
      <c r="I47" s="77"/>
      <c r="J47" s="77"/>
      <c r="K47" s="77"/>
      <c r="L47" s="77"/>
      <c r="M47" s="77"/>
      <c r="N47" s="77"/>
      <c r="O47" s="77"/>
    </row>
    <row r="48" ht="15.75" customHeight="1">
      <c r="A48" s="77"/>
      <c r="B48" s="77"/>
      <c r="C48" s="77"/>
      <c r="D48" s="77"/>
      <c r="E48" s="77"/>
      <c r="F48" s="77"/>
      <c r="G48" s="77"/>
      <c r="H48" s="77"/>
      <c r="I48" s="77"/>
      <c r="J48" s="77"/>
      <c r="K48" s="77"/>
      <c r="L48" s="77"/>
      <c r="M48" s="77"/>
      <c r="N48" s="77"/>
      <c r="O48" s="77"/>
    </row>
    <row r="49" ht="15.75" customHeight="1">
      <c r="A49" s="77"/>
      <c r="B49" s="77"/>
      <c r="C49" s="77"/>
      <c r="D49" s="77"/>
      <c r="E49" s="77"/>
      <c r="F49" s="77"/>
      <c r="G49" s="77"/>
      <c r="H49" s="77"/>
      <c r="I49" s="77"/>
      <c r="J49" s="77"/>
      <c r="K49" s="77"/>
      <c r="L49" s="77"/>
      <c r="M49" s="77"/>
      <c r="N49" s="77"/>
      <c r="O49" s="77"/>
    </row>
    <row r="50" ht="15.75" customHeight="1">
      <c r="A50" s="77"/>
      <c r="B50" s="77"/>
      <c r="C50" s="77"/>
      <c r="D50" s="77"/>
      <c r="E50" s="77"/>
      <c r="F50" s="77"/>
      <c r="G50" s="77"/>
      <c r="H50" s="77"/>
      <c r="I50" s="77"/>
      <c r="J50" s="77"/>
      <c r="K50" s="77"/>
      <c r="L50" s="77"/>
      <c r="M50" s="77"/>
      <c r="N50" s="77"/>
      <c r="O50" s="77"/>
    </row>
    <row r="51" ht="15.75" customHeight="1">
      <c r="A51" s="77"/>
      <c r="B51" s="77"/>
      <c r="C51" s="77"/>
      <c r="D51" s="77"/>
      <c r="E51" s="77"/>
      <c r="F51" s="77"/>
      <c r="G51" s="77"/>
      <c r="H51" s="77"/>
      <c r="I51" s="77"/>
      <c r="J51" s="77"/>
      <c r="K51" s="77"/>
      <c r="L51" s="77"/>
      <c r="M51" s="77"/>
      <c r="N51" s="77"/>
      <c r="O51" s="77"/>
    </row>
    <row r="52" ht="15.75" customHeight="1">
      <c r="A52" s="77"/>
      <c r="B52" s="77"/>
      <c r="C52" s="77"/>
      <c r="D52" s="77"/>
      <c r="E52" s="77"/>
      <c r="F52" s="77"/>
      <c r="G52" s="77"/>
      <c r="H52" s="77"/>
      <c r="I52" s="77"/>
      <c r="J52" s="77"/>
      <c r="K52" s="77"/>
      <c r="L52" s="77"/>
      <c r="M52" s="77"/>
      <c r="N52" s="77"/>
      <c r="O52" s="77"/>
    </row>
    <row r="53" ht="15.75" customHeight="1">
      <c r="A53" s="77"/>
      <c r="B53" s="77"/>
      <c r="C53" s="77"/>
      <c r="D53" s="77"/>
      <c r="E53" s="77"/>
      <c r="F53" s="77"/>
      <c r="G53" s="77"/>
      <c r="H53" s="77"/>
      <c r="I53" s="77"/>
      <c r="J53" s="77"/>
      <c r="K53" s="77"/>
      <c r="L53" s="77"/>
      <c r="M53" s="77"/>
      <c r="N53" s="77"/>
      <c r="O53" s="77"/>
    </row>
    <row r="54" ht="15.75" customHeight="1">
      <c r="A54" s="77"/>
      <c r="B54" s="77"/>
      <c r="C54" s="77"/>
      <c r="D54" s="77"/>
      <c r="E54" s="77"/>
      <c r="F54" s="77"/>
      <c r="G54" s="77"/>
      <c r="H54" s="77"/>
      <c r="I54" s="77"/>
      <c r="J54" s="77"/>
      <c r="K54" s="77"/>
      <c r="L54" s="77"/>
      <c r="M54" s="77"/>
      <c r="N54" s="77"/>
      <c r="O54" s="77"/>
    </row>
    <row r="55" ht="15.75" customHeight="1">
      <c r="A55" s="77"/>
      <c r="B55" s="77"/>
      <c r="C55" s="77"/>
      <c r="D55" s="77"/>
      <c r="E55" s="77"/>
      <c r="F55" s="77"/>
      <c r="G55" s="77"/>
      <c r="H55" s="77"/>
      <c r="I55" s="77"/>
      <c r="J55" s="77"/>
      <c r="K55" s="77"/>
      <c r="L55" s="77"/>
      <c r="M55" s="77"/>
      <c r="N55" s="77"/>
      <c r="O55" s="77"/>
    </row>
    <row r="56" ht="15.75" customHeight="1">
      <c r="A56" s="77"/>
      <c r="B56" s="77"/>
      <c r="C56" s="77"/>
      <c r="D56" s="77"/>
      <c r="E56" s="77"/>
      <c r="F56" s="77"/>
      <c r="G56" s="77"/>
      <c r="H56" s="77"/>
      <c r="I56" s="77"/>
      <c r="J56" s="77"/>
      <c r="K56" s="77"/>
      <c r="L56" s="77"/>
      <c r="M56" s="77"/>
      <c r="N56" s="77"/>
      <c r="O56" s="77"/>
    </row>
    <row r="57" ht="15.75" customHeight="1">
      <c r="A57" s="77"/>
      <c r="B57" s="77"/>
      <c r="C57" s="77"/>
      <c r="D57" s="77"/>
      <c r="E57" s="77"/>
      <c r="F57" s="77"/>
      <c r="G57" s="77"/>
      <c r="H57" s="77"/>
      <c r="I57" s="77"/>
      <c r="J57" s="77"/>
      <c r="K57" s="77"/>
      <c r="L57" s="77"/>
      <c r="M57" s="77"/>
      <c r="N57" s="77"/>
      <c r="O57" s="77"/>
    </row>
    <row r="58" ht="15.75" customHeight="1">
      <c r="A58" s="77"/>
      <c r="B58" s="77"/>
      <c r="C58" s="77"/>
      <c r="D58" s="77"/>
      <c r="E58" s="77"/>
      <c r="F58" s="77"/>
      <c r="G58" s="77"/>
      <c r="H58" s="77"/>
      <c r="I58" s="77"/>
      <c r="J58" s="77"/>
      <c r="K58" s="77"/>
      <c r="L58" s="77"/>
      <c r="M58" s="77"/>
      <c r="N58" s="77"/>
      <c r="O58" s="77"/>
    </row>
    <row r="59" ht="15.75" customHeight="1">
      <c r="A59" s="77"/>
      <c r="B59" s="77"/>
      <c r="C59" s="77"/>
      <c r="D59" s="77"/>
      <c r="E59" s="77"/>
      <c r="F59" s="77"/>
      <c r="G59" s="77"/>
      <c r="H59" s="77"/>
      <c r="I59" s="77"/>
      <c r="J59" s="77"/>
      <c r="K59" s="77"/>
      <c r="L59" s="77"/>
      <c r="M59" s="77"/>
      <c r="N59" s="77"/>
      <c r="O59" s="77"/>
    </row>
    <row r="60" ht="15.75" customHeight="1">
      <c r="A60" s="77"/>
      <c r="B60" s="77"/>
      <c r="C60" s="77"/>
      <c r="D60" s="77"/>
      <c r="E60" s="77"/>
      <c r="F60" s="77"/>
      <c r="G60" s="77"/>
      <c r="H60" s="77"/>
      <c r="I60" s="77"/>
      <c r="J60" s="77"/>
      <c r="K60" s="77"/>
      <c r="L60" s="77"/>
      <c r="M60" s="77"/>
      <c r="N60" s="77"/>
      <c r="O60" s="77"/>
    </row>
    <row r="61" ht="15.75" customHeight="1">
      <c r="A61" s="77"/>
      <c r="B61" s="77"/>
      <c r="C61" s="77"/>
      <c r="D61" s="77"/>
      <c r="E61" s="77"/>
      <c r="F61" s="77"/>
      <c r="G61" s="77"/>
      <c r="H61" s="77"/>
      <c r="I61" s="77"/>
      <c r="J61" s="77"/>
      <c r="K61" s="77"/>
      <c r="L61" s="77"/>
      <c r="M61" s="77"/>
      <c r="N61" s="77"/>
      <c r="O61" s="77"/>
    </row>
    <row r="62" ht="15.75" customHeight="1">
      <c r="A62" s="77"/>
      <c r="B62" s="77"/>
      <c r="C62" s="77"/>
      <c r="D62" s="77"/>
      <c r="E62" s="77"/>
      <c r="F62" s="77"/>
      <c r="G62" s="77"/>
      <c r="H62" s="77"/>
      <c r="I62" s="77"/>
      <c r="J62" s="77"/>
      <c r="K62" s="77"/>
      <c r="L62" s="77"/>
      <c r="M62" s="77"/>
      <c r="N62" s="77"/>
      <c r="O62" s="77"/>
    </row>
    <row r="63" ht="15.75" customHeight="1">
      <c r="A63" s="77"/>
      <c r="B63" s="77"/>
      <c r="C63" s="77"/>
      <c r="D63" s="77"/>
      <c r="E63" s="77"/>
      <c r="F63" s="77"/>
      <c r="G63" s="77"/>
      <c r="H63" s="77"/>
      <c r="I63" s="77"/>
      <c r="J63" s="77"/>
      <c r="K63" s="77"/>
      <c r="L63" s="77"/>
      <c r="M63" s="77"/>
      <c r="N63" s="77"/>
      <c r="O63" s="77"/>
    </row>
    <row r="64" ht="15.75" customHeight="1">
      <c r="A64" s="77"/>
      <c r="B64" s="77"/>
      <c r="C64" s="77"/>
      <c r="D64" s="77"/>
      <c r="E64" s="77"/>
      <c r="F64" s="77"/>
      <c r="G64" s="77"/>
      <c r="H64" s="77"/>
      <c r="I64" s="77"/>
      <c r="J64" s="77"/>
      <c r="K64" s="77"/>
      <c r="L64" s="77"/>
      <c r="M64" s="77"/>
      <c r="N64" s="77"/>
      <c r="O64" s="77"/>
    </row>
    <row r="65" ht="15.75" customHeight="1">
      <c r="A65" s="77"/>
      <c r="B65" s="77"/>
      <c r="C65" s="77"/>
      <c r="D65" s="77"/>
      <c r="E65" s="77"/>
      <c r="F65" s="77"/>
      <c r="G65" s="77"/>
      <c r="H65" s="77"/>
      <c r="I65" s="77"/>
      <c r="J65" s="77"/>
      <c r="K65" s="77"/>
      <c r="L65" s="77"/>
      <c r="M65" s="77"/>
      <c r="N65" s="77"/>
      <c r="O65" s="77"/>
    </row>
    <row r="66" ht="15.75" customHeight="1">
      <c r="A66" s="77"/>
      <c r="B66" s="77"/>
      <c r="C66" s="77"/>
      <c r="D66" s="77"/>
      <c r="E66" s="77"/>
      <c r="F66" s="77"/>
      <c r="G66" s="77"/>
      <c r="H66" s="77"/>
      <c r="I66" s="77"/>
      <c r="J66" s="77"/>
      <c r="K66" s="77"/>
      <c r="L66" s="77"/>
      <c r="M66" s="77"/>
      <c r="N66" s="77"/>
      <c r="O66" s="77"/>
    </row>
    <row r="67" ht="15.75" customHeight="1">
      <c r="A67" s="77"/>
      <c r="B67" s="77"/>
      <c r="C67" s="77"/>
      <c r="D67" s="77"/>
      <c r="E67" s="77"/>
      <c r="F67" s="77"/>
      <c r="G67" s="77"/>
      <c r="H67" s="77"/>
      <c r="I67" s="77"/>
      <c r="J67" s="77"/>
      <c r="K67" s="77"/>
      <c r="L67" s="77"/>
      <c r="M67" s="77"/>
      <c r="N67" s="77"/>
      <c r="O67" s="77"/>
    </row>
    <row r="68" ht="15.75" customHeight="1">
      <c r="A68" s="77"/>
      <c r="B68" s="77"/>
      <c r="C68" s="77"/>
      <c r="D68" s="77"/>
      <c r="E68" s="77"/>
      <c r="F68" s="77"/>
      <c r="G68" s="77"/>
      <c r="H68" s="77"/>
      <c r="I68" s="77"/>
      <c r="J68" s="77"/>
      <c r="K68" s="77"/>
      <c r="L68" s="77"/>
      <c r="M68" s="77"/>
      <c r="N68" s="77"/>
      <c r="O68" s="77"/>
    </row>
    <row r="69" ht="15.75" customHeight="1">
      <c r="A69" s="77"/>
      <c r="B69" s="77"/>
      <c r="C69" s="77"/>
      <c r="D69" s="77"/>
      <c r="E69" s="77"/>
      <c r="F69" s="77"/>
      <c r="G69" s="77"/>
      <c r="H69" s="77"/>
      <c r="I69" s="77"/>
      <c r="J69" s="77"/>
      <c r="K69" s="77"/>
      <c r="L69" s="77"/>
      <c r="M69" s="77"/>
      <c r="N69" s="77"/>
      <c r="O69" s="77"/>
    </row>
    <row r="70" ht="15.75" customHeight="1">
      <c r="A70" s="77"/>
      <c r="B70" s="77"/>
      <c r="C70" s="77"/>
      <c r="D70" s="77"/>
      <c r="E70" s="77"/>
      <c r="F70" s="77"/>
      <c r="G70" s="77"/>
      <c r="H70" s="77"/>
      <c r="I70" s="77"/>
      <c r="J70" s="77"/>
      <c r="K70" s="77"/>
      <c r="L70" s="77"/>
      <c r="M70" s="77"/>
      <c r="N70" s="77"/>
      <c r="O70" s="77"/>
    </row>
    <row r="71" ht="15.75" customHeight="1">
      <c r="A71" s="77"/>
      <c r="B71" s="77"/>
      <c r="C71" s="77"/>
      <c r="D71" s="77"/>
      <c r="E71" s="77"/>
      <c r="F71" s="77"/>
      <c r="G71" s="77"/>
      <c r="H71" s="77"/>
      <c r="I71" s="77"/>
      <c r="J71" s="77"/>
      <c r="K71" s="77"/>
      <c r="L71" s="77"/>
      <c r="M71" s="77"/>
      <c r="N71" s="77"/>
      <c r="O71" s="77"/>
    </row>
    <row r="72" ht="15.75" customHeight="1">
      <c r="A72" s="77"/>
      <c r="B72" s="77"/>
      <c r="C72" s="77"/>
      <c r="D72" s="77"/>
      <c r="E72" s="77"/>
      <c r="F72" s="77"/>
      <c r="G72" s="77"/>
      <c r="H72" s="77"/>
      <c r="I72" s="77"/>
      <c r="J72" s="77"/>
      <c r="K72" s="77"/>
      <c r="L72" s="77"/>
      <c r="M72" s="77"/>
      <c r="N72" s="77"/>
      <c r="O72" s="77"/>
    </row>
    <row r="73" ht="15.75" customHeight="1">
      <c r="A73" s="77"/>
      <c r="B73" s="77"/>
      <c r="C73" s="77"/>
      <c r="D73" s="77"/>
      <c r="E73" s="77"/>
      <c r="F73" s="77"/>
      <c r="G73" s="77"/>
      <c r="H73" s="77"/>
      <c r="I73" s="77"/>
      <c r="J73" s="77"/>
      <c r="K73" s="77"/>
      <c r="L73" s="77"/>
      <c r="M73" s="77"/>
      <c r="N73" s="77"/>
      <c r="O73" s="77"/>
    </row>
    <row r="74" ht="15.75" customHeight="1">
      <c r="A74" s="77"/>
      <c r="B74" s="77"/>
      <c r="C74" s="77"/>
      <c r="D74" s="77"/>
      <c r="E74" s="77"/>
      <c r="F74" s="77"/>
      <c r="G74" s="77"/>
      <c r="H74" s="77"/>
      <c r="I74" s="77"/>
      <c r="J74" s="77"/>
      <c r="K74" s="77"/>
      <c r="L74" s="77"/>
      <c r="M74" s="77"/>
      <c r="N74" s="77"/>
      <c r="O74" s="77"/>
    </row>
    <row r="75" ht="15.75" customHeight="1">
      <c r="A75" s="77"/>
      <c r="B75" s="77"/>
      <c r="C75" s="77"/>
      <c r="D75" s="77"/>
      <c r="E75" s="77"/>
      <c r="F75" s="77"/>
      <c r="G75" s="77"/>
      <c r="H75" s="77"/>
      <c r="I75" s="77"/>
      <c r="J75" s="77"/>
      <c r="K75" s="77"/>
      <c r="L75" s="77"/>
      <c r="M75" s="77"/>
      <c r="N75" s="77"/>
      <c r="O75" s="77"/>
    </row>
    <row r="76" ht="15.75" customHeight="1">
      <c r="A76" s="77"/>
      <c r="B76" s="77"/>
      <c r="C76" s="77"/>
      <c r="D76" s="77"/>
      <c r="E76" s="77"/>
      <c r="F76" s="77"/>
      <c r="G76" s="77"/>
      <c r="H76" s="77"/>
      <c r="I76" s="77"/>
      <c r="J76" s="77"/>
      <c r="K76" s="77"/>
      <c r="L76" s="77"/>
      <c r="M76" s="77"/>
      <c r="N76" s="77"/>
      <c r="O76" s="77"/>
    </row>
    <row r="77" ht="15.75" customHeight="1">
      <c r="A77" s="77"/>
      <c r="B77" s="77"/>
      <c r="C77" s="77"/>
      <c r="D77" s="77"/>
      <c r="E77" s="77"/>
      <c r="F77" s="77"/>
      <c r="G77" s="77"/>
      <c r="H77" s="77"/>
      <c r="I77" s="77"/>
      <c r="J77" s="77"/>
      <c r="K77" s="77"/>
      <c r="L77" s="77"/>
      <c r="M77" s="77"/>
      <c r="N77" s="77"/>
      <c r="O77" s="77"/>
    </row>
    <row r="78" ht="15.75" customHeight="1">
      <c r="A78" s="77"/>
      <c r="B78" s="77"/>
      <c r="C78" s="77"/>
      <c r="D78" s="77"/>
      <c r="E78" s="77"/>
      <c r="F78" s="77"/>
      <c r="G78" s="77"/>
      <c r="H78" s="77"/>
      <c r="I78" s="77"/>
      <c r="J78" s="77"/>
      <c r="K78" s="77"/>
      <c r="L78" s="77"/>
      <c r="M78" s="77"/>
      <c r="N78" s="77"/>
      <c r="O78" s="77"/>
    </row>
    <row r="79" ht="15.75" customHeight="1">
      <c r="A79" s="77"/>
      <c r="B79" s="77"/>
      <c r="C79" s="77"/>
      <c r="D79" s="77"/>
      <c r="E79" s="77"/>
      <c r="F79" s="77"/>
      <c r="G79" s="77"/>
      <c r="H79" s="77"/>
      <c r="I79" s="77"/>
      <c r="J79" s="77"/>
      <c r="K79" s="77"/>
      <c r="L79" s="77"/>
      <c r="M79" s="77"/>
      <c r="N79" s="77"/>
      <c r="O79" s="77"/>
    </row>
    <row r="80" ht="15.75" customHeight="1">
      <c r="A80" s="77"/>
      <c r="B80" s="77"/>
      <c r="C80" s="77"/>
      <c r="D80" s="77"/>
      <c r="E80" s="77"/>
      <c r="F80" s="77"/>
      <c r="G80" s="77"/>
      <c r="H80" s="77"/>
      <c r="I80" s="77"/>
      <c r="J80" s="77"/>
      <c r="K80" s="77"/>
      <c r="L80" s="77"/>
      <c r="M80" s="77"/>
      <c r="N80" s="77"/>
      <c r="O80" s="77"/>
    </row>
    <row r="81" ht="15.75" customHeight="1">
      <c r="A81" s="77"/>
      <c r="B81" s="77"/>
      <c r="C81" s="77"/>
      <c r="D81" s="77"/>
      <c r="E81" s="77"/>
      <c r="F81" s="77"/>
      <c r="G81" s="77"/>
      <c r="H81" s="77"/>
      <c r="I81" s="77"/>
      <c r="J81" s="77"/>
      <c r="K81" s="77"/>
      <c r="L81" s="77"/>
      <c r="M81" s="77"/>
      <c r="N81" s="77"/>
      <c r="O81" s="77"/>
    </row>
    <row r="82" ht="15.75" customHeight="1">
      <c r="A82" s="77"/>
      <c r="B82" s="77"/>
      <c r="C82" s="77"/>
      <c r="D82" s="77"/>
      <c r="E82" s="77"/>
      <c r="F82" s="77"/>
      <c r="G82" s="77"/>
      <c r="H82" s="77"/>
      <c r="I82" s="77"/>
      <c r="J82" s="77"/>
      <c r="K82" s="77"/>
      <c r="L82" s="77"/>
      <c r="M82" s="77"/>
      <c r="N82" s="77"/>
      <c r="O82" s="77"/>
    </row>
    <row r="83" ht="15.75" customHeight="1">
      <c r="A83" s="77"/>
      <c r="B83" s="77"/>
      <c r="C83" s="77"/>
      <c r="D83" s="77"/>
      <c r="E83" s="77"/>
      <c r="F83" s="77"/>
      <c r="G83" s="77"/>
      <c r="H83" s="77"/>
      <c r="I83" s="77"/>
      <c r="J83" s="77"/>
      <c r="K83" s="77"/>
      <c r="L83" s="77"/>
      <c r="M83" s="77"/>
      <c r="N83" s="77"/>
      <c r="O83" s="77"/>
    </row>
    <row r="84" ht="15.75" customHeight="1">
      <c r="A84" s="77"/>
      <c r="B84" s="77"/>
      <c r="C84" s="77"/>
      <c r="D84" s="77"/>
      <c r="E84" s="77"/>
      <c r="F84" s="77"/>
      <c r="G84" s="77"/>
      <c r="H84" s="77"/>
      <c r="I84" s="77"/>
      <c r="J84" s="77"/>
      <c r="K84" s="77"/>
      <c r="L84" s="77"/>
      <c r="M84" s="77"/>
      <c r="N84" s="77"/>
      <c r="O84" s="77"/>
    </row>
    <row r="85" ht="15.75" customHeight="1">
      <c r="A85" s="77"/>
      <c r="B85" s="77"/>
      <c r="C85" s="77"/>
      <c r="D85" s="77"/>
      <c r="E85" s="77"/>
      <c r="F85" s="77"/>
      <c r="G85" s="77"/>
      <c r="H85" s="77"/>
      <c r="I85" s="77"/>
      <c r="J85" s="77"/>
      <c r="K85" s="77"/>
      <c r="L85" s="77"/>
      <c r="M85" s="77"/>
      <c r="N85" s="77"/>
      <c r="O85" s="77"/>
    </row>
    <row r="86" ht="15.75" customHeight="1">
      <c r="A86" s="77"/>
      <c r="B86" s="77"/>
      <c r="C86" s="77"/>
      <c r="D86" s="77"/>
      <c r="E86" s="77"/>
      <c r="F86" s="77"/>
      <c r="G86" s="77"/>
      <c r="H86" s="77"/>
      <c r="I86" s="77"/>
      <c r="J86" s="77"/>
      <c r="K86" s="77"/>
      <c r="L86" s="77"/>
      <c r="M86" s="77"/>
      <c r="N86" s="77"/>
      <c r="O86" s="77"/>
    </row>
    <row r="87" ht="15.75" customHeight="1">
      <c r="A87" s="77"/>
      <c r="B87" s="77"/>
      <c r="C87" s="77"/>
      <c r="D87" s="77"/>
      <c r="E87" s="77"/>
      <c r="F87" s="77"/>
      <c r="G87" s="77"/>
      <c r="H87" s="77"/>
      <c r="I87" s="77"/>
      <c r="J87" s="77"/>
      <c r="K87" s="77"/>
      <c r="L87" s="77"/>
      <c r="M87" s="77"/>
      <c r="N87" s="77"/>
      <c r="O87" s="77"/>
    </row>
    <row r="88" ht="15.75" customHeight="1">
      <c r="A88" s="77"/>
      <c r="B88" s="77"/>
      <c r="C88" s="77"/>
      <c r="D88" s="77"/>
      <c r="E88" s="77"/>
      <c r="F88" s="77"/>
      <c r="G88" s="77"/>
      <c r="H88" s="77"/>
      <c r="I88" s="77"/>
      <c r="J88" s="77"/>
      <c r="K88" s="77"/>
      <c r="L88" s="77"/>
      <c r="M88" s="77"/>
      <c r="N88" s="77"/>
      <c r="O88" s="77"/>
    </row>
    <row r="89" ht="15.75" customHeight="1">
      <c r="A89" s="77"/>
      <c r="B89" s="77"/>
      <c r="C89" s="77"/>
      <c r="D89" s="77"/>
      <c r="E89" s="77"/>
      <c r="F89" s="77"/>
      <c r="G89" s="77"/>
      <c r="H89" s="77"/>
      <c r="I89" s="77"/>
      <c r="J89" s="77"/>
      <c r="K89" s="77"/>
      <c r="L89" s="77"/>
      <c r="M89" s="77"/>
      <c r="N89" s="77"/>
      <c r="O89" s="77"/>
    </row>
    <row r="90" ht="15.75" customHeight="1">
      <c r="A90" s="77"/>
      <c r="B90" s="77"/>
      <c r="C90" s="77"/>
      <c r="D90" s="77"/>
      <c r="E90" s="77"/>
      <c r="F90" s="77"/>
      <c r="G90" s="77"/>
      <c r="H90" s="77"/>
      <c r="I90" s="77"/>
      <c r="J90" s="77"/>
      <c r="K90" s="77"/>
      <c r="L90" s="77"/>
      <c r="M90" s="77"/>
      <c r="N90" s="77"/>
      <c r="O90" s="77"/>
    </row>
    <row r="91" ht="15.75" customHeight="1">
      <c r="A91" s="77"/>
      <c r="B91" s="77"/>
      <c r="C91" s="77"/>
      <c r="D91" s="77"/>
      <c r="E91" s="77"/>
      <c r="F91" s="77"/>
      <c r="G91" s="77"/>
      <c r="H91" s="77"/>
      <c r="I91" s="77"/>
      <c r="J91" s="77"/>
      <c r="K91" s="77"/>
      <c r="L91" s="77"/>
      <c r="M91" s="77"/>
      <c r="N91" s="77"/>
      <c r="O91" s="77"/>
    </row>
    <row r="92" ht="15.75" customHeight="1">
      <c r="A92" s="77"/>
      <c r="B92" s="77"/>
      <c r="C92" s="77"/>
      <c r="D92" s="77"/>
      <c r="E92" s="77"/>
      <c r="F92" s="77"/>
      <c r="G92" s="77"/>
      <c r="H92" s="77"/>
      <c r="I92" s="77"/>
      <c r="J92" s="77"/>
      <c r="K92" s="77"/>
      <c r="L92" s="77"/>
      <c r="M92" s="77"/>
      <c r="N92" s="77"/>
      <c r="O92" s="77"/>
    </row>
    <row r="93" ht="15.75" customHeight="1">
      <c r="A93" s="77"/>
      <c r="B93" s="77"/>
      <c r="C93" s="77"/>
      <c r="D93" s="77"/>
      <c r="E93" s="77"/>
      <c r="F93" s="77"/>
      <c r="G93" s="77"/>
      <c r="H93" s="77"/>
      <c r="I93" s="77"/>
      <c r="J93" s="77"/>
      <c r="K93" s="77"/>
      <c r="L93" s="77"/>
      <c r="M93" s="77"/>
      <c r="N93" s="77"/>
      <c r="O93" s="77"/>
    </row>
    <row r="94" ht="15.75" customHeight="1">
      <c r="A94" s="77"/>
      <c r="B94" s="77"/>
      <c r="C94" s="77"/>
      <c r="D94" s="77"/>
      <c r="E94" s="77"/>
      <c r="F94" s="77"/>
      <c r="G94" s="77"/>
      <c r="H94" s="77"/>
      <c r="I94" s="77"/>
      <c r="J94" s="77"/>
      <c r="K94" s="77"/>
      <c r="L94" s="77"/>
      <c r="M94" s="77"/>
      <c r="N94" s="77"/>
      <c r="O94" s="77"/>
    </row>
    <row r="95" ht="15.75" customHeight="1">
      <c r="A95" s="77"/>
      <c r="B95" s="77"/>
      <c r="C95" s="77"/>
      <c r="D95" s="77"/>
      <c r="E95" s="77"/>
      <c r="F95" s="77"/>
      <c r="G95" s="77"/>
      <c r="H95" s="77"/>
      <c r="I95" s="77"/>
      <c r="J95" s="77"/>
      <c r="K95" s="77"/>
      <c r="L95" s="77"/>
      <c r="M95" s="77"/>
      <c r="N95" s="77"/>
      <c r="O95" s="77"/>
    </row>
    <row r="96" ht="15.75" customHeight="1">
      <c r="A96" s="77"/>
      <c r="B96" s="77"/>
      <c r="C96" s="77"/>
      <c r="D96" s="77"/>
      <c r="E96" s="77"/>
      <c r="F96" s="77"/>
      <c r="G96" s="77"/>
      <c r="H96" s="77"/>
      <c r="I96" s="77"/>
      <c r="J96" s="77"/>
      <c r="K96" s="77"/>
      <c r="L96" s="77"/>
      <c r="M96" s="77"/>
      <c r="N96" s="77"/>
      <c r="O96" s="77"/>
    </row>
    <row r="97" ht="15.75" customHeight="1">
      <c r="A97" s="77"/>
      <c r="B97" s="77"/>
      <c r="C97" s="77"/>
      <c r="D97" s="77"/>
      <c r="E97" s="77"/>
      <c r="F97" s="77"/>
      <c r="G97" s="77"/>
      <c r="H97" s="77"/>
      <c r="I97" s="77"/>
      <c r="J97" s="77"/>
      <c r="K97" s="77"/>
      <c r="L97" s="77"/>
      <c r="M97" s="77"/>
      <c r="N97" s="77"/>
      <c r="O97" s="77"/>
    </row>
    <row r="98" ht="15.75" customHeight="1">
      <c r="A98" s="77"/>
      <c r="B98" s="77"/>
      <c r="C98" s="77"/>
      <c r="D98" s="77"/>
      <c r="E98" s="77"/>
      <c r="F98" s="77"/>
      <c r="G98" s="77"/>
      <c r="H98" s="77"/>
      <c r="I98" s="77"/>
      <c r="J98" s="77"/>
      <c r="K98" s="77"/>
      <c r="L98" s="77"/>
      <c r="M98" s="77"/>
      <c r="N98" s="77"/>
      <c r="O98" s="77"/>
    </row>
    <row r="99" ht="15.75" customHeight="1">
      <c r="A99" s="77"/>
      <c r="B99" s="77"/>
      <c r="C99" s="77"/>
      <c r="D99" s="77"/>
      <c r="E99" s="77"/>
      <c r="F99" s="77"/>
      <c r="G99" s="77"/>
      <c r="H99" s="77"/>
      <c r="I99" s="77"/>
      <c r="J99" s="77"/>
      <c r="K99" s="77"/>
      <c r="L99" s="77"/>
      <c r="M99" s="77"/>
      <c r="N99" s="77"/>
      <c r="O99" s="77"/>
    </row>
    <row r="100" ht="15.75" customHeight="1">
      <c r="A100" s="77"/>
      <c r="B100" s="77"/>
      <c r="C100" s="77"/>
      <c r="D100" s="77"/>
      <c r="E100" s="77"/>
      <c r="F100" s="77"/>
      <c r="G100" s="77"/>
      <c r="H100" s="77"/>
      <c r="I100" s="77"/>
      <c r="J100" s="77"/>
      <c r="K100" s="77"/>
      <c r="L100" s="77"/>
      <c r="M100" s="77"/>
      <c r="N100" s="77"/>
      <c r="O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38"/>
    <col customWidth="1" min="2" max="7" width="6.88"/>
    <col customWidth="1" min="8" max="26" width="11.25"/>
  </cols>
  <sheetData>
    <row r="1" ht="37.5" customHeight="1">
      <c r="A1" s="33" t="s">
        <v>72</v>
      </c>
      <c r="B1" s="35">
        <f>'Input sheet'!B1</f>
        <v>0.0</v>
      </c>
      <c r="C1" s="33" t="s">
        <v>57</v>
      </c>
      <c r="D1" s="37">
        <f>'Input sheet'!D1</f>
        <v>39.4</v>
      </c>
      <c r="E1" s="7"/>
      <c r="F1" s="7"/>
      <c r="G1" s="7"/>
      <c r="H1" s="77"/>
      <c r="I1" s="77"/>
      <c r="J1" s="77"/>
      <c r="K1" s="77"/>
    </row>
    <row r="2" ht="30.0" customHeight="1">
      <c r="A2" s="491" t="s">
        <v>658</v>
      </c>
      <c r="B2" s="9"/>
      <c r="C2" s="9"/>
      <c r="D2" s="9"/>
      <c r="E2" s="9"/>
      <c r="F2" s="9"/>
      <c r="G2" s="9"/>
      <c r="H2" s="77"/>
      <c r="I2" s="77"/>
      <c r="J2" s="77"/>
      <c r="K2" s="77"/>
    </row>
    <row r="3" ht="14.25" customHeight="1">
      <c r="A3" s="9"/>
      <c r="B3" s="9"/>
      <c r="C3" s="9"/>
      <c r="D3" s="9"/>
      <c r="E3" s="9"/>
      <c r="F3" s="9"/>
      <c r="G3" s="9"/>
      <c r="H3" s="77"/>
      <c r="I3" s="77"/>
      <c r="J3" s="77"/>
      <c r="K3" s="77"/>
    </row>
    <row r="4" ht="37.5" customHeight="1">
      <c r="A4" s="491" t="s">
        <v>660</v>
      </c>
      <c r="B4" s="9"/>
      <c r="C4" s="9"/>
      <c r="D4" s="9"/>
      <c r="E4" s="9"/>
      <c r="F4" s="9"/>
      <c r="G4" s="9"/>
      <c r="H4" s="77"/>
      <c r="I4" s="77"/>
      <c r="J4" s="77"/>
      <c r="K4" s="77"/>
    </row>
    <row r="5" ht="14.25" customHeight="1">
      <c r="A5" s="9"/>
      <c r="B5" s="9"/>
      <c r="C5" s="9"/>
      <c r="D5" s="9"/>
      <c r="E5" s="9"/>
      <c r="F5" s="9"/>
      <c r="G5" s="9"/>
      <c r="H5" s="77"/>
      <c r="I5" s="77"/>
      <c r="J5" s="77"/>
      <c r="K5" s="77"/>
    </row>
    <row r="6" ht="14.25" customHeight="1">
      <c r="A6" s="491" t="s">
        <v>661</v>
      </c>
      <c r="B6" s="9"/>
      <c r="C6" s="9"/>
      <c r="D6" s="9"/>
      <c r="E6" s="9"/>
      <c r="F6" s="9"/>
      <c r="G6" s="9"/>
      <c r="H6" s="77"/>
      <c r="I6" s="77"/>
      <c r="J6" s="77"/>
      <c r="K6" s="77"/>
    </row>
    <row r="7" ht="14.25" customHeight="1">
      <c r="A7" s="491"/>
      <c r="B7" s="9"/>
      <c r="C7" s="9"/>
      <c r="D7" s="9"/>
      <c r="E7" s="9"/>
      <c r="F7" s="9"/>
      <c r="G7" s="9"/>
      <c r="H7" s="77"/>
      <c r="I7" s="77"/>
      <c r="J7" s="77"/>
      <c r="K7" s="77"/>
    </row>
    <row r="8" ht="14.25" customHeight="1">
      <c r="A8" s="8" t="s">
        <v>663</v>
      </c>
      <c r="B8" s="9"/>
      <c r="C8" s="9"/>
      <c r="D8" s="9"/>
      <c r="E8" s="9"/>
      <c r="F8" s="9"/>
      <c r="G8" s="9"/>
      <c r="H8" s="77"/>
      <c r="I8" s="77"/>
      <c r="J8" s="77"/>
      <c r="K8" s="77"/>
    </row>
    <row r="9" ht="14.25" customHeight="1">
      <c r="A9" s="9"/>
      <c r="B9" s="9"/>
      <c r="C9" s="9"/>
      <c r="D9" s="9"/>
      <c r="E9" s="9"/>
      <c r="F9" s="9"/>
      <c r="G9" s="9"/>
      <c r="H9" s="77"/>
      <c r="I9" s="77"/>
      <c r="J9" s="77"/>
      <c r="K9" s="77"/>
    </row>
    <row r="10" ht="14.25" customHeight="1">
      <c r="A10" s="8" t="s">
        <v>664</v>
      </c>
      <c r="B10" s="9"/>
      <c r="C10" s="9"/>
      <c r="D10" s="9"/>
      <c r="E10" s="9"/>
      <c r="F10" s="9"/>
      <c r="G10" s="9"/>
      <c r="H10" s="77"/>
      <c r="I10" s="77"/>
      <c r="J10" s="77"/>
      <c r="K10" s="77"/>
    </row>
    <row r="11" ht="14.25" customHeight="1">
      <c r="A11" s="9"/>
      <c r="B11" s="9"/>
      <c r="C11" s="9"/>
      <c r="D11" s="9"/>
      <c r="E11" s="9"/>
      <c r="F11" s="9"/>
      <c r="G11" s="9"/>
      <c r="H11" s="77"/>
      <c r="I11" s="77"/>
      <c r="J11" s="77"/>
      <c r="K11" s="77"/>
    </row>
    <row r="12" ht="14.25" customHeight="1">
      <c r="A12" s="8" t="s">
        <v>665</v>
      </c>
      <c r="B12" s="9"/>
      <c r="C12" s="9"/>
      <c r="D12" s="9"/>
      <c r="E12" s="9"/>
      <c r="F12" s="9"/>
      <c r="G12" s="9"/>
      <c r="H12" s="77"/>
      <c r="I12" s="77"/>
      <c r="J12" s="77"/>
      <c r="K12" s="77"/>
    </row>
    <row r="13" ht="14.25" customHeight="1">
      <c r="A13" s="9"/>
      <c r="B13" s="9"/>
      <c r="C13" s="9"/>
      <c r="D13" s="9"/>
      <c r="E13" s="9"/>
      <c r="F13" s="9"/>
      <c r="G13" s="9"/>
      <c r="H13" s="77"/>
      <c r="I13" s="77"/>
      <c r="J13" s="77"/>
      <c r="K13" s="77"/>
    </row>
    <row r="14" ht="14.25" customHeight="1">
      <c r="A14" s="9"/>
      <c r="B14" s="9"/>
      <c r="C14" s="9"/>
      <c r="D14" s="9"/>
      <c r="E14" s="9"/>
      <c r="F14" s="9"/>
      <c r="G14" s="9"/>
      <c r="H14" s="77"/>
      <c r="I14" s="77"/>
      <c r="J14" s="77"/>
      <c r="K14" s="77"/>
    </row>
    <row r="15" ht="14.25" customHeight="1">
      <c r="A15" s="9"/>
      <c r="B15" s="9"/>
      <c r="C15" s="9"/>
      <c r="D15" s="9"/>
      <c r="E15" s="9"/>
      <c r="F15" s="9"/>
      <c r="G15" s="9"/>
      <c r="H15" s="77"/>
      <c r="I15" s="77"/>
      <c r="J15" s="77"/>
      <c r="K15" s="77"/>
    </row>
    <row r="16" ht="14.25" customHeight="1">
      <c r="A16" s="9"/>
      <c r="B16" s="9"/>
      <c r="C16" s="9"/>
      <c r="D16" s="9"/>
      <c r="E16" s="9"/>
      <c r="F16" s="9"/>
      <c r="G16" s="9"/>
      <c r="H16" s="77"/>
      <c r="I16" s="77"/>
      <c r="J16" s="77"/>
      <c r="K16" s="77"/>
    </row>
    <row r="17" ht="14.25" customHeight="1">
      <c r="A17" s="9"/>
      <c r="B17" s="9"/>
      <c r="C17" s="9"/>
      <c r="D17" s="9"/>
      <c r="E17" s="9"/>
      <c r="F17" s="9"/>
      <c r="G17" s="9"/>
      <c r="H17" s="77"/>
      <c r="I17" s="77"/>
      <c r="J17" s="77"/>
      <c r="K17" s="77"/>
    </row>
    <row r="18" ht="14.25" customHeight="1">
      <c r="A18" s="9"/>
      <c r="B18" s="9"/>
      <c r="C18" s="9"/>
      <c r="D18" s="9"/>
      <c r="E18" s="9"/>
      <c r="F18" s="9"/>
      <c r="G18" s="9"/>
      <c r="H18" s="77"/>
      <c r="I18" s="77"/>
      <c r="J18" s="77"/>
      <c r="K18" s="77"/>
    </row>
    <row r="19" ht="14.25" customHeight="1">
      <c r="A19" s="9"/>
      <c r="B19" s="9"/>
      <c r="C19" s="9"/>
      <c r="D19" s="9"/>
      <c r="E19" s="9"/>
      <c r="F19" s="9"/>
      <c r="G19" s="9"/>
      <c r="H19" s="77"/>
      <c r="I19" s="77"/>
      <c r="J19" s="77"/>
      <c r="K19" s="77"/>
    </row>
    <row r="20" ht="14.25" customHeight="1">
      <c r="A20" s="9"/>
      <c r="B20" s="9"/>
      <c r="C20" s="9"/>
      <c r="D20" s="9"/>
      <c r="E20" s="9"/>
      <c r="F20" s="9"/>
      <c r="G20" s="9"/>
      <c r="H20" s="77"/>
      <c r="I20" s="77"/>
      <c r="J20" s="77"/>
      <c r="K20" s="77"/>
    </row>
    <row r="21" ht="14.25" customHeight="1">
      <c r="A21" s="9"/>
      <c r="B21" s="9"/>
      <c r="C21" s="9"/>
      <c r="D21" s="9"/>
      <c r="E21" s="9"/>
      <c r="F21" s="9"/>
      <c r="G21" s="9"/>
      <c r="H21" s="77"/>
      <c r="I21" s="77"/>
      <c r="J21" s="77"/>
      <c r="K21" s="77"/>
    </row>
    <row r="22" ht="14.25" customHeight="1">
      <c r="A22" s="9"/>
      <c r="B22" s="9"/>
      <c r="C22" s="9"/>
      <c r="D22" s="9"/>
      <c r="E22" s="9"/>
      <c r="F22" s="9"/>
      <c r="G22" s="9"/>
      <c r="H22" s="77"/>
      <c r="I22" s="77"/>
      <c r="J22" s="77"/>
      <c r="K22" s="77"/>
    </row>
    <row r="23" ht="14.25" customHeight="1">
      <c r="A23" s="9"/>
      <c r="B23" s="9"/>
      <c r="C23" s="9"/>
      <c r="D23" s="9"/>
      <c r="E23" s="9"/>
      <c r="F23" s="9"/>
      <c r="G23" s="9"/>
      <c r="H23" s="77"/>
      <c r="I23" s="77"/>
      <c r="J23" s="77"/>
      <c r="K23" s="77"/>
    </row>
    <row r="24" ht="14.25" customHeight="1">
      <c r="A24" s="9"/>
      <c r="B24" s="9"/>
      <c r="C24" s="9"/>
      <c r="D24" s="9"/>
      <c r="E24" s="9"/>
      <c r="F24" s="9"/>
      <c r="G24" s="9"/>
      <c r="H24" s="77"/>
      <c r="I24" s="77"/>
      <c r="J24" s="77"/>
      <c r="K24" s="77"/>
    </row>
    <row r="25" ht="14.25" customHeight="1">
      <c r="A25" s="9"/>
      <c r="B25" s="9"/>
      <c r="C25" s="9"/>
      <c r="D25" s="9"/>
      <c r="E25" s="9"/>
      <c r="F25" s="9"/>
      <c r="G25" s="9"/>
      <c r="H25" s="77"/>
      <c r="I25" s="77"/>
      <c r="J25" s="77"/>
      <c r="K25" s="77"/>
    </row>
    <row r="26" ht="14.25" customHeight="1">
      <c r="A26" s="9"/>
      <c r="B26" s="9"/>
      <c r="C26" s="9"/>
      <c r="D26" s="9"/>
      <c r="E26" s="9"/>
      <c r="F26" s="9"/>
      <c r="G26" s="9"/>
      <c r="H26" s="77"/>
      <c r="I26" s="77"/>
      <c r="J26" s="77"/>
      <c r="K26" s="77"/>
    </row>
    <row r="27" ht="14.25" customHeight="1">
      <c r="A27" s="9"/>
      <c r="B27" s="9"/>
      <c r="C27" s="9"/>
      <c r="D27" s="9"/>
      <c r="E27" s="9"/>
      <c r="F27" s="9"/>
      <c r="G27" s="9"/>
      <c r="H27" s="77"/>
      <c r="I27" s="77"/>
      <c r="J27" s="77"/>
      <c r="K27" s="77"/>
    </row>
    <row r="28" ht="15.75" customHeight="1">
      <c r="A28" s="77"/>
      <c r="B28" s="77"/>
      <c r="C28" s="77"/>
      <c r="D28" s="77"/>
      <c r="E28" s="77"/>
      <c r="F28" s="77"/>
      <c r="G28" s="77"/>
      <c r="H28" s="77"/>
      <c r="I28" s="77"/>
      <c r="J28" s="77"/>
      <c r="K28" s="77"/>
    </row>
    <row r="29" ht="15.75" customHeight="1">
      <c r="A29" s="77"/>
      <c r="B29" s="77"/>
      <c r="C29" s="77"/>
      <c r="D29" s="77"/>
      <c r="E29" s="77"/>
      <c r="F29" s="77"/>
      <c r="G29" s="77"/>
      <c r="H29" s="77"/>
      <c r="I29" s="77"/>
      <c r="J29" s="77"/>
      <c r="K29" s="77"/>
    </row>
    <row r="30" ht="15.75" customHeight="1">
      <c r="A30" s="77"/>
      <c r="B30" s="77"/>
      <c r="C30" s="77"/>
      <c r="D30" s="77"/>
      <c r="E30" s="77"/>
      <c r="F30" s="77"/>
      <c r="G30" s="77"/>
      <c r="H30" s="77"/>
      <c r="I30" s="77"/>
      <c r="J30" s="77"/>
      <c r="K30" s="77"/>
    </row>
    <row r="31" ht="15.75" customHeight="1">
      <c r="A31" s="77"/>
      <c r="B31" s="77"/>
      <c r="C31" s="77"/>
      <c r="D31" s="77"/>
      <c r="E31" s="77"/>
      <c r="F31" s="77"/>
      <c r="G31" s="77"/>
      <c r="H31" s="77"/>
      <c r="I31" s="77"/>
      <c r="J31" s="77"/>
      <c r="K31" s="77"/>
    </row>
    <row r="32" ht="15.75" customHeight="1">
      <c r="A32" s="77"/>
      <c r="B32" s="77"/>
      <c r="C32" s="77"/>
      <c r="D32" s="77"/>
      <c r="E32" s="77"/>
      <c r="F32" s="77"/>
      <c r="G32" s="77"/>
      <c r="H32" s="77"/>
      <c r="I32" s="77"/>
      <c r="J32" s="77"/>
      <c r="K32" s="77"/>
    </row>
    <row r="33" ht="15.75" customHeight="1">
      <c r="A33" s="77"/>
      <c r="B33" s="77"/>
      <c r="C33" s="77"/>
      <c r="D33" s="77"/>
      <c r="E33" s="77"/>
      <c r="F33" s="77"/>
      <c r="G33" s="77"/>
      <c r="H33" s="77"/>
      <c r="I33" s="77"/>
      <c r="J33" s="77"/>
      <c r="K33" s="77"/>
    </row>
    <row r="34" ht="15.75" customHeight="1">
      <c r="A34" s="77"/>
      <c r="B34" s="77"/>
      <c r="C34" s="77"/>
      <c r="D34" s="77"/>
      <c r="E34" s="77"/>
      <c r="F34" s="77"/>
      <c r="G34" s="77"/>
      <c r="H34" s="77"/>
      <c r="I34" s="77"/>
      <c r="J34" s="77"/>
      <c r="K34" s="77"/>
    </row>
    <row r="35" ht="15.75" customHeight="1">
      <c r="A35" s="77"/>
      <c r="B35" s="77"/>
      <c r="C35" s="77"/>
      <c r="D35" s="77"/>
      <c r="E35" s="77"/>
      <c r="F35" s="77"/>
      <c r="G35" s="77"/>
      <c r="H35" s="77"/>
      <c r="I35" s="77"/>
      <c r="J35" s="77"/>
      <c r="K35" s="77"/>
    </row>
    <row r="36" ht="15.75" customHeight="1">
      <c r="A36" s="77"/>
      <c r="B36" s="77"/>
      <c r="C36" s="77"/>
      <c r="D36" s="77"/>
      <c r="E36" s="77"/>
      <c r="F36" s="77"/>
      <c r="G36" s="77"/>
      <c r="H36" s="77"/>
      <c r="I36" s="77"/>
      <c r="J36" s="77"/>
      <c r="K36" s="77"/>
    </row>
    <row r="37" ht="15.75" customHeight="1">
      <c r="A37" s="77"/>
      <c r="B37" s="77"/>
      <c r="C37" s="77"/>
      <c r="D37" s="77"/>
      <c r="E37" s="77"/>
      <c r="F37" s="77"/>
      <c r="G37" s="77"/>
      <c r="H37" s="77"/>
      <c r="I37" s="77"/>
      <c r="J37" s="77"/>
      <c r="K37" s="77"/>
    </row>
    <row r="38" ht="15.75" customHeight="1">
      <c r="A38" s="77"/>
      <c r="B38" s="77"/>
      <c r="C38" s="77"/>
      <c r="D38" s="77"/>
      <c r="E38" s="77"/>
      <c r="F38" s="77"/>
      <c r="G38" s="77"/>
      <c r="H38" s="77"/>
      <c r="I38" s="77"/>
      <c r="J38" s="77"/>
      <c r="K38" s="77"/>
    </row>
    <row r="39" ht="15.75" customHeight="1">
      <c r="A39" s="77"/>
      <c r="B39" s="77"/>
      <c r="C39" s="77"/>
      <c r="D39" s="77"/>
      <c r="E39" s="77"/>
      <c r="F39" s="77"/>
      <c r="G39" s="77"/>
      <c r="H39" s="77"/>
      <c r="I39" s="77"/>
      <c r="J39" s="77"/>
      <c r="K39" s="77"/>
    </row>
    <row r="40" ht="15.75" customHeight="1">
      <c r="A40" s="77"/>
      <c r="B40" s="77"/>
      <c r="C40" s="77"/>
      <c r="D40" s="77"/>
      <c r="E40" s="77"/>
      <c r="F40" s="77"/>
      <c r="G40" s="77"/>
      <c r="H40" s="77"/>
      <c r="I40" s="77"/>
      <c r="J40" s="77"/>
      <c r="K40" s="77"/>
    </row>
    <row r="41" ht="15.75" customHeight="1">
      <c r="A41" s="77"/>
      <c r="B41" s="77"/>
      <c r="C41" s="77"/>
      <c r="D41" s="77"/>
      <c r="E41" s="77"/>
      <c r="F41" s="77"/>
      <c r="G41" s="77"/>
      <c r="H41" s="77"/>
      <c r="I41" s="77"/>
      <c r="J41" s="77"/>
      <c r="K41" s="77"/>
    </row>
    <row r="42" ht="15.75" customHeight="1">
      <c r="A42" s="77"/>
      <c r="B42" s="77"/>
      <c r="C42" s="77"/>
      <c r="D42" s="77"/>
      <c r="E42" s="77"/>
      <c r="F42" s="77"/>
      <c r="G42" s="77"/>
      <c r="H42" s="77"/>
      <c r="I42" s="77"/>
      <c r="J42" s="77"/>
      <c r="K42" s="77"/>
    </row>
    <row r="43" ht="15.75" customHeight="1">
      <c r="A43" s="77"/>
      <c r="B43" s="77"/>
      <c r="C43" s="77"/>
      <c r="D43" s="77"/>
      <c r="E43" s="77"/>
      <c r="F43" s="77"/>
      <c r="G43" s="77"/>
      <c r="H43" s="77"/>
      <c r="I43" s="77"/>
      <c r="J43" s="77"/>
      <c r="K43" s="77"/>
    </row>
    <row r="44" ht="15.75" customHeight="1">
      <c r="A44" s="77"/>
      <c r="B44" s="77"/>
      <c r="C44" s="77"/>
      <c r="D44" s="77"/>
      <c r="E44" s="77"/>
      <c r="F44" s="77"/>
      <c r="G44" s="77"/>
      <c r="H44" s="77"/>
      <c r="I44" s="77"/>
      <c r="J44" s="77"/>
      <c r="K44" s="77"/>
    </row>
    <row r="45" ht="15.75" customHeight="1">
      <c r="A45" s="77"/>
      <c r="B45" s="77"/>
      <c r="C45" s="77"/>
      <c r="D45" s="77"/>
      <c r="E45" s="77"/>
      <c r="F45" s="77"/>
      <c r="G45" s="77"/>
      <c r="H45" s="77"/>
      <c r="I45" s="77"/>
      <c r="J45" s="77"/>
      <c r="K45" s="77"/>
    </row>
    <row r="46" ht="15.75" customHeight="1">
      <c r="A46" s="77"/>
      <c r="B46" s="77"/>
      <c r="C46" s="77"/>
      <c r="D46" s="77"/>
      <c r="E46" s="77"/>
      <c r="F46" s="77"/>
      <c r="G46" s="77"/>
      <c r="H46" s="77"/>
      <c r="I46" s="77"/>
      <c r="J46" s="77"/>
      <c r="K46" s="77"/>
    </row>
    <row r="47" ht="15.75" customHeight="1">
      <c r="A47" s="77"/>
      <c r="B47" s="77"/>
      <c r="C47" s="77"/>
      <c r="D47" s="77"/>
      <c r="E47" s="77"/>
      <c r="F47" s="77"/>
      <c r="G47" s="77"/>
      <c r="H47" s="77"/>
      <c r="I47" s="77"/>
      <c r="J47" s="77"/>
      <c r="K47" s="77"/>
    </row>
    <row r="48" ht="15.75" customHeight="1">
      <c r="A48" s="77"/>
      <c r="B48" s="77"/>
      <c r="C48" s="77"/>
      <c r="D48" s="77"/>
      <c r="E48" s="77"/>
      <c r="F48" s="77"/>
      <c r="G48" s="77"/>
      <c r="H48" s="77"/>
      <c r="I48" s="77"/>
      <c r="J48" s="77"/>
      <c r="K48" s="77"/>
    </row>
    <row r="49" ht="15.75" customHeight="1">
      <c r="A49" s="77"/>
      <c r="B49" s="77"/>
      <c r="C49" s="77"/>
      <c r="D49" s="77"/>
      <c r="E49" s="77"/>
      <c r="F49" s="77"/>
      <c r="G49" s="77"/>
      <c r="H49" s="77"/>
      <c r="I49" s="77"/>
      <c r="J49" s="77"/>
      <c r="K49" s="77"/>
    </row>
    <row r="50" ht="15.75" customHeight="1">
      <c r="A50" s="77"/>
      <c r="B50" s="77"/>
      <c r="C50" s="77"/>
      <c r="D50" s="77"/>
      <c r="E50" s="77"/>
      <c r="F50" s="77"/>
      <c r="G50" s="77"/>
      <c r="H50" s="77"/>
      <c r="I50" s="77"/>
      <c r="J50" s="77"/>
      <c r="K50" s="77"/>
    </row>
    <row r="51" ht="15.75" customHeight="1">
      <c r="A51" s="77"/>
      <c r="B51" s="77"/>
      <c r="C51" s="77"/>
      <c r="D51" s="77"/>
      <c r="E51" s="77"/>
      <c r="F51" s="77"/>
      <c r="G51" s="77"/>
      <c r="H51" s="77"/>
      <c r="I51" s="77"/>
      <c r="J51" s="77"/>
      <c r="K51" s="77"/>
    </row>
    <row r="52" ht="15.75" customHeight="1">
      <c r="A52" s="77"/>
      <c r="B52" s="77"/>
      <c r="C52" s="77"/>
      <c r="D52" s="77"/>
      <c r="E52" s="77"/>
      <c r="F52" s="77"/>
      <c r="G52" s="77"/>
      <c r="H52" s="77"/>
      <c r="I52" s="77"/>
      <c r="J52" s="77"/>
      <c r="K52" s="77"/>
    </row>
    <row r="53" ht="15.75" customHeight="1">
      <c r="A53" s="77"/>
      <c r="B53" s="77"/>
      <c r="C53" s="77"/>
      <c r="D53" s="77"/>
      <c r="E53" s="77"/>
      <c r="F53" s="77"/>
      <c r="G53" s="77"/>
      <c r="H53" s="77"/>
      <c r="I53" s="77"/>
      <c r="J53" s="77"/>
      <c r="K53" s="77"/>
    </row>
    <row r="54" ht="15.75" customHeight="1">
      <c r="A54" s="77"/>
      <c r="B54" s="77"/>
      <c r="C54" s="77"/>
      <c r="D54" s="77"/>
      <c r="E54" s="77"/>
      <c r="F54" s="77"/>
      <c r="G54" s="77"/>
      <c r="H54" s="77"/>
      <c r="I54" s="77"/>
      <c r="J54" s="77"/>
      <c r="K54" s="77"/>
    </row>
    <row r="55" ht="15.75" customHeight="1">
      <c r="A55" s="77"/>
      <c r="B55" s="77"/>
      <c r="C55" s="77"/>
      <c r="D55" s="77"/>
      <c r="E55" s="77"/>
      <c r="F55" s="77"/>
      <c r="G55" s="77"/>
      <c r="H55" s="77"/>
      <c r="I55" s="77"/>
      <c r="J55" s="77"/>
      <c r="K55" s="77"/>
    </row>
    <row r="56" ht="15.75" customHeight="1">
      <c r="A56" s="77"/>
      <c r="B56" s="77"/>
      <c r="C56" s="77"/>
      <c r="D56" s="77"/>
      <c r="E56" s="77"/>
      <c r="F56" s="77"/>
      <c r="G56" s="77"/>
      <c r="H56" s="77"/>
      <c r="I56" s="77"/>
      <c r="J56" s="77"/>
      <c r="K56" s="77"/>
    </row>
    <row r="57" ht="15.75" customHeight="1">
      <c r="A57" s="77"/>
      <c r="B57" s="77"/>
      <c r="C57" s="77"/>
      <c r="D57" s="77"/>
      <c r="E57" s="77"/>
      <c r="F57" s="77"/>
      <c r="G57" s="77"/>
      <c r="H57" s="77"/>
      <c r="I57" s="77"/>
      <c r="J57" s="77"/>
      <c r="K57" s="77"/>
    </row>
    <row r="58" ht="15.75" customHeight="1">
      <c r="A58" s="77"/>
      <c r="B58" s="77"/>
      <c r="C58" s="77"/>
      <c r="D58" s="77"/>
      <c r="E58" s="77"/>
      <c r="F58" s="77"/>
      <c r="G58" s="77"/>
      <c r="H58" s="77"/>
      <c r="I58" s="77"/>
      <c r="J58" s="77"/>
      <c r="K58" s="77"/>
    </row>
    <row r="59" ht="15.75" customHeight="1">
      <c r="A59" s="77"/>
      <c r="B59" s="77"/>
      <c r="C59" s="77"/>
      <c r="D59" s="77"/>
      <c r="E59" s="77"/>
      <c r="F59" s="77"/>
      <c r="G59" s="77"/>
      <c r="H59" s="77"/>
      <c r="I59" s="77"/>
      <c r="J59" s="77"/>
      <c r="K59" s="77"/>
    </row>
    <row r="60" ht="15.75" customHeight="1">
      <c r="A60" s="77"/>
      <c r="B60" s="77"/>
      <c r="C60" s="77"/>
      <c r="D60" s="77"/>
      <c r="E60" s="77"/>
      <c r="F60" s="77"/>
      <c r="G60" s="77"/>
      <c r="H60" s="77"/>
      <c r="I60" s="77"/>
      <c r="J60" s="77"/>
      <c r="K60" s="77"/>
    </row>
    <row r="61" ht="15.75" customHeight="1">
      <c r="A61" s="77"/>
      <c r="B61" s="77"/>
      <c r="C61" s="77"/>
      <c r="D61" s="77"/>
      <c r="E61" s="77"/>
      <c r="F61" s="77"/>
      <c r="G61" s="77"/>
      <c r="H61" s="77"/>
      <c r="I61" s="77"/>
      <c r="J61" s="77"/>
      <c r="K61" s="77"/>
    </row>
    <row r="62" ht="15.75" customHeight="1">
      <c r="A62" s="77"/>
      <c r="B62" s="77"/>
      <c r="C62" s="77"/>
      <c r="D62" s="77"/>
      <c r="E62" s="77"/>
      <c r="F62" s="77"/>
      <c r="G62" s="77"/>
      <c r="H62" s="77"/>
      <c r="I62" s="77"/>
      <c r="J62" s="77"/>
      <c r="K62" s="77"/>
    </row>
    <row r="63" ht="15.75" customHeight="1">
      <c r="A63" s="77"/>
      <c r="B63" s="77"/>
      <c r="C63" s="77"/>
      <c r="D63" s="77"/>
      <c r="E63" s="77"/>
      <c r="F63" s="77"/>
      <c r="G63" s="77"/>
      <c r="H63" s="77"/>
      <c r="I63" s="77"/>
      <c r="J63" s="77"/>
      <c r="K63" s="77"/>
    </row>
    <row r="64" ht="15.75" customHeight="1">
      <c r="A64" s="77"/>
      <c r="B64" s="77"/>
      <c r="C64" s="77"/>
      <c r="D64" s="77"/>
      <c r="E64" s="77"/>
      <c r="F64" s="77"/>
      <c r="G64" s="77"/>
      <c r="H64" s="77"/>
      <c r="I64" s="77"/>
      <c r="J64" s="77"/>
      <c r="K64" s="77"/>
    </row>
    <row r="65" ht="15.75" customHeight="1">
      <c r="A65" s="77"/>
      <c r="B65" s="77"/>
      <c r="C65" s="77"/>
      <c r="D65" s="77"/>
      <c r="E65" s="77"/>
      <c r="F65" s="77"/>
      <c r="G65" s="77"/>
      <c r="H65" s="77"/>
      <c r="I65" s="77"/>
      <c r="J65" s="77"/>
      <c r="K65" s="77"/>
    </row>
    <row r="66" ht="15.75" customHeight="1">
      <c r="A66" s="77"/>
      <c r="B66" s="77"/>
      <c r="C66" s="77"/>
      <c r="D66" s="77"/>
      <c r="E66" s="77"/>
      <c r="F66" s="77"/>
      <c r="G66" s="77"/>
      <c r="H66" s="77"/>
      <c r="I66" s="77"/>
      <c r="J66" s="77"/>
      <c r="K66" s="77"/>
    </row>
    <row r="67" ht="15.75" customHeight="1">
      <c r="A67" s="77"/>
      <c r="B67" s="77"/>
      <c r="C67" s="77"/>
      <c r="D67" s="77"/>
      <c r="E67" s="77"/>
      <c r="F67" s="77"/>
      <c r="G67" s="77"/>
      <c r="H67" s="77"/>
      <c r="I67" s="77"/>
      <c r="J67" s="77"/>
      <c r="K67" s="77"/>
    </row>
    <row r="68" ht="15.75" customHeight="1">
      <c r="A68" s="77"/>
      <c r="B68" s="77"/>
      <c r="C68" s="77"/>
      <c r="D68" s="77"/>
      <c r="E68" s="77"/>
      <c r="F68" s="77"/>
      <c r="G68" s="77"/>
      <c r="H68" s="77"/>
      <c r="I68" s="77"/>
      <c r="J68" s="77"/>
      <c r="K68" s="77"/>
    </row>
    <row r="69" ht="15.75" customHeight="1">
      <c r="A69" s="77"/>
      <c r="B69" s="77"/>
      <c r="C69" s="77"/>
      <c r="D69" s="77"/>
      <c r="E69" s="77"/>
      <c r="F69" s="77"/>
      <c r="G69" s="77"/>
      <c r="H69" s="77"/>
      <c r="I69" s="77"/>
      <c r="J69" s="77"/>
      <c r="K69" s="77"/>
    </row>
    <row r="70" ht="15.75" customHeight="1">
      <c r="A70" s="77"/>
      <c r="B70" s="77"/>
      <c r="C70" s="77"/>
      <c r="D70" s="77"/>
      <c r="E70" s="77"/>
      <c r="F70" s="77"/>
      <c r="G70" s="77"/>
      <c r="H70" s="77"/>
      <c r="I70" s="77"/>
      <c r="J70" s="77"/>
      <c r="K70" s="77"/>
    </row>
    <row r="71" ht="15.75" customHeight="1">
      <c r="A71" s="77"/>
      <c r="B71" s="77"/>
      <c r="C71" s="77"/>
      <c r="D71" s="77"/>
      <c r="E71" s="77"/>
      <c r="F71" s="77"/>
      <c r="G71" s="77"/>
      <c r="H71" s="77"/>
      <c r="I71" s="77"/>
      <c r="J71" s="77"/>
      <c r="K71" s="77"/>
    </row>
    <row r="72" ht="15.75" customHeight="1">
      <c r="A72" s="77"/>
      <c r="B72" s="77"/>
      <c r="C72" s="77"/>
      <c r="D72" s="77"/>
      <c r="E72" s="77"/>
      <c r="F72" s="77"/>
      <c r="G72" s="77"/>
      <c r="H72" s="77"/>
      <c r="I72" s="77"/>
      <c r="J72" s="77"/>
      <c r="K72" s="77"/>
    </row>
    <row r="73" ht="15.75" customHeight="1">
      <c r="A73" s="77"/>
      <c r="B73" s="77"/>
      <c r="C73" s="77"/>
      <c r="D73" s="77"/>
      <c r="E73" s="77"/>
      <c r="F73" s="77"/>
      <c r="G73" s="77"/>
      <c r="H73" s="77"/>
      <c r="I73" s="77"/>
      <c r="J73" s="77"/>
      <c r="K73" s="77"/>
    </row>
    <row r="74" ht="15.75" customHeight="1">
      <c r="A74" s="77"/>
      <c r="B74" s="77"/>
      <c r="C74" s="77"/>
      <c r="D74" s="77"/>
      <c r="E74" s="77"/>
      <c r="F74" s="77"/>
      <c r="G74" s="77"/>
      <c r="H74" s="77"/>
      <c r="I74" s="77"/>
      <c r="J74" s="77"/>
      <c r="K74" s="77"/>
    </row>
    <row r="75" ht="15.75" customHeight="1">
      <c r="A75" s="77"/>
      <c r="B75" s="77"/>
      <c r="C75" s="77"/>
      <c r="D75" s="77"/>
      <c r="E75" s="77"/>
      <c r="F75" s="77"/>
      <c r="G75" s="77"/>
      <c r="H75" s="77"/>
      <c r="I75" s="77"/>
      <c r="J75" s="77"/>
      <c r="K75" s="77"/>
    </row>
    <row r="76" ht="15.75" customHeight="1">
      <c r="A76" s="77"/>
      <c r="B76" s="77"/>
      <c r="C76" s="77"/>
      <c r="D76" s="77"/>
      <c r="E76" s="77"/>
      <c r="F76" s="77"/>
      <c r="G76" s="77"/>
      <c r="H76" s="77"/>
      <c r="I76" s="77"/>
      <c r="J76" s="77"/>
      <c r="K76" s="77"/>
    </row>
    <row r="77" ht="15.75" customHeight="1">
      <c r="A77" s="77"/>
      <c r="B77" s="77"/>
      <c r="C77" s="77"/>
      <c r="D77" s="77"/>
      <c r="E77" s="77"/>
      <c r="F77" s="77"/>
      <c r="G77" s="77"/>
      <c r="H77" s="77"/>
      <c r="I77" s="77"/>
      <c r="J77" s="77"/>
      <c r="K77" s="77"/>
    </row>
    <row r="78" ht="15.75" customHeight="1">
      <c r="A78" s="77"/>
      <c r="B78" s="77"/>
      <c r="C78" s="77"/>
      <c r="D78" s="77"/>
      <c r="E78" s="77"/>
      <c r="F78" s="77"/>
      <c r="G78" s="77"/>
      <c r="H78" s="77"/>
      <c r="I78" s="77"/>
      <c r="J78" s="77"/>
      <c r="K78" s="77"/>
    </row>
    <row r="79" ht="15.75" customHeight="1">
      <c r="A79" s="77"/>
      <c r="B79" s="77"/>
      <c r="C79" s="77"/>
      <c r="D79" s="77"/>
      <c r="E79" s="77"/>
      <c r="F79" s="77"/>
      <c r="G79" s="77"/>
      <c r="H79" s="77"/>
      <c r="I79" s="77"/>
      <c r="J79" s="77"/>
      <c r="K79" s="77"/>
    </row>
    <row r="80" ht="15.75" customHeight="1">
      <c r="A80" s="77"/>
      <c r="B80" s="77"/>
      <c r="C80" s="77"/>
      <c r="D80" s="77"/>
      <c r="E80" s="77"/>
      <c r="F80" s="77"/>
      <c r="G80" s="77"/>
      <c r="H80" s="77"/>
      <c r="I80" s="77"/>
      <c r="J80" s="77"/>
      <c r="K80" s="77"/>
    </row>
    <row r="81" ht="15.75" customHeight="1">
      <c r="A81" s="77"/>
      <c r="B81" s="77"/>
      <c r="C81" s="77"/>
      <c r="D81" s="77"/>
      <c r="E81" s="77"/>
      <c r="F81" s="77"/>
      <c r="G81" s="77"/>
      <c r="H81" s="77"/>
      <c r="I81" s="77"/>
      <c r="J81" s="77"/>
      <c r="K81" s="77"/>
    </row>
    <row r="82" ht="15.75" customHeight="1">
      <c r="A82" s="77"/>
      <c r="B82" s="77"/>
      <c r="C82" s="77"/>
      <c r="D82" s="77"/>
      <c r="E82" s="77"/>
      <c r="F82" s="77"/>
      <c r="G82" s="77"/>
      <c r="H82" s="77"/>
      <c r="I82" s="77"/>
      <c r="J82" s="77"/>
      <c r="K82" s="77"/>
    </row>
    <row r="83" ht="15.75" customHeight="1">
      <c r="A83" s="77"/>
      <c r="B83" s="77"/>
      <c r="C83" s="77"/>
      <c r="D83" s="77"/>
      <c r="E83" s="77"/>
      <c r="F83" s="77"/>
      <c r="G83" s="77"/>
      <c r="H83" s="77"/>
      <c r="I83" s="77"/>
      <c r="J83" s="77"/>
      <c r="K83" s="77"/>
    </row>
    <row r="84" ht="15.75" customHeight="1">
      <c r="A84" s="77"/>
      <c r="B84" s="77"/>
      <c r="C84" s="77"/>
      <c r="D84" s="77"/>
      <c r="E84" s="77"/>
      <c r="F84" s="77"/>
      <c r="G84" s="77"/>
      <c r="H84" s="77"/>
      <c r="I84" s="77"/>
      <c r="J84" s="77"/>
      <c r="K84" s="77"/>
    </row>
    <row r="85" ht="15.75" customHeight="1">
      <c r="A85" s="77"/>
      <c r="B85" s="77"/>
      <c r="C85" s="77"/>
      <c r="D85" s="77"/>
      <c r="E85" s="77"/>
      <c r="F85" s="77"/>
      <c r="G85" s="77"/>
      <c r="H85" s="77"/>
      <c r="I85" s="77"/>
      <c r="J85" s="77"/>
      <c r="K85" s="77"/>
    </row>
    <row r="86" ht="15.75" customHeight="1">
      <c r="A86" s="77"/>
      <c r="B86" s="77"/>
      <c r="C86" s="77"/>
      <c r="D86" s="77"/>
      <c r="E86" s="77"/>
      <c r="F86" s="77"/>
      <c r="G86" s="77"/>
      <c r="H86" s="77"/>
      <c r="I86" s="77"/>
      <c r="J86" s="77"/>
      <c r="K86" s="77"/>
    </row>
    <row r="87" ht="15.75" customHeight="1">
      <c r="A87" s="77"/>
      <c r="B87" s="77"/>
      <c r="C87" s="77"/>
      <c r="D87" s="77"/>
      <c r="E87" s="77"/>
      <c r="F87" s="77"/>
      <c r="G87" s="77"/>
      <c r="H87" s="77"/>
      <c r="I87" s="77"/>
      <c r="J87" s="77"/>
      <c r="K87" s="77"/>
    </row>
    <row r="88" ht="15.75" customHeight="1">
      <c r="A88" s="77"/>
      <c r="B88" s="77"/>
      <c r="C88" s="77"/>
      <c r="D88" s="77"/>
      <c r="E88" s="77"/>
      <c r="F88" s="77"/>
      <c r="G88" s="77"/>
      <c r="H88" s="77"/>
      <c r="I88" s="77"/>
      <c r="J88" s="77"/>
      <c r="K88" s="77"/>
    </row>
    <row r="89" ht="15.75" customHeight="1">
      <c r="A89" s="77"/>
      <c r="B89" s="77"/>
      <c r="C89" s="77"/>
      <c r="D89" s="77"/>
      <c r="E89" s="77"/>
      <c r="F89" s="77"/>
      <c r="G89" s="77"/>
      <c r="H89" s="77"/>
      <c r="I89" s="77"/>
      <c r="J89" s="77"/>
      <c r="K89" s="77"/>
    </row>
    <row r="90" ht="15.75" customHeight="1">
      <c r="A90" s="77"/>
      <c r="B90" s="77"/>
      <c r="C90" s="77"/>
      <c r="D90" s="77"/>
      <c r="E90" s="77"/>
      <c r="F90" s="77"/>
      <c r="G90" s="77"/>
      <c r="H90" s="77"/>
      <c r="I90" s="77"/>
      <c r="J90" s="77"/>
      <c r="K90" s="77"/>
    </row>
    <row r="91" ht="15.75" customHeight="1">
      <c r="A91" s="77"/>
      <c r="B91" s="77"/>
      <c r="C91" s="77"/>
      <c r="D91" s="77"/>
      <c r="E91" s="77"/>
      <c r="F91" s="77"/>
      <c r="G91" s="77"/>
      <c r="H91" s="77"/>
      <c r="I91" s="77"/>
      <c r="J91" s="77"/>
      <c r="K91" s="77"/>
    </row>
    <row r="92" ht="15.75" customHeight="1">
      <c r="A92" s="77"/>
      <c r="B92" s="77"/>
      <c r="C92" s="77"/>
      <c r="D92" s="77"/>
      <c r="E92" s="77"/>
      <c r="F92" s="77"/>
      <c r="G92" s="77"/>
      <c r="H92" s="77"/>
      <c r="I92" s="77"/>
      <c r="J92" s="77"/>
      <c r="K92" s="77"/>
    </row>
    <row r="93" ht="15.75" customHeight="1">
      <c r="A93" s="77"/>
      <c r="B93" s="77"/>
      <c r="C93" s="77"/>
      <c r="D93" s="77"/>
      <c r="E93" s="77"/>
      <c r="F93" s="77"/>
      <c r="G93" s="77"/>
      <c r="H93" s="77"/>
      <c r="I93" s="77"/>
      <c r="J93" s="77"/>
      <c r="K93" s="77"/>
    </row>
    <row r="94" ht="15.75" customHeight="1">
      <c r="A94" s="77"/>
      <c r="B94" s="77"/>
      <c r="C94" s="77"/>
      <c r="D94" s="77"/>
      <c r="E94" s="77"/>
      <c r="F94" s="77"/>
      <c r="G94" s="77"/>
      <c r="H94" s="77"/>
      <c r="I94" s="77"/>
      <c r="J94" s="77"/>
      <c r="K94" s="77"/>
    </row>
    <row r="95" ht="15.75" customHeight="1">
      <c r="A95" s="77"/>
      <c r="B95" s="77"/>
      <c r="C95" s="77"/>
      <c r="D95" s="77"/>
      <c r="E95" s="77"/>
      <c r="F95" s="77"/>
      <c r="G95" s="77"/>
      <c r="H95" s="77"/>
      <c r="I95" s="77"/>
      <c r="J95" s="77"/>
      <c r="K95" s="77"/>
    </row>
    <row r="96" ht="15.75" customHeight="1">
      <c r="A96" s="77"/>
      <c r="B96" s="77"/>
      <c r="C96" s="77"/>
      <c r="D96" s="77"/>
      <c r="E96" s="77"/>
      <c r="F96" s="77"/>
      <c r="G96" s="77"/>
      <c r="H96" s="77"/>
      <c r="I96" s="77"/>
      <c r="J96" s="77"/>
      <c r="K96" s="77"/>
    </row>
    <row r="97" ht="15.75" customHeight="1">
      <c r="A97" s="77"/>
      <c r="B97" s="77"/>
      <c r="C97" s="77"/>
      <c r="D97" s="77"/>
      <c r="E97" s="77"/>
      <c r="F97" s="77"/>
      <c r="G97" s="77"/>
      <c r="H97" s="77"/>
      <c r="I97" s="77"/>
      <c r="J97" s="77"/>
      <c r="K97" s="77"/>
    </row>
    <row r="98" ht="15.75" customHeight="1">
      <c r="A98" s="77"/>
      <c r="B98" s="77"/>
      <c r="C98" s="77"/>
      <c r="D98" s="77"/>
      <c r="E98" s="77"/>
      <c r="F98" s="77"/>
      <c r="G98" s="77"/>
      <c r="H98" s="77"/>
      <c r="I98" s="77"/>
      <c r="J98" s="77"/>
      <c r="K98" s="77"/>
    </row>
    <row r="99" ht="15.75" customHeight="1">
      <c r="A99" s="77"/>
      <c r="B99" s="77"/>
      <c r="C99" s="77"/>
      <c r="D99" s="77"/>
      <c r="E99" s="77"/>
      <c r="F99" s="77"/>
      <c r="G99" s="77"/>
      <c r="H99" s="77"/>
      <c r="I99" s="77"/>
      <c r="J99" s="77"/>
      <c r="K99" s="77"/>
    </row>
    <row r="100" ht="15.75" customHeight="1">
      <c r="A100" s="77"/>
      <c r="B100" s="77"/>
      <c r="C100" s="77"/>
      <c r="D100" s="77"/>
      <c r="E100" s="77"/>
      <c r="F100" s="77"/>
      <c r="G100" s="77"/>
      <c r="H100" s="77"/>
      <c r="I100" s="77"/>
      <c r="J100" s="77"/>
      <c r="K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6.88"/>
    <col customWidth="1" min="8" max="26" width="11.25"/>
  </cols>
  <sheetData>
    <row r="1" ht="37.5" customHeight="1">
      <c r="A1" s="33" t="s">
        <v>72</v>
      </c>
      <c r="B1" s="35">
        <f>'Input sheet'!B1</f>
        <v>0.0</v>
      </c>
      <c r="C1" s="33" t="s">
        <v>57</v>
      </c>
      <c r="D1" s="37">
        <f>'Input sheet'!D1</f>
        <v>39.4</v>
      </c>
      <c r="E1" s="7"/>
      <c r="F1" s="7"/>
      <c r="G1" s="7"/>
      <c r="H1" s="77"/>
      <c r="I1" s="77"/>
      <c r="J1" s="77"/>
      <c r="K1" s="77"/>
    </row>
    <row r="2" ht="14.25" customHeight="1">
      <c r="A2" s="492" t="s">
        <v>659</v>
      </c>
      <c r="B2" s="492"/>
      <c r="C2" s="492"/>
      <c r="D2" s="492"/>
      <c r="E2" s="492"/>
      <c r="F2" s="492"/>
      <c r="G2" s="492"/>
      <c r="H2" s="77"/>
      <c r="I2" s="77"/>
      <c r="J2" s="77"/>
      <c r="K2" s="77"/>
    </row>
    <row r="3" ht="14.25" customHeight="1">
      <c r="A3" s="9"/>
      <c r="B3" s="9"/>
      <c r="C3" s="9"/>
      <c r="D3" s="9"/>
      <c r="E3" s="9"/>
      <c r="F3" s="9"/>
      <c r="G3" s="9"/>
      <c r="H3" s="77"/>
      <c r="I3" s="77"/>
      <c r="J3" s="77"/>
      <c r="K3" s="77"/>
    </row>
    <row r="4" ht="14.25" customHeight="1">
      <c r="A4" s="9"/>
      <c r="B4" s="9"/>
      <c r="C4" s="9"/>
      <c r="D4" s="9"/>
      <c r="E4" s="9"/>
      <c r="F4" s="9"/>
      <c r="G4" s="9"/>
      <c r="H4" s="77"/>
      <c r="I4" s="77"/>
      <c r="J4" s="77"/>
      <c r="K4" s="77"/>
    </row>
    <row r="5" ht="14.25" customHeight="1">
      <c r="A5" s="9"/>
      <c r="B5" s="9"/>
      <c r="C5" s="9"/>
      <c r="D5" s="9"/>
      <c r="E5" s="9"/>
      <c r="F5" s="9"/>
      <c r="G5" s="9"/>
      <c r="H5" s="77"/>
      <c r="I5" s="77"/>
      <c r="J5" s="77"/>
      <c r="K5" s="77"/>
    </row>
    <row r="6" ht="14.25" customHeight="1">
      <c r="A6" s="9"/>
      <c r="B6" s="9"/>
      <c r="C6" s="9"/>
      <c r="D6" s="9"/>
      <c r="E6" s="9"/>
      <c r="F6" s="9"/>
      <c r="G6" s="9"/>
      <c r="H6" s="77"/>
      <c r="I6" s="77"/>
      <c r="J6" s="77"/>
      <c r="K6" s="77"/>
    </row>
    <row r="7" ht="14.25" customHeight="1">
      <c r="A7" s="9"/>
      <c r="B7" s="9"/>
      <c r="C7" s="9"/>
      <c r="D7" s="9"/>
      <c r="E7" s="9"/>
      <c r="F7" s="9"/>
      <c r="G7" s="9"/>
      <c r="H7" s="77"/>
      <c r="I7" s="77"/>
      <c r="J7" s="77"/>
      <c r="K7" s="77"/>
    </row>
    <row r="8" ht="14.25" customHeight="1">
      <c r="A8" s="9"/>
      <c r="B8" s="9"/>
      <c r="C8" s="9"/>
      <c r="D8" s="9"/>
      <c r="E8" s="9"/>
      <c r="F8" s="9"/>
      <c r="G8" s="9"/>
      <c r="H8" s="77"/>
      <c r="I8" s="77"/>
      <c r="J8" s="77"/>
      <c r="K8" s="77"/>
    </row>
    <row r="9" ht="14.25" customHeight="1">
      <c r="A9" s="9"/>
      <c r="B9" s="9"/>
      <c r="C9" s="9"/>
      <c r="D9" s="9"/>
      <c r="E9" s="9"/>
      <c r="F9" s="9"/>
      <c r="G9" s="9"/>
      <c r="H9" s="77"/>
      <c r="I9" s="77"/>
      <c r="J9" s="77"/>
      <c r="K9" s="77"/>
    </row>
    <row r="10" ht="14.25" customHeight="1">
      <c r="A10" s="9"/>
      <c r="B10" s="9"/>
      <c r="C10" s="9"/>
      <c r="D10" s="9"/>
      <c r="E10" s="9"/>
      <c r="F10" s="9"/>
      <c r="G10" s="9"/>
      <c r="H10" s="77"/>
      <c r="I10" s="77"/>
      <c r="J10" s="77"/>
      <c r="K10" s="77"/>
    </row>
    <row r="11" ht="14.25" customHeight="1">
      <c r="A11" s="9"/>
      <c r="B11" s="9"/>
      <c r="C11" s="9"/>
      <c r="D11" s="9"/>
      <c r="E11" s="9"/>
      <c r="F11" s="9"/>
      <c r="G11" s="9"/>
      <c r="H11" s="77"/>
      <c r="I11" s="77"/>
      <c r="J11" s="77"/>
      <c r="K11" s="77"/>
    </row>
    <row r="12" ht="14.25" customHeight="1">
      <c r="A12" s="9"/>
      <c r="B12" s="9"/>
      <c r="C12" s="9"/>
      <c r="D12" s="9"/>
      <c r="E12" s="9"/>
      <c r="F12" s="9"/>
      <c r="G12" s="9"/>
      <c r="H12" s="77"/>
      <c r="I12" s="77"/>
      <c r="J12" s="77"/>
      <c r="K12" s="77"/>
    </row>
    <row r="13" ht="14.25" customHeight="1">
      <c r="A13" s="9"/>
      <c r="B13" s="9"/>
      <c r="C13" s="9"/>
      <c r="D13" s="9"/>
      <c r="E13" s="9"/>
      <c r="F13" s="9"/>
      <c r="G13" s="9"/>
      <c r="H13" s="77"/>
      <c r="I13" s="77"/>
      <c r="J13" s="77"/>
      <c r="K13" s="77"/>
    </row>
    <row r="14" ht="14.25" customHeight="1">
      <c r="A14" s="9"/>
      <c r="B14" s="9"/>
      <c r="C14" s="9"/>
      <c r="D14" s="9"/>
      <c r="E14" s="9"/>
      <c r="F14" s="9"/>
      <c r="G14" s="9"/>
      <c r="H14" s="77"/>
      <c r="I14" s="77"/>
      <c r="J14" s="77"/>
      <c r="K14" s="77"/>
    </row>
    <row r="15" ht="14.25" customHeight="1">
      <c r="A15" s="9"/>
      <c r="B15" s="9"/>
      <c r="C15" s="9"/>
      <c r="D15" s="9"/>
      <c r="E15" s="9"/>
      <c r="F15" s="9"/>
      <c r="G15" s="9"/>
      <c r="H15" s="77"/>
      <c r="I15" s="77"/>
      <c r="J15" s="77"/>
      <c r="K15" s="77"/>
    </row>
    <row r="16" ht="14.25" customHeight="1">
      <c r="A16" s="9"/>
      <c r="B16" s="9"/>
      <c r="C16" s="9"/>
      <c r="D16" s="9"/>
      <c r="E16" s="9"/>
      <c r="F16" s="9"/>
      <c r="G16" s="9"/>
      <c r="H16" s="77"/>
      <c r="I16" s="77"/>
      <c r="J16" s="77"/>
      <c r="K16" s="77"/>
    </row>
    <row r="17" ht="14.25" customHeight="1">
      <c r="A17" s="9"/>
      <c r="B17" s="9"/>
      <c r="C17" s="9"/>
      <c r="D17" s="9"/>
      <c r="E17" s="9"/>
      <c r="F17" s="9"/>
      <c r="G17" s="9"/>
      <c r="H17" s="77"/>
      <c r="I17" s="77"/>
      <c r="J17" s="77"/>
      <c r="K17" s="77"/>
    </row>
    <row r="18">
      <c r="A18" s="77"/>
      <c r="B18" s="77"/>
      <c r="C18" s="77"/>
      <c r="D18" s="77"/>
      <c r="E18" s="77"/>
      <c r="F18" s="77"/>
      <c r="G18" s="77"/>
      <c r="H18" s="77"/>
      <c r="I18" s="77"/>
      <c r="J18" s="77"/>
      <c r="K18" s="77"/>
    </row>
    <row r="19">
      <c r="A19" s="77"/>
      <c r="B19" s="77"/>
      <c r="C19" s="77"/>
      <c r="D19" s="77"/>
      <c r="E19" s="77"/>
      <c r="F19" s="77"/>
      <c r="G19" s="77"/>
      <c r="H19" s="77"/>
      <c r="I19" s="77"/>
      <c r="J19" s="77"/>
      <c r="K19" s="77"/>
    </row>
    <row r="20">
      <c r="A20" s="77"/>
      <c r="B20" s="77"/>
      <c r="C20" s="77"/>
      <c r="D20" s="77"/>
      <c r="E20" s="77"/>
      <c r="F20" s="77"/>
      <c r="G20" s="77"/>
      <c r="H20" s="77"/>
      <c r="I20" s="77"/>
      <c r="J20" s="77"/>
      <c r="K20" s="77"/>
    </row>
    <row r="21" ht="15.75" customHeight="1">
      <c r="A21" s="77"/>
      <c r="B21" s="77"/>
      <c r="C21" s="77"/>
      <c r="D21" s="77"/>
      <c r="E21" s="77"/>
      <c r="F21" s="77"/>
      <c r="G21" s="77"/>
      <c r="H21" s="77"/>
      <c r="I21" s="77"/>
      <c r="J21" s="77"/>
      <c r="K21" s="77"/>
    </row>
    <row r="22" ht="15.75" customHeight="1">
      <c r="A22" s="77"/>
      <c r="B22" s="77"/>
      <c r="C22" s="77"/>
      <c r="D22" s="77"/>
      <c r="E22" s="77"/>
      <c r="F22" s="77"/>
      <c r="G22" s="77"/>
      <c r="H22" s="77"/>
      <c r="I22" s="77"/>
      <c r="J22" s="77"/>
      <c r="K22" s="77"/>
    </row>
    <row r="23" ht="15.75" customHeight="1">
      <c r="A23" s="77"/>
      <c r="B23" s="77"/>
      <c r="C23" s="77"/>
      <c r="D23" s="77"/>
      <c r="E23" s="77"/>
      <c r="F23" s="77"/>
      <c r="G23" s="77"/>
      <c r="H23" s="77"/>
      <c r="I23" s="77"/>
      <c r="J23" s="77"/>
      <c r="K23" s="77"/>
    </row>
    <row r="24" ht="15.75" customHeight="1">
      <c r="A24" s="77"/>
      <c r="B24" s="77"/>
      <c r="C24" s="77"/>
      <c r="D24" s="77"/>
      <c r="E24" s="77"/>
      <c r="F24" s="77"/>
      <c r="G24" s="77"/>
      <c r="H24" s="77"/>
      <c r="I24" s="77"/>
      <c r="J24" s="77"/>
      <c r="K24" s="77"/>
    </row>
    <row r="25" ht="15.75" customHeight="1">
      <c r="A25" s="77"/>
      <c r="B25" s="77"/>
      <c r="C25" s="77"/>
      <c r="D25" s="77"/>
      <c r="E25" s="77"/>
      <c r="F25" s="77"/>
      <c r="G25" s="77"/>
      <c r="H25" s="77"/>
      <c r="I25" s="77"/>
      <c r="J25" s="77"/>
      <c r="K25" s="77"/>
    </row>
    <row r="26" ht="15.75" customHeight="1">
      <c r="A26" s="77"/>
      <c r="B26" s="77"/>
      <c r="C26" s="77"/>
      <c r="D26" s="77"/>
      <c r="E26" s="77"/>
      <c r="F26" s="77"/>
      <c r="G26" s="77"/>
      <c r="H26" s="77"/>
      <c r="I26" s="77"/>
      <c r="J26" s="77"/>
      <c r="K26" s="77"/>
    </row>
    <row r="27" ht="15.75" customHeight="1">
      <c r="A27" s="77"/>
      <c r="B27" s="77"/>
      <c r="C27" s="77"/>
      <c r="D27" s="77"/>
      <c r="E27" s="77"/>
      <c r="F27" s="77"/>
      <c r="G27" s="77"/>
      <c r="H27" s="77"/>
      <c r="I27" s="77"/>
      <c r="J27" s="77"/>
      <c r="K27" s="77"/>
    </row>
    <row r="28" ht="15.75" customHeight="1">
      <c r="A28" s="77"/>
      <c r="B28" s="77"/>
      <c r="C28" s="77"/>
      <c r="D28" s="77"/>
      <c r="E28" s="77"/>
      <c r="F28" s="77"/>
      <c r="G28" s="77"/>
      <c r="H28" s="77"/>
      <c r="I28" s="77"/>
      <c r="J28" s="77"/>
      <c r="K28" s="77"/>
    </row>
    <row r="29" ht="15.75" customHeight="1">
      <c r="A29" s="77"/>
      <c r="B29" s="77"/>
      <c r="C29" s="77"/>
      <c r="D29" s="77"/>
      <c r="E29" s="77"/>
      <c r="F29" s="77"/>
      <c r="G29" s="77"/>
      <c r="H29" s="77"/>
      <c r="I29" s="77"/>
      <c r="J29" s="77"/>
      <c r="K29" s="77"/>
    </row>
    <row r="30" ht="15.75" customHeight="1">
      <c r="A30" s="77"/>
      <c r="B30" s="77"/>
      <c r="C30" s="77"/>
      <c r="D30" s="77"/>
      <c r="E30" s="77"/>
      <c r="F30" s="77"/>
      <c r="G30" s="77"/>
      <c r="H30" s="77"/>
      <c r="I30" s="77"/>
      <c r="J30" s="77"/>
      <c r="K30" s="77"/>
    </row>
    <row r="31" ht="15.75" customHeight="1">
      <c r="A31" s="77"/>
      <c r="B31" s="77"/>
      <c r="C31" s="77"/>
      <c r="D31" s="77"/>
      <c r="E31" s="77"/>
      <c r="F31" s="77"/>
      <c r="G31" s="77"/>
      <c r="H31" s="77"/>
      <c r="I31" s="77"/>
      <c r="J31" s="77"/>
      <c r="K31" s="77"/>
    </row>
    <row r="32" ht="15.75" customHeight="1">
      <c r="A32" s="77"/>
      <c r="B32" s="77"/>
      <c r="C32" s="77"/>
      <c r="D32" s="77"/>
      <c r="E32" s="77"/>
      <c r="F32" s="77"/>
      <c r="G32" s="77"/>
      <c r="H32" s="77"/>
      <c r="I32" s="77"/>
      <c r="J32" s="77"/>
      <c r="K32" s="77"/>
    </row>
    <row r="33" ht="15.75" customHeight="1">
      <c r="A33" s="77"/>
      <c r="B33" s="77"/>
      <c r="C33" s="77"/>
      <c r="D33" s="77"/>
      <c r="E33" s="77"/>
      <c r="F33" s="77"/>
      <c r="G33" s="77"/>
      <c r="H33" s="77"/>
      <c r="I33" s="77"/>
      <c r="J33" s="77"/>
      <c r="K33" s="77"/>
    </row>
    <row r="34" ht="15.75" customHeight="1">
      <c r="A34" s="77"/>
      <c r="B34" s="77"/>
      <c r="C34" s="77"/>
      <c r="D34" s="77"/>
      <c r="E34" s="77"/>
      <c r="F34" s="77"/>
      <c r="G34" s="77"/>
      <c r="H34" s="77"/>
      <c r="I34" s="77"/>
      <c r="J34" s="77"/>
      <c r="K34" s="77"/>
    </row>
    <row r="35" ht="15.75" customHeight="1">
      <c r="A35" s="77"/>
      <c r="B35" s="77"/>
      <c r="C35" s="77"/>
      <c r="D35" s="77"/>
      <c r="E35" s="77"/>
      <c r="F35" s="77"/>
      <c r="G35" s="77"/>
      <c r="H35" s="77"/>
      <c r="I35" s="77"/>
      <c r="J35" s="77"/>
      <c r="K35" s="77"/>
    </row>
    <row r="36" ht="15.75" customHeight="1">
      <c r="A36" s="77"/>
      <c r="B36" s="77"/>
      <c r="C36" s="77"/>
      <c r="D36" s="77"/>
      <c r="E36" s="77"/>
      <c r="F36" s="77"/>
      <c r="G36" s="77"/>
      <c r="H36" s="77"/>
      <c r="I36" s="77"/>
      <c r="J36" s="77"/>
      <c r="K36" s="77"/>
    </row>
    <row r="37" ht="15.75" customHeight="1">
      <c r="A37" s="77"/>
      <c r="B37" s="77"/>
      <c r="C37" s="77"/>
      <c r="D37" s="77"/>
      <c r="E37" s="77"/>
      <c r="F37" s="77"/>
      <c r="G37" s="77"/>
      <c r="H37" s="77"/>
      <c r="I37" s="77"/>
      <c r="J37" s="77"/>
      <c r="K37" s="77"/>
    </row>
    <row r="38" ht="15.75" customHeight="1">
      <c r="A38" s="77"/>
      <c r="B38" s="77"/>
      <c r="C38" s="77"/>
      <c r="D38" s="77"/>
      <c r="E38" s="77"/>
      <c r="F38" s="77"/>
      <c r="G38" s="77"/>
      <c r="H38" s="77"/>
      <c r="I38" s="77"/>
      <c r="J38" s="77"/>
      <c r="K38" s="77"/>
    </row>
    <row r="39" ht="15.75" customHeight="1">
      <c r="A39" s="77"/>
      <c r="B39" s="77"/>
      <c r="C39" s="77"/>
      <c r="D39" s="77"/>
      <c r="E39" s="77"/>
      <c r="F39" s="77"/>
      <c r="G39" s="77"/>
      <c r="H39" s="77"/>
      <c r="I39" s="77"/>
      <c r="J39" s="77"/>
      <c r="K39" s="77"/>
    </row>
    <row r="40" ht="15.75" customHeight="1">
      <c r="A40" s="77"/>
      <c r="B40" s="77"/>
      <c r="C40" s="77"/>
      <c r="D40" s="77"/>
      <c r="E40" s="77"/>
      <c r="F40" s="77"/>
      <c r="G40" s="77"/>
      <c r="H40" s="77"/>
      <c r="I40" s="77"/>
      <c r="J40" s="77"/>
      <c r="K40" s="77"/>
    </row>
    <row r="41" ht="15.75" customHeight="1">
      <c r="A41" s="77"/>
      <c r="B41" s="77"/>
      <c r="C41" s="77"/>
      <c r="D41" s="77"/>
      <c r="E41" s="77"/>
      <c r="F41" s="77"/>
      <c r="G41" s="77"/>
      <c r="H41" s="77"/>
      <c r="I41" s="77"/>
      <c r="J41" s="77"/>
      <c r="K41" s="77"/>
    </row>
    <row r="42" ht="15.75" customHeight="1">
      <c r="A42" s="77"/>
      <c r="B42" s="77"/>
      <c r="C42" s="77"/>
      <c r="D42" s="77"/>
      <c r="E42" s="77"/>
      <c r="F42" s="77"/>
      <c r="G42" s="77"/>
      <c r="H42" s="77"/>
      <c r="I42" s="77"/>
      <c r="J42" s="77"/>
      <c r="K42" s="77"/>
    </row>
    <row r="43" ht="15.75" customHeight="1">
      <c r="A43" s="77"/>
      <c r="B43" s="77"/>
      <c r="C43" s="77"/>
      <c r="D43" s="77"/>
      <c r="E43" s="77"/>
      <c r="F43" s="77"/>
      <c r="G43" s="77"/>
      <c r="H43" s="77"/>
      <c r="I43" s="77"/>
      <c r="J43" s="77"/>
      <c r="K43" s="77"/>
    </row>
    <row r="44" ht="15.75" customHeight="1">
      <c r="A44" s="77"/>
      <c r="B44" s="77"/>
      <c r="C44" s="77"/>
      <c r="D44" s="77"/>
      <c r="E44" s="77"/>
      <c r="F44" s="77"/>
      <c r="G44" s="77"/>
      <c r="H44" s="77"/>
      <c r="I44" s="77"/>
      <c r="J44" s="77"/>
      <c r="K44" s="77"/>
    </row>
    <row r="45" ht="15.75" customHeight="1">
      <c r="A45" s="77"/>
      <c r="B45" s="77"/>
      <c r="C45" s="77"/>
      <c r="D45" s="77"/>
      <c r="E45" s="77"/>
      <c r="F45" s="77"/>
      <c r="G45" s="77"/>
      <c r="H45" s="77"/>
      <c r="I45" s="77"/>
      <c r="J45" s="77"/>
      <c r="K45" s="77"/>
    </row>
    <row r="46" ht="15.75" customHeight="1">
      <c r="A46" s="77"/>
      <c r="B46" s="77"/>
      <c r="C46" s="77"/>
      <c r="D46" s="77"/>
      <c r="E46" s="77"/>
      <c r="F46" s="77"/>
      <c r="G46" s="77"/>
      <c r="H46" s="77"/>
      <c r="I46" s="77"/>
      <c r="J46" s="77"/>
      <c r="K46" s="77"/>
    </row>
    <row r="47" ht="15.75" customHeight="1">
      <c r="A47" s="77"/>
      <c r="B47" s="77"/>
      <c r="C47" s="77"/>
      <c r="D47" s="77"/>
      <c r="E47" s="77"/>
      <c r="F47" s="77"/>
      <c r="G47" s="77"/>
      <c r="H47" s="77"/>
      <c r="I47" s="77"/>
      <c r="J47" s="77"/>
      <c r="K47" s="77"/>
    </row>
    <row r="48" ht="15.75" customHeight="1">
      <c r="A48" s="77"/>
      <c r="B48" s="77"/>
      <c r="C48" s="77"/>
      <c r="D48" s="77"/>
      <c r="E48" s="77"/>
      <c r="F48" s="77"/>
      <c r="G48" s="77"/>
      <c r="H48" s="77"/>
      <c r="I48" s="77"/>
      <c r="J48" s="77"/>
      <c r="K48" s="77"/>
    </row>
    <row r="49" ht="15.75" customHeight="1">
      <c r="A49" s="77"/>
      <c r="B49" s="77"/>
      <c r="C49" s="77"/>
      <c r="D49" s="77"/>
      <c r="E49" s="77"/>
      <c r="F49" s="77"/>
      <c r="G49" s="77"/>
      <c r="H49" s="77"/>
      <c r="I49" s="77"/>
      <c r="J49" s="77"/>
      <c r="K49" s="77"/>
    </row>
    <row r="50" ht="15.75" customHeight="1">
      <c r="A50" s="77"/>
      <c r="B50" s="77"/>
      <c r="C50" s="77"/>
      <c r="D50" s="77"/>
      <c r="E50" s="77"/>
      <c r="F50" s="77"/>
      <c r="G50" s="77"/>
      <c r="H50" s="77"/>
      <c r="I50" s="77"/>
      <c r="J50" s="77"/>
      <c r="K50" s="77"/>
    </row>
    <row r="51" ht="15.75" customHeight="1">
      <c r="A51" s="77"/>
      <c r="B51" s="77"/>
      <c r="C51" s="77"/>
      <c r="D51" s="77"/>
      <c r="E51" s="77"/>
      <c r="F51" s="77"/>
      <c r="G51" s="77"/>
      <c r="H51" s="77"/>
      <c r="I51" s="77"/>
      <c r="J51" s="77"/>
      <c r="K51" s="77"/>
    </row>
    <row r="52" ht="15.75" customHeight="1">
      <c r="A52" s="77"/>
      <c r="B52" s="77"/>
      <c r="C52" s="77"/>
      <c r="D52" s="77"/>
      <c r="E52" s="77"/>
      <c r="F52" s="77"/>
      <c r="G52" s="77"/>
      <c r="H52" s="77"/>
      <c r="I52" s="77"/>
      <c r="J52" s="77"/>
      <c r="K52" s="77"/>
    </row>
    <row r="53" ht="15.75" customHeight="1">
      <c r="A53" s="77"/>
      <c r="B53" s="77"/>
      <c r="C53" s="77"/>
      <c r="D53" s="77"/>
      <c r="E53" s="77"/>
      <c r="F53" s="77"/>
      <c r="G53" s="77"/>
      <c r="H53" s="77"/>
      <c r="I53" s="77"/>
      <c r="J53" s="77"/>
      <c r="K53" s="77"/>
    </row>
    <row r="54" ht="15.75" customHeight="1">
      <c r="A54" s="77"/>
      <c r="B54" s="77"/>
      <c r="C54" s="77"/>
      <c r="D54" s="77"/>
      <c r="E54" s="77"/>
      <c r="F54" s="77"/>
      <c r="G54" s="77"/>
      <c r="H54" s="77"/>
      <c r="I54" s="77"/>
      <c r="J54" s="77"/>
      <c r="K54" s="77"/>
    </row>
    <row r="55" ht="15.75" customHeight="1">
      <c r="A55" s="77"/>
      <c r="B55" s="77"/>
      <c r="C55" s="77"/>
      <c r="D55" s="77"/>
      <c r="E55" s="77"/>
      <c r="F55" s="77"/>
      <c r="G55" s="77"/>
      <c r="H55" s="77"/>
      <c r="I55" s="77"/>
      <c r="J55" s="77"/>
      <c r="K55" s="77"/>
    </row>
    <row r="56" ht="15.75" customHeight="1">
      <c r="A56" s="77"/>
      <c r="B56" s="77"/>
      <c r="C56" s="77"/>
      <c r="D56" s="77"/>
      <c r="E56" s="77"/>
      <c r="F56" s="77"/>
      <c r="G56" s="77"/>
      <c r="H56" s="77"/>
      <c r="I56" s="77"/>
      <c r="J56" s="77"/>
      <c r="K56" s="77"/>
    </row>
    <row r="57" ht="15.75" customHeight="1">
      <c r="A57" s="77"/>
      <c r="B57" s="77"/>
      <c r="C57" s="77"/>
      <c r="D57" s="77"/>
      <c r="E57" s="77"/>
      <c r="F57" s="77"/>
      <c r="G57" s="77"/>
      <c r="H57" s="77"/>
      <c r="I57" s="77"/>
      <c r="J57" s="77"/>
      <c r="K57" s="77"/>
    </row>
    <row r="58" ht="15.75" customHeight="1">
      <c r="A58" s="77"/>
      <c r="B58" s="77"/>
      <c r="C58" s="77"/>
      <c r="D58" s="77"/>
      <c r="E58" s="77"/>
      <c r="F58" s="77"/>
      <c r="G58" s="77"/>
      <c r="H58" s="77"/>
      <c r="I58" s="77"/>
      <c r="J58" s="77"/>
      <c r="K58" s="77"/>
    </row>
    <row r="59" ht="15.75" customHeight="1">
      <c r="A59" s="77"/>
      <c r="B59" s="77"/>
      <c r="C59" s="77"/>
      <c r="D59" s="77"/>
      <c r="E59" s="77"/>
      <c r="F59" s="77"/>
      <c r="G59" s="77"/>
      <c r="H59" s="77"/>
      <c r="I59" s="77"/>
      <c r="J59" s="77"/>
      <c r="K59" s="77"/>
    </row>
    <row r="60" ht="15.75" customHeight="1">
      <c r="A60" s="77"/>
      <c r="B60" s="77"/>
      <c r="C60" s="77"/>
      <c r="D60" s="77"/>
      <c r="E60" s="77"/>
      <c r="F60" s="77"/>
      <c r="G60" s="77"/>
      <c r="H60" s="77"/>
      <c r="I60" s="77"/>
      <c r="J60" s="77"/>
      <c r="K60" s="77"/>
    </row>
    <row r="61" ht="15.75" customHeight="1">
      <c r="A61" s="77"/>
      <c r="B61" s="77"/>
      <c r="C61" s="77"/>
      <c r="D61" s="77"/>
      <c r="E61" s="77"/>
      <c r="F61" s="77"/>
      <c r="G61" s="77"/>
      <c r="H61" s="77"/>
      <c r="I61" s="77"/>
      <c r="J61" s="77"/>
      <c r="K61" s="77"/>
    </row>
    <row r="62" ht="15.75" customHeight="1">
      <c r="A62" s="77"/>
      <c r="B62" s="77"/>
      <c r="C62" s="77"/>
      <c r="D62" s="77"/>
      <c r="E62" s="77"/>
      <c r="F62" s="77"/>
      <c r="G62" s="77"/>
      <c r="H62" s="77"/>
      <c r="I62" s="77"/>
      <c r="J62" s="77"/>
      <c r="K62" s="77"/>
    </row>
    <row r="63" ht="15.75" customHeight="1">
      <c r="A63" s="77"/>
      <c r="B63" s="77"/>
      <c r="C63" s="77"/>
      <c r="D63" s="77"/>
      <c r="E63" s="77"/>
      <c r="F63" s="77"/>
      <c r="G63" s="77"/>
      <c r="H63" s="77"/>
      <c r="I63" s="77"/>
      <c r="J63" s="77"/>
      <c r="K63" s="77"/>
    </row>
    <row r="64" ht="15.75" customHeight="1">
      <c r="A64" s="77"/>
      <c r="B64" s="77"/>
      <c r="C64" s="77"/>
      <c r="D64" s="77"/>
      <c r="E64" s="77"/>
      <c r="F64" s="77"/>
      <c r="G64" s="77"/>
      <c r="H64" s="77"/>
      <c r="I64" s="77"/>
      <c r="J64" s="77"/>
      <c r="K64" s="77"/>
    </row>
    <row r="65" ht="15.75" customHeight="1">
      <c r="A65" s="77"/>
      <c r="B65" s="77"/>
      <c r="C65" s="77"/>
      <c r="D65" s="77"/>
      <c r="E65" s="77"/>
      <c r="F65" s="77"/>
      <c r="G65" s="77"/>
      <c r="H65" s="77"/>
      <c r="I65" s="77"/>
      <c r="J65" s="77"/>
      <c r="K65" s="77"/>
    </row>
    <row r="66" ht="15.75" customHeight="1">
      <c r="A66" s="77"/>
      <c r="B66" s="77"/>
      <c r="C66" s="77"/>
      <c r="D66" s="77"/>
      <c r="E66" s="77"/>
      <c r="F66" s="77"/>
      <c r="G66" s="77"/>
      <c r="H66" s="77"/>
      <c r="I66" s="77"/>
      <c r="J66" s="77"/>
      <c r="K66" s="77"/>
    </row>
    <row r="67" ht="15.75" customHeight="1">
      <c r="A67" s="77"/>
      <c r="B67" s="77"/>
      <c r="C67" s="77"/>
      <c r="D67" s="77"/>
      <c r="E67" s="77"/>
      <c r="F67" s="77"/>
      <c r="G67" s="77"/>
      <c r="H67" s="77"/>
      <c r="I67" s="77"/>
      <c r="J67" s="77"/>
      <c r="K67" s="77"/>
    </row>
    <row r="68" ht="15.75" customHeight="1">
      <c r="A68" s="77"/>
      <c r="B68" s="77"/>
      <c r="C68" s="77"/>
      <c r="D68" s="77"/>
      <c r="E68" s="77"/>
      <c r="F68" s="77"/>
      <c r="G68" s="77"/>
      <c r="H68" s="77"/>
      <c r="I68" s="77"/>
      <c r="J68" s="77"/>
      <c r="K68" s="77"/>
    </row>
    <row r="69" ht="15.75" customHeight="1">
      <c r="A69" s="77"/>
      <c r="B69" s="77"/>
      <c r="C69" s="77"/>
      <c r="D69" s="77"/>
      <c r="E69" s="77"/>
      <c r="F69" s="77"/>
      <c r="G69" s="77"/>
      <c r="H69" s="77"/>
      <c r="I69" s="77"/>
      <c r="J69" s="77"/>
      <c r="K69" s="77"/>
    </row>
    <row r="70" ht="15.75" customHeight="1">
      <c r="A70" s="77"/>
      <c r="B70" s="77"/>
      <c r="C70" s="77"/>
      <c r="D70" s="77"/>
      <c r="E70" s="77"/>
      <c r="F70" s="77"/>
      <c r="G70" s="77"/>
      <c r="H70" s="77"/>
      <c r="I70" s="77"/>
      <c r="J70" s="77"/>
      <c r="K70" s="77"/>
    </row>
    <row r="71" ht="15.75" customHeight="1">
      <c r="A71" s="77"/>
      <c r="B71" s="77"/>
      <c r="C71" s="77"/>
      <c r="D71" s="77"/>
      <c r="E71" s="77"/>
      <c r="F71" s="77"/>
      <c r="G71" s="77"/>
      <c r="H71" s="77"/>
      <c r="I71" s="77"/>
      <c r="J71" s="77"/>
      <c r="K71" s="77"/>
    </row>
    <row r="72" ht="15.75" customHeight="1">
      <c r="A72" s="77"/>
      <c r="B72" s="77"/>
      <c r="C72" s="77"/>
      <c r="D72" s="77"/>
      <c r="E72" s="77"/>
      <c r="F72" s="77"/>
      <c r="G72" s="77"/>
      <c r="H72" s="77"/>
      <c r="I72" s="77"/>
      <c r="J72" s="77"/>
      <c r="K72" s="77"/>
    </row>
    <row r="73" ht="15.75" customHeight="1">
      <c r="A73" s="77"/>
      <c r="B73" s="77"/>
      <c r="C73" s="77"/>
      <c r="D73" s="77"/>
      <c r="E73" s="77"/>
      <c r="F73" s="77"/>
      <c r="G73" s="77"/>
      <c r="H73" s="77"/>
      <c r="I73" s="77"/>
      <c r="J73" s="77"/>
      <c r="K73" s="77"/>
    </row>
    <row r="74" ht="15.75" customHeight="1">
      <c r="A74" s="77"/>
      <c r="B74" s="77"/>
      <c r="C74" s="77"/>
      <c r="D74" s="77"/>
      <c r="E74" s="77"/>
      <c r="F74" s="77"/>
      <c r="G74" s="77"/>
      <c r="H74" s="77"/>
      <c r="I74" s="77"/>
      <c r="J74" s="77"/>
      <c r="K74" s="77"/>
    </row>
    <row r="75" ht="15.75" customHeight="1">
      <c r="A75" s="77"/>
      <c r="B75" s="77"/>
      <c r="C75" s="77"/>
      <c r="D75" s="77"/>
      <c r="E75" s="77"/>
      <c r="F75" s="77"/>
      <c r="G75" s="77"/>
      <c r="H75" s="77"/>
      <c r="I75" s="77"/>
      <c r="J75" s="77"/>
      <c r="K75" s="77"/>
    </row>
    <row r="76" ht="15.75" customHeight="1">
      <c r="A76" s="77"/>
      <c r="B76" s="77"/>
      <c r="C76" s="77"/>
      <c r="D76" s="77"/>
      <c r="E76" s="77"/>
      <c r="F76" s="77"/>
      <c r="G76" s="77"/>
      <c r="H76" s="77"/>
      <c r="I76" s="77"/>
      <c r="J76" s="77"/>
      <c r="K76" s="77"/>
    </row>
    <row r="77" ht="15.75" customHeight="1">
      <c r="A77" s="77"/>
      <c r="B77" s="77"/>
      <c r="C77" s="77"/>
      <c r="D77" s="77"/>
      <c r="E77" s="77"/>
      <c r="F77" s="77"/>
      <c r="G77" s="77"/>
      <c r="H77" s="77"/>
      <c r="I77" s="77"/>
      <c r="J77" s="77"/>
      <c r="K77" s="77"/>
    </row>
    <row r="78" ht="15.75" customHeight="1">
      <c r="A78" s="77"/>
      <c r="B78" s="77"/>
      <c r="C78" s="77"/>
      <c r="D78" s="77"/>
      <c r="E78" s="77"/>
      <c r="F78" s="77"/>
      <c r="G78" s="77"/>
      <c r="H78" s="77"/>
      <c r="I78" s="77"/>
      <c r="J78" s="77"/>
      <c r="K78" s="77"/>
    </row>
    <row r="79" ht="15.75" customHeight="1">
      <c r="A79" s="77"/>
      <c r="B79" s="77"/>
      <c r="C79" s="77"/>
      <c r="D79" s="77"/>
      <c r="E79" s="77"/>
      <c r="F79" s="77"/>
      <c r="G79" s="77"/>
      <c r="H79" s="77"/>
      <c r="I79" s="77"/>
      <c r="J79" s="77"/>
      <c r="K79" s="77"/>
    </row>
    <row r="80" ht="15.75" customHeight="1">
      <c r="A80" s="77"/>
      <c r="B80" s="77"/>
      <c r="C80" s="77"/>
      <c r="D80" s="77"/>
      <c r="E80" s="77"/>
      <c r="F80" s="77"/>
      <c r="G80" s="77"/>
      <c r="H80" s="77"/>
      <c r="I80" s="77"/>
      <c r="J80" s="77"/>
      <c r="K80" s="77"/>
    </row>
    <row r="81" ht="15.75" customHeight="1">
      <c r="A81" s="77"/>
      <c r="B81" s="77"/>
      <c r="C81" s="77"/>
      <c r="D81" s="77"/>
      <c r="E81" s="77"/>
      <c r="F81" s="77"/>
      <c r="G81" s="77"/>
      <c r="H81" s="77"/>
      <c r="I81" s="77"/>
      <c r="J81" s="77"/>
      <c r="K81" s="77"/>
    </row>
    <row r="82" ht="15.75" customHeight="1">
      <c r="A82" s="77"/>
      <c r="B82" s="77"/>
      <c r="C82" s="77"/>
      <c r="D82" s="77"/>
      <c r="E82" s="77"/>
      <c r="F82" s="77"/>
      <c r="G82" s="77"/>
      <c r="H82" s="77"/>
      <c r="I82" s="77"/>
      <c r="J82" s="77"/>
      <c r="K82" s="77"/>
    </row>
    <row r="83" ht="15.75" customHeight="1">
      <c r="A83" s="77"/>
      <c r="B83" s="77"/>
      <c r="C83" s="77"/>
      <c r="D83" s="77"/>
      <c r="E83" s="77"/>
      <c r="F83" s="77"/>
      <c r="G83" s="77"/>
      <c r="H83" s="77"/>
      <c r="I83" s="77"/>
      <c r="J83" s="77"/>
      <c r="K83" s="77"/>
    </row>
    <row r="84" ht="15.75" customHeight="1">
      <c r="A84" s="77"/>
      <c r="B84" s="77"/>
      <c r="C84" s="77"/>
      <c r="D84" s="77"/>
      <c r="E84" s="77"/>
      <c r="F84" s="77"/>
      <c r="G84" s="77"/>
      <c r="H84" s="77"/>
      <c r="I84" s="77"/>
      <c r="J84" s="77"/>
      <c r="K84" s="77"/>
    </row>
    <row r="85" ht="15.75" customHeight="1">
      <c r="A85" s="77"/>
      <c r="B85" s="77"/>
      <c r="C85" s="77"/>
      <c r="D85" s="77"/>
      <c r="E85" s="77"/>
      <c r="F85" s="77"/>
      <c r="G85" s="77"/>
      <c r="H85" s="77"/>
      <c r="I85" s="77"/>
      <c r="J85" s="77"/>
      <c r="K85" s="77"/>
    </row>
    <row r="86" ht="15.75" customHeight="1">
      <c r="A86" s="77"/>
      <c r="B86" s="77"/>
      <c r="C86" s="77"/>
      <c r="D86" s="77"/>
      <c r="E86" s="77"/>
      <c r="F86" s="77"/>
      <c r="G86" s="77"/>
      <c r="H86" s="77"/>
      <c r="I86" s="77"/>
      <c r="J86" s="77"/>
      <c r="K86" s="77"/>
    </row>
    <row r="87" ht="15.75" customHeight="1">
      <c r="A87" s="77"/>
      <c r="B87" s="77"/>
      <c r="C87" s="77"/>
      <c r="D87" s="77"/>
      <c r="E87" s="77"/>
      <c r="F87" s="77"/>
      <c r="G87" s="77"/>
      <c r="H87" s="77"/>
      <c r="I87" s="77"/>
      <c r="J87" s="77"/>
      <c r="K87" s="77"/>
    </row>
    <row r="88" ht="15.75" customHeight="1">
      <c r="A88" s="77"/>
      <c r="B88" s="77"/>
      <c r="C88" s="77"/>
      <c r="D88" s="77"/>
      <c r="E88" s="77"/>
      <c r="F88" s="77"/>
      <c r="G88" s="77"/>
      <c r="H88" s="77"/>
      <c r="I88" s="77"/>
      <c r="J88" s="77"/>
      <c r="K88" s="77"/>
    </row>
    <row r="89" ht="15.75" customHeight="1">
      <c r="A89" s="77"/>
      <c r="B89" s="77"/>
      <c r="C89" s="77"/>
      <c r="D89" s="77"/>
      <c r="E89" s="77"/>
      <c r="F89" s="77"/>
      <c r="G89" s="77"/>
      <c r="H89" s="77"/>
      <c r="I89" s="77"/>
      <c r="J89" s="77"/>
      <c r="K89" s="77"/>
    </row>
    <row r="90" ht="15.75" customHeight="1">
      <c r="A90" s="77"/>
      <c r="B90" s="77"/>
      <c r="C90" s="77"/>
      <c r="D90" s="77"/>
      <c r="E90" s="77"/>
      <c r="F90" s="77"/>
      <c r="G90" s="77"/>
      <c r="H90" s="77"/>
      <c r="I90" s="77"/>
      <c r="J90" s="77"/>
      <c r="K90" s="77"/>
    </row>
    <row r="91" ht="15.75" customHeight="1">
      <c r="A91" s="77"/>
      <c r="B91" s="77"/>
      <c r="C91" s="77"/>
      <c r="D91" s="77"/>
      <c r="E91" s="77"/>
      <c r="F91" s="77"/>
      <c r="G91" s="77"/>
      <c r="H91" s="77"/>
      <c r="I91" s="77"/>
      <c r="J91" s="77"/>
      <c r="K91" s="77"/>
    </row>
    <row r="92" ht="15.75" customHeight="1">
      <c r="A92" s="77"/>
      <c r="B92" s="77"/>
      <c r="C92" s="77"/>
      <c r="D92" s="77"/>
      <c r="E92" s="77"/>
      <c r="F92" s="77"/>
      <c r="G92" s="77"/>
      <c r="H92" s="77"/>
      <c r="I92" s="77"/>
      <c r="J92" s="77"/>
      <c r="K92" s="77"/>
    </row>
    <row r="93" ht="15.75" customHeight="1">
      <c r="A93" s="77"/>
      <c r="B93" s="77"/>
      <c r="C93" s="77"/>
      <c r="D93" s="77"/>
      <c r="E93" s="77"/>
      <c r="F93" s="77"/>
      <c r="G93" s="77"/>
      <c r="H93" s="77"/>
      <c r="I93" s="77"/>
      <c r="J93" s="77"/>
      <c r="K93" s="77"/>
    </row>
    <row r="94" ht="15.75" customHeight="1">
      <c r="A94" s="77"/>
      <c r="B94" s="77"/>
      <c r="C94" s="77"/>
      <c r="D94" s="77"/>
      <c r="E94" s="77"/>
      <c r="F94" s="77"/>
      <c r="G94" s="77"/>
      <c r="H94" s="77"/>
      <c r="I94" s="77"/>
      <c r="J94" s="77"/>
      <c r="K94" s="77"/>
    </row>
    <row r="95" ht="15.75" customHeight="1">
      <c r="A95" s="77"/>
      <c r="B95" s="77"/>
      <c r="C95" s="77"/>
      <c r="D95" s="77"/>
      <c r="E95" s="77"/>
      <c r="F95" s="77"/>
      <c r="G95" s="77"/>
      <c r="H95" s="77"/>
      <c r="I95" s="77"/>
      <c r="J95" s="77"/>
      <c r="K95" s="77"/>
    </row>
    <row r="96" ht="15.75" customHeight="1">
      <c r="A96" s="77"/>
      <c r="B96" s="77"/>
      <c r="C96" s="77"/>
      <c r="D96" s="77"/>
      <c r="E96" s="77"/>
      <c r="F96" s="77"/>
      <c r="G96" s="77"/>
      <c r="H96" s="77"/>
      <c r="I96" s="77"/>
      <c r="J96" s="77"/>
      <c r="K96" s="77"/>
    </row>
    <row r="97" ht="15.75" customHeight="1">
      <c r="A97" s="77"/>
      <c r="B97" s="77"/>
      <c r="C97" s="77"/>
      <c r="D97" s="77"/>
      <c r="E97" s="77"/>
      <c r="F97" s="77"/>
      <c r="G97" s="77"/>
      <c r="H97" s="77"/>
      <c r="I97" s="77"/>
      <c r="J97" s="77"/>
      <c r="K97" s="77"/>
    </row>
    <row r="98" ht="15.75" customHeight="1">
      <c r="A98" s="77"/>
      <c r="B98" s="77"/>
      <c r="C98" s="77"/>
      <c r="D98" s="77"/>
      <c r="E98" s="77"/>
      <c r="F98" s="77"/>
      <c r="G98" s="77"/>
      <c r="H98" s="77"/>
      <c r="I98" s="77"/>
      <c r="J98" s="77"/>
      <c r="K98" s="77"/>
    </row>
    <row r="99" ht="15.75" customHeight="1">
      <c r="A99" s="77"/>
      <c r="B99" s="77"/>
      <c r="C99" s="77"/>
      <c r="D99" s="77"/>
      <c r="E99" s="77"/>
      <c r="F99" s="77"/>
      <c r="G99" s="77"/>
      <c r="H99" s="77"/>
      <c r="I99" s="77"/>
      <c r="J99" s="77"/>
      <c r="K99" s="77"/>
    </row>
    <row r="100" ht="15.75" customHeight="1">
      <c r="A100" s="77"/>
      <c r="B100" s="77"/>
      <c r="C100" s="77"/>
      <c r="D100" s="77"/>
      <c r="E100" s="77"/>
      <c r="F100" s="77"/>
      <c r="G100" s="77"/>
      <c r="H100" s="77"/>
      <c r="I100" s="77"/>
      <c r="J100" s="77"/>
      <c r="K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75"/>
    <col customWidth="1" min="2" max="2" width="15.13"/>
    <col customWidth="1" min="3" max="3" width="13.75"/>
    <col customWidth="1" min="4" max="4" width="12.75"/>
    <col customWidth="1" min="5" max="5" width="14.88"/>
    <col customWidth="1" min="6" max="6" width="19.25"/>
    <col customWidth="1" min="7" max="7" width="29.0"/>
    <col customWidth="1" min="8" max="8" width="13.25"/>
    <col customWidth="1" min="9" max="11" width="8.38"/>
    <col customWidth="1" min="12" max="26" width="11.25"/>
  </cols>
  <sheetData>
    <row r="1" ht="37.5" customHeight="1">
      <c r="A1" s="33" t="s">
        <v>72</v>
      </c>
      <c r="B1" s="35">
        <f>'Input sheet'!B1</f>
        <v>0.0</v>
      </c>
      <c r="C1" s="33" t="s">
        <v>57</v>
      </c>
      <c r="D1" s="37">
        <f>'Input sheet'!D1</f>
        <v>39.4</v>
      </c>
      <c r="E1" s="7"/>
      <c r="F1" s="7"/>
      <c r="G1" s="7"/>
      <c r="H1" s="7"/>
      <c r="I1" s="7"/>
      <c r="J1" s="7"/>
      <c r="K1" s="7"/>
    </row>
    <row r="2" ht="15.75" customHeight="1">
      <c r="A2" s="495" t="str">
        <f>'Input sheet'!B5</f>
        <v>Novo Nordisk A/S (ADR NYSE: NVO; 1 ADR = 1 acción B). Cifras en USD millones convertidas desde DKK</v>
      </c>
      <c r="B2" s="262"/>
      <c r="C2" s="262"/>
      <c r="D2" s="262"/>
      <c r="E2" s="262"/>
      <c r="F2" s="496"/>
      <c r="G2" s="497" t="str">
        <f>'Input sheet'!B4</f>
        <v>2026-09-23 00:00:00</v>
      </c>
      <c r="H2" s="9"/>
      <c r="I2" s="9"/>
      <c r="J2" s="9"/>
      <c r="K2" s="9"/>
    </row>
    <row r="3" ht="15.75" customHeight="1">
      <c r="A3" s="498" t="s">
        <v>672</v>
      </c>
      <c r="B3" s="262"/>
      <c r="C3" s="262"/>
      <c r="D3" s="262"/>
      <c r="E3" s="262"/>
      <c r="F3" s="262"/>
      <c r="G3" s="496"/>
      <c r="H3" s="9"/>
      <c r="I3" s="9"/>
      <c r="J3" s="9"/>
      <c r="K3" s="9"/>
    </row>
    <row r="4" ht="15.75" customHeight="1">
      <c r="A4" s="499" t="s">
        <v>673</v>
      </c>
      <c r="B4" s="500"/>
      <c r="C4" s="500"/>
      <c r="D4" s="500"/>
      <c r="E4" s="500"/>
      <c r="F4" s="500"/>
      <c r="G4" s="501"/>
      <c r="H4" s="502" t="s">
        <v>675</v>
      </c>
      <c r="I4" s="500"/>
      <c r="J4" s="500"/>
      <c r="K4" s="501"/>
    </row>
    <row r="5" ht="15.75" customHeight="1">
      <c r="A5" s="503"/>
      <c r="G5" s="504"/>
      <c r="H5" s="503"/>
      <c r="K5" s="504"/>
    </row>
    <row r="6" ht="12.0" customHeight="1">
      <c r="A6" s="503"/>
      <c r="G6" s="504"/>
      <c r="H6" s="503"/>
      <c r="K6" s="504"/>
    </row>
    <row r="7" ht="16.5" customHeight="1">
      <c r="A7" s="505"/>
      <c r="B7" s="506"/>
      <c r="C7" s="506"/>
      <c r="D7" s="506"/>
      <c r="E7" s="506"/>
      <c r="F7" s="506"/>
      <c r="G7" s="507"/>
      <c r="H7" s="505"/>
      <c r="I7" s="506"/>
      <c r="J7" s="506"/>
      <c r="K7" s="507"/>
    </row>
    <row r="8" ht="15.75" customHeight="1">
      <c r="A8" s="508" t="s">
        <v>676</v>
      </c>
      <c r="B8" s="262"/>
      <c r="C8" s="262"/>
      <c r="D8" s="262"/>
      <c r="E8" s="262"/>
      <c r="F8" s="262"/>
      <c r="G8" s="496"/>
      <c r="H8" s="9"/>
      <c r="I8" s="9"/>
      <c r="J8" s="9"/>
      <c r="K8" s="9"/>
    </row>
    <row r="9" ht="15.75" customHeight="1">
      <c r="A9" s="509"/>
      <c r="B9" s="510" t="s">
        <v>221</v>
      </c>
      <c r="C9" s="225" t="s">
        <v>678</v>
      </c>
      <c r="D9" s="512" t="s">
        <v>680</v>
      </c>
      <c r="E9" s="510" t="s">
        <v>681</v>
      </c>
      <c r="F9" s="510" t="s">
        <v>367</v>
      </c>
      <c r="G9" s="514" t="s">
        <v>682</v>
      </c>
      <c r="H9" s="9"/>
      <c r="I9" s="9"/>
      <c r="J9" s="9"/>
      <c r="K9" s="9"/>
    </row>
    <row r="10" ht="15.75" customHeight="1">
      <c r="A10" s="516" t="s">
        <v>684</v>
      </c>
      <c r="B10" s="518">
        <f>'Valuation output'!B5</f>
        <v>47254.1</v>
      </c>
      <c r="C10" s="520">
        <f>'Input sheet'!B27</f>
        <v>-0.04</v>
      </c>
      <c r="D10" s="525">
        <f>'Input sheet'!B29</f>
        <v>0.035</v>
      </c>
      <c r="E10" s="525" t="s">
        <v>690</v>
      </c>
      <c r="F10" s="269">
        <f>'Valuation output'!M4</f>
        <v>0.0496</v>
      </c>
      <c r="G10" s="527" t="s">
        <v>691</v>
      </c>
      <c r="H10" s="528" t="s">
        <v>692</v>
      </c>
      <c r="I10" s="500"/>
      <c r="J10" s="500"/>
      <c r="K10" s="501"/>
    </row>
    <row r="11" ht="15.75" customHeight="1">
      <c r="A11" s="516" t="s">
        <v>694</v>
      </c>
      <c r="B11" s="269">
        <f>'Valuation output'!B6</f>
        <v>0.494987948135717</v>
      </c>
      <c r="C11" s="520">
        <f>'Input sheet'!B28</f>
        <v>0.474987948135717</v>
      </c>
      <c r="D11" s="530" t="s">
        <v>696</v>
      </c>
      <c r="E11" s="533">
        <f>'Valuation output'!G6</f>
        <v>0.45</v>
      </c>
      <c r="F11" s="269">
        <f>'Valuation output'!M6</f>
        <v>0.45</v>
      </c>
      <c r="G11" s="536" t="s">
        <v>700</v>
      </c>
      <c r="H11" s="503"/>
      <c r="K11" s="504"/>
    </row>
    <row r="12" ht="15.75" customHeight="1">
      <c r="A12" s="516" t="s">
        <v>250</v>
      </c>
      <c r="B12" s="269">
        <f>'Valuation output'!B8</f>
        <v>0.2005</v>
      </c>
      <c r="C12" s="269"/>
      <c r="D12" s="525">
        <f>B12</f>
        <v>0.2005</v>
      </c>
      <c r="E12" s="525" t="s">
        <v>690</v>
      </c>
      <c r="F12" s="269">
        <f>'Valuation output'!M8</f>
        <v>0.22</v>
      </c>
      <c r="G12" s="540" t="s">
        <v>706</v>
      </c>
      <c r="H12" s="503"/>
      <c r="K12" s="504"/>
    </row>
    <row r="13" ht="15.75" customHeight="1">
      <c r="A13" s="516" t="s">
        <v>709</v>
      </c>
      <c r="B13" s="252"/>
      <c r="C13" s="280">
        <f>'Input sheet'!B32</f>
        <v>0.8</v>
      </c>
      <c r="D13" s="543">
        <f>'Input sheet'!B32</f>
        <v>0.8</v>
      </c>
      <c r="E13" s="545">
        <f>'Input sheet'!B33</f>
        <v>1.06978985539705</v>
      </c>
      <c r="F13" s="285">
        <f>'Valuation output'!M4/'Valuation output'!M42</f>
        <v>0.539717083786725</v>
      </c>
      <c r="G13" s="540" t="s">
        <v>713</v>
      </c>
      <c r="H13" s="503"/>
      <c r="K13" s="504"/>
    </row>
    <row r="14" ht="15.75" customHeight="1">
      <c r="A14" s="547" t="s">
        <v>714</v>
      </c>
      <c r="B14" s="548">
        <f>'Valuation output'!B42</f>
        <v>0.239788971742931</v>
      </c>
      <c r="C14" s="269" t="s">
        <v>716</v>
      </c>
      <c r="D14" s="549">
        <f>Diagnostics!C28</f>
        <v>0.0</v>
      </c>
      <c r="E14" s="496"/>
      <c r="F14" s="551">
        <f>'Valuation output'!M42</f>
        <v>0.0919</v>
      </c>
      <c r="G14" s="552" t="s">
        <v>720</v>
      </c>
      <c r="H14" s="503"/>
      <c r="K14" s="504"/>
    </row>
    <row r="15" ht="15.75" customHeight="1">
      <c r="A15" s="554" t="s">
        <v>723</v>
      </c>
      <c r="B15" s="555"/>
      <c r="C15" s="252"/>
      <c r="D15" s="530">
        <f>'Valuation output'!C14</f>
        <v>0.100420989928469</v>
      </c>
      <c r="E15" s="533"/>
      <c r="F15" s="557">
        <f>'Valuation output'!M14</f>
        <v>0.0919</v>
      </c>
      <c r="G15" s="559" t="s">
        <v>727</v>
      </c>
      <c r="H15" s="505"/>
      <c r="I15" s="506"/>
      <c r="J15" s="506"/>
      <c r="K15" s="507"/>
    </row>
    <row r="16" ht="15.75" customHeight="1">
      <c r="A16" s="560" t="s">
        <v>730</v>
      </c>
      <c r="G16" s="504"/>
      <c r="H16" s="9"/>
      <c r="I16" s="9"/>
      <c r="J16" s="9"/>
      <c r="K16" s="9"/>
    </row>
    <row r="17" ht="15.75" customHeight="1">
      <c r="A17" s="561"/>
      <c r="B17" s="563" t="s">
        <v>158</v>
      </c>
      <c r="C17" s="563" t="s">
        <v>521</v>
      </c>
      <c r="D17" s="564" t="s">
        <v>162</v>
      </c>
      <c r="E17" s="564" t="s">
        <v>735</v>
      </c>
      <c r="F17" s="564" t="s">
        <v>736</v>
      </c>
      <c r="G17" s="565" t="s">
        <v>81</v>
      </c>
      <c r="H17" s="528" t="s">
        <v>737</v>
      </c>
      <c r="I17" s="500"/>
      <c r="J17" s="500"/>
      <c r="K17" s="501"/>
    </row>
    <row r="18" ht="15.75" customHeight="1">
      <c r="A18" s="567">
        <v>1.0</v>
      </c>
      <c r="B18" s="518">
        <f>'Valuation output'!C5</f>
        <v>45363.936</v>
      </c>
      <c r="C18" s="269">
        <f>'Valuation output'!C6</f>
        <v>0.474987948135717</v>
      </c>
      <c r="D18" s="518">
        <f t="shared" ref="D18:D28" si="1">B18*C18</f>
        <v>21547.32288</v>
      </c>
      <c r="E18" s="518">
        <f>'Valuation output'!C9</f>
        <v>17227.08464256</v>
      </c>
      <c r="F18" s="518">
        <f>'Valuation output'!C10</f>
        <v>1984.6722</v>
      </c>
      <c r="G18" s="569">
        <f t="shared" ref="G18:G28" si="2">E18-F18</f>
        <v>15242.41244256</v>
      </c>
      <c r="H18" s="503"/>
      <c r="K18" s="504"/>
    </row>
    <row r="19" ht="15.75" customHeight="1">
      <c r="A19" s="567">
        <v>2.0</v>
      </c>
      <c r="B19" s="518">
        <f>'Valuation output'!D5</f>
        <v>46951.67376</v>
      </c>
      <c r="C19" s="269">
        <f>'Valuation output'!D6</f>
        <v>0.46499276888143</v>
      </c>
      <c r="D19" s="518">
        <f t="shared" si="1"/>
        <v>21832.18878528</v>
      </c>
      <c r="E19" s="518">
        <f>'Valuation output'!D9</f>
        <v>17454.8349338314</v>
      </c>
      <c r="F19" s="518">
        <f>'Valuation output'!D10</f>
        <v>2054.13572699999</v>
      </c>
      <c r="G19" s="569">
        <f t="shared" si="2"/>
        <v>15400.6992068314</v>
      </c>
      <c r="H19" s="503"/>
      <c r="K19" s="504"/>
    </row>
    <row r="20" ht="15.75" customHeight="1">
      <c r="A20" s="567">
        <v>3.0</v>
      </c>
      <c r="B20" s="518">
        <f>'Valuation output'!E5</f>
        <v>48594.9823416</v>
      </c>
      <c r="C20" s="269">
        <f>'Valuation output'!E6</f>
        <v>0.459995179254287</v>
      </c>
      <c r="D20" s="518">
        <f t="shared" si="1"/>
        <v>22353.4576130832</v>
      </c>
      <c r="E20" s="518">
        <f>'Valuation output'!E9</f>
        <v>17871.58936166</v>
      </c>
      <c r="F20" s="518">
        <f>'Valuation output'!E10</f>
        <v>2126.03047744499</v>
      </c>
      <c r="G20" s="569">
        <f t="shared" si="2"/>
        <v>15745.558884215</v>
      </c>
      <c r="H20" s="503"/>
      <c r="K20" s="504"/>
    </row>
    <row r="21" ht="15.75" customHeight="1">
      <c r="A21" s="567">
        <v>4.0</v>
      </c>
      <c r="B21" s="518">
        <f>'Valuation output'!F5</f>
        <v>50295.806723556</v>
      </c>
      <c r="C21" s="269">
        <f>'Valuation output'!F6</f>
        <v>0.454997589627144</v>
      </c>
      <c r="D21" s="518">
        <f t="shared" si="1"/>
        <v>22884.4708275706</v>
      </c>
      <c r="E21" s="518">
        <f>'Valuation output'!F9</f>
        <v>18296.1344266427</v>
      </c>
      <c r="F21" s="518">
        <f>'Valuation output'!F10</f>
        <v>2200.44154415556</v>
      </c>
      <c r="G21" s="569">
        <f t="shared" si="2"/>
        <v>16095.6928824872</v>
      </c>
      <c r="H21" s="503"/>
      <c r="K21" s="504"/>
    </row>
    <row r="22" ht="15.75" customHeight="1">
      <c r="A22" s="567">
        <v>5.0</v>
      </c>
      <c r="B22" s="518">
        <f>'Valuation output'!G5</f>
        <v>52056.1599588804</v>
      </c>
      <c r="C22" s="269">
        <f>'Valuation output'!G6</f>
        <v>0.45</v>
      </c>
      <c r="D22" s="518">
        <f t="shared" si="1"/>
        <v>23425.2719814962</v>
      </c>
      <c r="E22" s="518">
        <f>'Valuation output'!G9</f>
        <v>18728.5049492062</v>
      </c>
      <c r="F22" s="518">
        <f>'Valuation output'!G10</f>
        <v>2467.46198205093</v>
      </c>
      <c r="G22" s="569">
        <f t="shared" si="2"/>
        <v>16261.0429671553</v>
      </c>
      <c r="H22" s="503"/>
      <c r="K22" s="504"/>
    </row>
    <row r="23" ht="15.75" customHeight="1">
      <c r="A23" s="567">
        <v>6.0</v>
      </c>
      <c r="B23" s="518">
        <f>'Valuation output'!H5</f>
        <v>54030.1295445212</v>
      </c>
      <c r="C23" s="269">
        <f>'Valuation output'!H6</f>
        <v>0.45</v>
      </c>
      <c r="D23" s="518">
        <f t="shared" si="1"/>
        <v>24313.5582950345</v>
      </c>
      <c r="E23" s="518">
        <f>'Valuation output'!H9</f>
        <v>19343.8669795295</v>
      </c>
      <c r="F23" s="518">
        <f>'Valuation output'!H10</f>
        <v>2062.63919915307</v>
      </c>
      <c r="G23" s="569">
        <f t="shared" si="2"/>
        <v>17281.2277803764</v>
      </c>
      <c r="H23" s="503"/>
      <c r="K23" s="504"/>
    </row>
    <row r="24" ht="15.75" customHeight="1">
      <c r="A24" s="567">
        <v>7.0</v>
      </c>
      <c r="B24" s="518">
        <f>'Valuation output'!I5</f>
        <v>56236.7200351194</v>
      </c>
      <c r="C24" s="269">
        <f>'Valuation output'!I6</f>
        <v>0.45</v>
      </c>
      <c r="D24" s="518">
        <f t="shared" si="1"/>
        <v>25306.5240158037</v>
      </c>
      <c r="E24" s="518">
        <f>'Valuation output'!I9</f>
        <v>20035.1750633118</v>
      </c>
      <c r="F24" s="518">
        <f>'Valuation output'!I10</f>
        <v>2300.37596292542</v>
      </c>
      <c r="G24" s="569">
        <f t="shared" si="2"/>
        <v>17734.7991003864</v>
      </c>
      <c r="H24" s="503"/>
      <c r="K24" s="504"/>
    </row>
    <row r="25" ht="15.75" customHeight="1">
      <c r="A25" s="567">
        <v>8.0</v>
      </c>
      <c r="B25" s="518">
        <f>'Valuation output'!J5</f>
        <v>58697.6389038563</v>
      </c>
      <c r="C25" s="269">
        <f>'Valuation output'!J6</f>
        <v>0.45</v>
      </c>
      <c r="D25" s="518">
        <f t="shared" si="1"/>
        <v>26413.9375067353</v>
      </c>
      <c r="E25" s="518">
        <f>'Valuation output'!J9</f>
        <v>20808.8999678061</v>
      </c>
      <c r="F25" s="518">
        <f>'Valuation output'!J10</f>
        <v>2561.25609175372</v>
      </c>
      <c r="G25" s="569">
        <f t="shared" si="2"/>
        <v>18247.6438760524</v>
      </c>
      <c r="H25" s="503"/>
      <c r="K25" s="504"/>
    </row>
    <row r="26" ht="15.75" customHeight="1">
      <c r="A26" s="567">
        <v>9.0</v>
      </c>
      <c r="B26" s="518">
        <f>'Valuation output'!K5</f>
        <v>61437.6446878883</v>
      </c>
      <c r="C26" s="269">
        <f>'Valuation output'!K6</f>
        <v>0.45</v>
      </c>
      <c r="D26" s="518">
        <f t="shared" si="1"/>
        <v>27646.9401095497</v>
      </c>
      <c r="E26" s="518">
        <f>'Valuation output'!K9</f>
        <v>21672.436351876</v>
      </c>
      <c r="F26" s="518">
        <f>'Valuation output'!K10</f>
        <v>2848.51007059538</v>
      </c>
      <c r="G26" s="569">
        <f t="shared" si="2"/>
        <v>18823.9262812807</v>
      </c>
      <c r="H26" s="503"/>
      <c r="K26" s="504"/>
    </row>
    <row r="27" ht="15.75" customHeight="1">
      <c r="A27" s="567">
        <v>10.0</v>
      </c>
      <c r="B27" s="518">
        <f>'Valuation output'!L5</f>
        <v>64484.9518644075</v>
      </c>
      <c r="C27" s="269">
        <f>'Valuation output'!L6</f>
        <v>0.45</v>
      </c>
      <c r="D27" s="518">
        <f t="shared" si="1"/>
        <v>29018.2283389834</v>
      </c>
      <c r="E27" s="518">
        <f>'Valuation output'!L9</f>
        <v>22634.218104407</v>
      </c>
      <c r="F27" s="518">
        <f>'Valuation output'!L10</f>
        <v>2989.79617009691</v>
      </c>
      <c r="G27" s="569">
        <f t="shared" si="2"/>
        <v>19644.4219343101</v>
      </c>
      <c r="H27" s="503"/>
      <c r="K27" s="504"/>
    </row>
    <row r="28" ht="15.75" customHeight="1">
      <c r="A28" s="582" t="s">
        <v>223</v>
      </c>
      <c r="B28" s="586">
        <f>'Valuation output'!M5</f>
        <v>67683.4054768822</v>
      </c>
      <c r="C28" s="557">
        <f>'Valuation output'!M6</f>
        <v>0.45</v>
      </c>
      <c r="D28" s="518">
        <f t="shared" si="1"/>
        <v>30457.532464597</v>
      </c>
      <c r="E28" s="586">
        <f>'Valuation output'!M9</f>
        <v>23756.8753223856</v>
      </c>
      <c r="F28" s="586">
        <f>'Valuation output'!M10</f>
        <v>12821.9914688828</v>
      </c>
      <c r="G28" s="569">
        <f t="shared" si="2"/>
        <v>10934.8838535029</v>
      </c>
      <c r="H28" s="505"/>
      <c r="I28" s="506"/>
      <c r="J28" s="506"/>
      <c r="K28" s="507"/>
    </row>
    <row r="29" ht="15.75" customHeight="1">
      <c r="A29" s="560" t="s">
        <v>761</v>
      </c>
      <c r="G29" s="504"/>
      <c r="H29" s="9"/>
      <c r="I29" s="9"/>
      <c r="J29" s="9"/>
      <c r="K29" s="9"/>
    </row>
    <row r="30" ht="15.75" customHeight="1">
      <c r="A30" s="596" t="s">
        <v>325</v>
      </c>
      <c r="B30" s="597"/>
      <c r="C30" s="597"/>
      <c r="D30" s="598">
        <f>'Valuation output'!B20</f>
        <v>258507.892517798</v>
      </c>
      <c r="E30" s="600"/>
      <c r="F30" s="603"/>
      <c r="G30" s="605"/>
      <c r="H30" s="607" t="s">
        <v>776</v>
      </c>
    </row>
    <row r="31" ht="15.75" customHeight="1">
      <c r="A31" s="611" t="s">
        <v>326</v>
      </c>
      <c r="B31" s="262"/>
      <c r="C31" s="262"/>
      <c r="D31" s="598">
        <f>'Valuation output'!B21</f>
        <v>101625.489783422</v>
      </c>
      <c r="E31" s="613"/>
      <c r="F31" s="206"/>
      <c r="G31" s="257"/>
      <c r="H31" s="223"/>
    </row>
    <row r="32" ht="15.75" customHeight="1">
      <c r="A32" s="611" t="s">
        <v>327</v>
      </c>
      <c r="B32" s="262"/>
      <c r="C32" s="262"/>
      <c r="D32" s="598">
        <f>'Valuation output'!B22</f>
        <v>102675.293198787</v>
      </c>
      <c r="E32" s="613"/>
      <c r="F32" s="206"/>
      <c r="G32" s="257"/>
      <c r="H32" s="223"/>
    </row>
    <row r="33" ht="15.75" customHeight="1">
      <c r="A33" s="611" t="s">
        <v>331</v>
      </c>
      <c r="B33" s="262"/>
      <c r="C33" s="262"/>
      <c r="D33" s="598">
        <f>'Valuation output'!B23</f>
        <v>204300.782982208</v>
      </c>
      <c r="E33" s="613"/>
      <c r="F33" s="206"/>
      <c r="G33" s="257"/>
      <c r="H33" s="223"/>
    </row>
    <row r="34" ht="15.75" customHeight="1">
      <c r="A34" s="611" t="s">
        <v>777</v>
      </c>
      <c r="B34" s="262"/>
      <c r="C34" s="262"/>
      <c r="D34" s="598">
        <f>D33-'Valuation output'!B26</f>
        <v>0.0</v>
      </c>
      <c r="E34" s="615" t="s">
        <v>329</v>
      </c>
      <c r="F34" s="262"/>
      <c r="G34" s="616">
        <f>'Valuation output'!B24</f>
        <v>0.0</v>
      </c>
      <c r="H34" s="223"/>
    </row>
    <row r="35" ht="15.75" customHeight="1">
      <c r="A35" s="611" t="s">
        <v>778</v>
      </c>
      <c r="B35" s="262"/>
      <c r="C35" s="262"/>
      <c r="D35" s="598">
        <f>'Valuation output'!B27+'Valuation output'!B28</f>
        <v>21361.0</v>
      </c>
      <c r="E35" s="613"/>
      <c r="F35" s="206"/>
      <c r="G35" s="257"/>
      <c r="H35" s="223"/>
    </row>
    <row r="36" ht="15.75" customHeight="1">
      <c r="A36" s="611" t="s">
        <v>779</v>
      </c>
      <c r="B36" s="262"/>
      <c r="C36" s="262"/>
      <c r="D36" s="598">
        <f>'Valuation output'!B29+'Valuation output'!B30</f>
        <v>11800.8</v>
      </c>
      <c r="E36" s="613"/>
      <c r="F36" s="206"/>
      <c r="G36" s="257"/>
      <c r="H36" s="223"/>
    </row>
    <row r="37" ht="15.75" customHeight="1">
      <c r="A37" s="611" t="s">
        <v>347</v>
      </c>
      <c r="B37" s="262"/>
      <c r="C37" s="262"/>
      <c r="D37" s="598">
        <f>D33-D34-D35+D36</f>
        <v>194740.582982208</v>
      </c>
      <c r="E37" s="613"/>
      <c r="F37" s="206"/>
      <c r="G37" s="257"/>
      <c r="H37" s="223"/>
    </row>
    <row r="38" ht="15.75" customHeight="1">
      <c r="A38" s="611" t="s">
        <v>780</v>
      </c>
      <c r="B38" s="262"/>
      <c r="C38" s="262"/>
      <c r="D38" s="598">
        <f>'Valuation output'!B32</f>
        <v>0.0</v>
      </c>
      <c r="E38" s="613"/>
      <c r="F38" s="206"/>
      <c r="G38" s="257"/>
      <c r="H38" s="223"/>
    </row>
    <row r="39" ht="15.75" customHeight="1">
      <c r="A39" s="611" t="s">
        <v>356</v>
      </c>
      <c r="B39" s="262"/>
      <c r="C39" s="496"/>
      <c r="D39" s="617">
        <f>'Valuation output'!B34</f>
        <v>4416.8</v>
      </c>
      <c r="E39" s="206"/>
      <c r="F39" s="618"/>
      <c r="G39" s="257"/>
      <c r="H39" s="223"/>
    </row>
    <row r="40" ht="15.75" customHeight="1">
      <c r="A40" s="619" t="s">
        <v>781</v>
      </c>
      <c r="B40" s="620"/>
      <c r="C40" s="621"/>
      <c r="D40" s="598">
        <f>(D37-D38)/D39</f>
        <v>44.0908764223439</v>
      </c>
      <c r="E40" s="622" t="s">
        <v>782</v>
      </c>
      <c r="F40" s="218"/>
      <c r="G40" s="623">
        <f>'Input sheet'!B23</f>
        <v>39.4</v>
      </c>
      <c r="H40" s="223"/>
    </row>
    <row r="41" ht="15.75" customHeight="1">
      <c r="A41" s="206"/>
      <c r="B41" s="206"/>
      <c r="C41" s="206"/>
      <c r="D41" s="206"/>
      <c r="E41" s="206"/>
      <c r="F41" s="618"/>
      <c r="G41" s="206"/>
      <c r="H41" s="9"/>
      <c r="I41" s="9"/>
      <c r="J41" s="9"/>
      <c r="K41" s="9"/>
    </row>
    <row r="42" ht="15.75" customHeight="1">
      <c r="A42" s="206"/>
      <c r="B42" s="206"/>
      <c r="C42" s="206"/>
      <c r="D42" s="206"/>
      <c r="E42" s="206"/>
      <c r="F42" s="618"/>
      <c r="G42" s="206"/>
      <c r="H42" s="9"/>
      <c r="I42" s="9"/>
      <c r="J42" s="9"/>
      <c r="K42" s="9"/>
    </row>
    <row r="43" ht="15.75" customHeight="1">
      <c r="A43" s="206"/>
      <c r="B43" s="206"/>
      <c r="C43" s="206"/>
      <c r="D43" s="206"/>
      <c r="E43" s="206"/>
      <c r="F43" s="618"/>
      <c r="G43" s="206"/>
      <c r="H43" s="9"/>
      <c r="I43" s="9"/>
      <c r="J43" s="9"/>
      <c r="K43" s="9"/>
    </row>
    <row r="44" ht="15.75" customHeight="1">
      <c r="A44" s="206"/>
      <c r="B44" s="206"/>
      <c r="C44" s="206"/>
      <c r="D44" s="206"/>
      <c r="E44" s="206"/>
      <c r="F44" s="618"/>
      <c r="G44" s="206"/>
      <c r="H44" s="9"/>
      <c r="I44" s="9"/>
      <c r="J44" s="9"/>
      <c r="K44" s="9"/>
    </row>
    <row r="45" ht="15.75" customHeight="1">
      <c r="A45" s="206"/>
      <c r="B45" s="206"/>
      <c r="C45" s="206"/>
      <c r="D45" s="206"/>
      <c r="E45" s="206"/>
      <c r="F45" s="618"/>
      <c r="G45" s="206"/>
      <c r="H45" s="9"/>
      <c r="I45" s="9"/>
      <c r="J45" s="9"/>
      <c r="K45" s="9"/>
    </row>
    <row r="46" ht="15.75" customHeight="1">
      <c r="A46" s="206"/>
      <c r="B46" s="206"/>
      <c r="C46" s="206"/>
      <c r="D46" s="206"/>
      <c r="E46" s="206"/>
      <c r="F46" s="618"/>
      <c r="G46" s="206"/>
      <c r="H46" s="9"/>
      <c r="I46" s="9"/>
      <c r="J46" s="9"/>
      <c r="K46" s="9"/>
    </row>
    <row r="47" ht="15.75" customHeight="1">
      <c r="A47" s="206"/>
      <c r="B47" s="206"/>
      <c r="C47" s="206"/>
      <c r="D47" s="206"/>
      <c r="E47" s="206"/>
      <c r="F47" s="618"/>
      <c r="G47" s="206"/>
      <c r="H47" s="9"/>
      <c r="I47" s="9"/>
      <c r="J47" s="9"/>
      <c r="K47" s="9"/>
    </row>
    <row r="48" ht="15.75" customHeight="1">
      <c r="A48" s="206"/>
      <c r="B48" s="206"/>
      <c r="C48" s="206"/>
      <c r="D48" s="206"/>
      <c r="E48" s="206"/>
      <c r="F48" s="618"/>
      <c r="G48" s="206"/>
      <c r="H48" s="9"/>
      <c r="I48" s="9"/>
      <c r="J48" s="9"/>
      <c r="K48" s="9"/>
    </row>
    <row r="49" ht="15.75" customHeight="1">
      <c r="A49" s="206"/>
      <c r="B49" s="206"/>
      <c r="C49" s="206"/>
      <c r="D49" s="206"/>
      <c r="E49" s="206"/>
      <c r="F49" s="618"/>
      <c r="G49" s="206"/>
      <c r="H49" s="9"/>
      <c r="I49" s="9"/>
      <c r="J49" s="9"/>
      <c r="K49" s="9"/>
    </row>
    <row r="50" ht="15.75" customHeight="1">
      <c r="A50" s="206"/>
      <c r="B50" s="206"/>
      <c r="C50" s="206"/>
      <c r="D50" s="206"/>
      <c r="E50" s="206"/>
      <c r="F50" s="618"/>
      <c r="G50" s="206"/>
      <c r="H50" s="9"/>
      <c r="I50" s="9"/>
      <c r="J50" s="9"/>
      <c r="K50" s="9"/>
    </row>
    <row r="51" ht="15.75" customHeight="1">
      <c r="A51" s="206"/>
      <c r="B51" s="206"/>
      <c r="C51" s="206"/>
      <c r="D51" s="206"/>
      <c r="E51" s="206"/>
      <c r="F51" s="618"/>
      <c r="G51" s="206"/>
      <c r="H51" s="9"/>
      <c r="I51" s="9"/>
      <c r="J51" s="9"/>
      <c r="K51" s="9"/>
    </row>
    <row r="52" ht="15.75" customHeight="1">
      <c r="A52" s="206"/>
      <c r="B52" s="206"/>
      <c r="C52" s="206"/>
      <c r="D52" s="206"/>
      <c r="E52" s="206"/>
      <c r="F52" s="618"/>
      <c r="G52" s="206"/>
      <c r="H52" s="9"/>
      <c r="I52" s="9"/>
      <c r="J52" s="9"/>
      <c r="K52" s="9"/>
    </row>
    <row r="53" ht="15.75" customHeight="1">
      <c r="A53" s="206"/>
      <c r="B53" s="206"/>
      <c r="C53" s="206"/>
      <c r="D53" s="206"/>
      <c r="E53" s="206"/>
      <c r="F53" s="618"/>
      <c r="G53" s="206"/>
      <c r="H53" s="9"/>
      <c r="I53" s="9"/>
      <c r="J53" s="9"/>
      <c r="K53" s="9"/>
    </row>
    <row r="54" ht="15.75" customHeight="1">
      <c r="A54" s="206"/>
      <c r="B54" s="206"/>
      <c r="C54" s="206"/>
      <c r="D54" s="206"/>
      <c r="E54" s="206"/>
      <c r="F54" s="618"/>
      <c r="G54" s="206"/>
      <c r="H54" s="9"/>
      <c r="I54" s="9"/>
      <c r="J54" s="9"/>
      <c r="K54" s="9"/>
    </row>
    <row r="55" ht="15.75" customHeight="1">
      <c r="A55" s="206"/>
      <c r="B55" s="206"/>
      <c r="C55" s="206"/>
      <c r="D55" s="206"/>
      <c r="E55" s="206"/>
      <c r="F55" s="618"/>
      <c r="G55" s="206"/>
      <c r="H55" s="9"/>
      <c r="I55" s="9"/>
      <c r="J55" s="9"/>
      <c r="K55" s="9"/>
    </row>
    <row r="56" ht="15.75" customHeight="1">
      <c r="A56" s="77"/>
      <c r="B56" s="77"/>
      <c r="C56" s="77"/>
      <c r="D56" s="77"/>
      <c r="E56" s="77"/>
      <c r="F56" s="77"/>
      <c r="G56" s="77"/>
      <c r="H56" s="77"/>
      <c r="I56" s="77"/>
      <c r="J56" s="77"/>
      <c r="K56" s="77"/>
    </row>
    <row r="57" ht="15.75" customHeight="1">
      <c r="A57" s="77"/>
      <c r="B57" s="77"/>
      <c r="C57" s="77"/>
      <c r="D57" s="77"/>
      <c r="E57" s="77"/>
      <c r="F57" s="77"/>
      <c r="G57" s="77"/>
      <c r="H57" s="77"/>
      <c r="I57" s="77"/>
      <c r="J57" s="77"/>
      <c r="K57" s="77"/>
    </row>
    <row r="58" ht="15.75" customHeight="1">
      <c r="A58" s="77"/>
      <c r="B58" s="77"/>
      <c r="C58" s="77"/>
      <c r="D58" s="77"/>
      <c r="E58" s="77"/>
      <c r="F58" s="77"/>
      <c r="G58" s="77"/>
      <c r="H58" s="77"/>
      <c r="I58" s="77"/>
      <c r="J58" s="77"/>
      <c r="K58" s="77"/>
    </row>
    <row r="59" ht="15.75" customHeight="1">
      <c r="A59" s="77"/>
      <c r="B59" s="77"/>
      <c r="C59" s="77"/>
      <c r="D59" s="77"/>
      <c r="E59" s="77"/>
      <c r="F59" s="77"/>
      <c r="G59" s="77"/>
      <c r="H59" s="77"/>
      <c r="I59" s="77"/>
      <c r="J59" s="77"/>
      <c r="K59" s="77"/>
    </row>
    <row r="60" ht="15.75" customHeight="1">
      <c r="A60" s="77"/>
      <c r="B60" s="77"/>
      <c r="C60" s="77"/>
      <c r="D60" s="77"/>
      <c r="E60" s="77"/>
      <c r="F60" s="77"/>
      <c r="G60" s="77"/>
      <c r="H60" s="77"/>
      <c r="I60" s="77"/>
      <c r="J60" s="77"/>
      <c r="K60" s="77"/>
    </row>
    <row r="61" ht="15.75" customHeight="1">
      <c r="A61" s="77"/>
      <c r="B61" s="77"/>
      <c r="C61" s="77"/>
      <c r="D61" s="77"/>
      <c r="E61" s="77"/>
      <c r="F61" s="77"/>
      <c r="G61" s="77"/>
      <c r="H61" s="77"/>
      <c r="I61" s="77"/>
      <c r="J61" s="77"/>
      <c r="K61" s="77"/>
    </row>
    <row r="62" ht="15.75" customHeight="1">
      <c r="A62" s="77"/>
      <c r="B62" s="77"/>
      <c r="C62" s="77"/>
      <c r="D62" s="77"/>
      <c r="E62" s="77"/>
      <c r="F62" s="77"/>
      <c r="G62" s="77"/>
      <c r="H62" s="77"/>
      <c r="I62" s="77"/>
      <c r="J62" s="77"/>
      <c r="K62" s="77"/>
    </row>
    <row r="63" ht="15.75" customHeight="1">
      <c r="A63" s="77"/>
      <c r="B63" s="77"/>
      <c r="C63" s="77"/>
      <c r="D63" s="77"/>
      <c r="E63" s="77"/>
      <c r="F63" s="77"/>
      <c r="G63" s="77"/>
      <c r="H63" s="77"/>
      <c r="I63" s="77"/>
      <c r="J63" s="77"/>
      <c r="K63" s="77"/>
    </row>
    <row r="64" ht="15.75" customHeight="1">
      <c r="A64" s="77"/>
      <c r="B64" s="77"/>
      <c r="C64" s="77"/>
      <c r="D64" s="77"/>
      <c r="E64" s="77"/>
      <c r="F64" s="77"/>
      <c r="G64" s="77"/>
      <c r="H64" s="77"/>
      <c r="I64" s="77"/>
      <c r="J64" s="77"/>
      <c r="K64" s="77"/>
    </row>
    <row r="65" ht="15.75" customHeight="1">
      <c r="A65" s="77"/>
      <c r="B65" s="77"/>
      <c r="C65" s="77"/>
      <c r="D65" s="77"/>
      <c r="E65" s="77"/>
      <c r="F65" s="77"/>
      <c r="G65" s="77"/>
      <c r="H65" s="77"/>
      <c r="I65" s="77"/>
      <c r="J65" s="77"/>
      <c r="K65" s="77"/>
    </row>
    <row r="66" ht="15.75" customHeight="1">
      <c r="A66" s="77"/>
      <c r="B66" s="77"/>
      <c r="C66" s="77"/>
      <c r="D66" s="77"/>
      <c r="E66" s="77"/>
      <c r="F66" s="77"/>
      <c r="G66" s="77"/>
      <c r="H66" s="77"/>
      <c r="I66" s="77"/>
      <c r="J66" s="77"/>
      <c r="K66" s="77"/>
    </row>
    <row r="67" ht="15.75" customHeight="1">
      <c r="A67" s="77"/>
      <c r="B67" s="77"/>
      <c r="C67" s="77"/>
      <c r="D67" s="77"/>
      <c r="E67" s="77"/>
      <c r="F67" s="77"/>
      <c r="G67" s="77"/>
      <c r="H67" s="77"/>
      <c r="I67" s="77"/>
      <c r="J67" s="77"/>
      <c r="K67" s="77"/>
    </row>
    <row r="68" ht="15.75" customHeight="1">
      <c r="A68" s="77"/>
      <c r="B68" s="77"/>
      <c r="C68" s="77"/>
      <c r="D68" s="77"/>
      <c r="E68" s="77"/>
      <c r="F68" s="77"/>
      <c r="G68" s="77"/>
      <c r="H68" s="77"/>
      <c r="I68" s="77"/>
      <c r="J68" s="77"/>
      <c r="K68" s="77"/>
    </row>
    <row r="69" ht="15.75" customHeight="1">
      <c r="A69" s="77"/>
      <c r="B69" s="77"/>
      <c r="C69" s="77"/>
      <c r="D69" s="77"/>
      <c r="E69" s="77"/>
      <c r="F69" s="77"/>
      <c r="G69" s="77"/>
      <c r="H69" s="77"/>
      <c r="I69" s="77"/>
      <c r="J69" s="77"/>
      <c r="K69" s="77"/>
    </row>
    <row r="70" ht="15.75" customHeight="1">
      <c r="A70" s="77"/>
      <c r="B70" s="77"/>
      <c r="C70" s="77"/>
      <c r="D70" s="77"/>
      <c r="E70" s="77"/>
      <c r="F70" s="77"/>
      <c r="G70" s="77"/>
      <c r="H70" s="77"/>
      <c r="I70" s="77"/>
      <c r="J70" s="77"/>
      <c r="K70" s="77"/>
    </row>
    <row r="71" ht="15.75" customHeight="1">
      <c r="A71" s="77"/>
      <c r="B71" s="77"/>
      <c r="C71" s="77"/>
      <c r="D71" s="77"/>
      <c r="E71" s="77"/>
      <c r="F71" s="77"/>
      <c r="G71" s="77"/>
      <c r="H71" s="77"/>
      <c r="I71" s="77"/>
      <c r="J71" s="77"/>
      <c r="K71" s="77"/>
    </row>
    <row r="72" ht="15.75" customHeight="1">
      <c r="A72" s="77"/>
      <c r="B72" s="77"/>
      <c r="C72" s="77"/>
      <c r="D72" s="77"/>
      <c r="E72" s="77"/>
      <c r="F72" s="77"/>
      <c r="G72" s="77"/>
      <c r="H72" s="77"/>
      <c r="I72" s="77"/>
      <c r="J72" s="77"/>
      <c r="K72" s="77"/>
    </row>
    <row r="73" ht="15.75" customHeight="1">
      <c r="A73" s="77"/>
      <c r="B73" s="77"/>
      <c r="C73" s="77"/>
      <c r="D73" s="77"/>
      <c r="E73" s="77"/>
      <c r="F73" s="77"/>
      <c r="G73" s="77"/>
      <c r="H73" s="77"/>
      <c r="I73" s="77"/>
      <c r="J73" s="77"/>
      <c r="K73" s="77"/>
    </row>
    <row r="74" ht="15.75" customHeight="1">
      <c r="A74" s="77"/>
      <c r="B74" s="77"/>
      <c r="C74" s="77"/>
      <c r="D74" s="77"/>
      <c r="E74" s="77"/>
      <c r="F74" s="77"/>
      <c r="G74" s="77"/>
      <c r="H74" s="77"/>
      <c r="I74" s="77"/>
      <c r="J74" s="77"/>
      <c r="K74" s="77"/>
    </row>
    <row r="75" ht="15.75" customHeight="1">
      <c r="A75" s="77"/>
      <c r="B75" s="77"/>
      <c r="C75" s="77"/>
      <c r="D75" s="77"/>
      <c r="E75" s="77"/>
      <c r="F75" s="77"/>
      <c r="G75" s="77"/>
      <c r="H75" s="77"/>
      <c r="I75" s="77"/>
      <c r="J75" s="77"/>
      <c r="K75" s="77"/>
    </row>
    <row r="76" ht="15.75" customHeight="1">
      <c r="A76" s="77"/>
      <c r="B76" s="77"/>
      <c r="C76" s="77"/>
      <c r="D76" s="77"/>
      <c r="E76" s="77"/>
      <c r="F76" s="77"/>
      <c r="G76" s="77"/>
      <c r="H76" s="77"/>
      <c r="I76" s="77"/>
      <c r="J76" s="77"/>
      <c r="K76" s="77"/>
    </row>
    <row r="77" ht="15.75" customHeight="1">
      <c r="A77" s="77"/>
      <c r="B77" s="77"/>
      <c r="C77" s="77"/>
      <c r="D77" s="77"/>
      <c r="E77" s="77"/>
      <c r="F77" s="77"/>
      <c r="G77" s="77"/>
      <c r="H77" s="77"/>
      <c r="I77" s="77"/>
      <c r="J77" s="77"/>
      <c r="K77" s="77"/>
    </row>
    <row r="78" ht="15.75" customHeight="1">
      <c r="A78" s="77"/>
      <c r="B78" s="77"/>
      <c r="C78" s="77"/>
      <c r="D78" s="77"/>
      <c r="E78" s="77"/>
      <c r="F78" s="77"/>
      <c r="G78" s="77"/>
      <c r="H78" s="77"/>
      <c r="I78" s="77"/>
      <c r="J78" s="77"/>
      <c r="K78" s="77"/>
    </row>
    <row r="79" ht="15.75" customHeight="1">
      <c r="A79" s="77"/>
      <c r="B79" s="77"/>
      <c r="C79" s="77"/>
      <c r="D79" s="77"/>
      <c r="E79" s="77"/>
      <c r="F79" s="77"/>
      <c r="G79" s="77"/>
      <c r="H79" s="77"/>
      <c r="I79" s="77"/>
      <c r="J79" s="77"/>
      <c r="K79" s="77"/>
    </row>
    <row r="80" ht="15.75" customHeight="1">
      <c r="A80" s="77"/>
      <c r="B80" s="77"/>
      <c r="C80" s="77"/>
      <c r="D80" s="77"/>
      <c r="E80" s="77"/>
      <c r="F80" s="77"/>
      <c r="G80" s="77"/>
      <c r="H80" s="77"/>
      <c r="I80" s="77"/>
      <c r="J80" s="77"/>
      <c r="K80" s="77"/>
    </row>
    <row r="81" ht="15.75" customHeight="1">
      <c r="A81" s="77"/>
      <c r="B81" s="77"/>
      <c r="C81" s="77"/>
      <c r="D81" s="77"/>
      <c r="E81" s="77"/>
      <c r="F81" s="77"/>
      <c r="G81" s="77"/>
      <c r="H81" s="77"/>
      <c r="I81" s="77"/>
      <c r="J81" s="77"/>
      <c r="K81" s="77"/>
    </row>
    <row r="82" ht="15.75" customHeight="1">
      <c r="A82" s="77"/>
      <c r="B82" s="77"/>
      <c r="C82" s="77"/>
      <c r="D82" s="77"/>
      <c r="E82" s="77"/>
      <c r="F82" s="77"/>
      <c r="G82" s="77"/>
      <c r="H82" s="77"/>
      <c r="I82" s="77"/>
      <c r="J82" s="77"/>
      <c r="K82" s="77"/>
    </row>
    <row r="83" ht="15.75" customHeight="1">
      <c r="A83" s="77"/>
      <c r="B83" s="77"/>
      <c r="C83" s="77"/>
      <c r="D83" s="77"/>
      <c r="E83" s="77"/>
      <c r="F83" s="77"/>
      <c r="G83" s="77"/>
      <c r="H83" s="77"/>
      <c r="I83" s="77"/>
      <c r="J83" s="77"/>
      <c r="K83" s="77"/>
    </row>
    <row r="84" ht="15.75" customHeight="1">
      <c r="A84" s="77"/>
      <c r="B84" s="77"/>
      <c r="C84" s="77"/>
      <c r="D84" s="77"/>
      <c r="E84" s="77"/>
      <c r="F84" s="77"/>
      <c r="G84" s="77"/>
      <c r="H84" s="77"/>
      <c r="I84" s="77"/>
      <c r="J84" s="77"/>
      <c r="K84" s="77"/>
    </row>
    <row r="85" ht="15.75" customHeight="1">
      <c r="A85" s="77"/>
      <c r="B85" s="77"/>
      <c r="C85" s="77"/>
      <c r="D85" s="77"/>
      <c r="E85" s="77"/>
      <c r="F85" s="77"/>
      <c r="G85" s="77"/>
      <c r="H85" s="77"/>
      <c r="I85" s="77"/>
      <c r="J85" s="77"/>
      <c r="K85" s="77"/>
    </row>
    <row r="86" ht="15.75" customHeight="1">
      <c r="A86" s="77"/>
      <c r="B86" s="77"/>
      <c r="C86" s="77"/>
      <c r="D86" s="77"/>
      <c r="E86" s="77"/>
      <c r="F86" s="77"/>
      <c r="G86" s="77"/>
      <c r="H86" s="77"/>
      <c r="I86" s="77"/>
      <c r="J86" s="77"/>
      <c r="K86" s="77"/>
    </row>
    <row r="87" ht="15.75" customHeight="1">
      <c r="A87" s="77"/>
      <c r="B87" s="77"/>
      <c r="C87" s="77"/>
      <c r="D87" s="77"/>
      <c r="E87" s="77"/>
      <c r="F87" s="77"/>
      <c r="G87" s="77"/>
      <c r="H87" s="77"/>
      <c r="I87" s="77"/>
      <c r="J87" s="77"/>
      <c r="K87" s="77"/>
    </row>
    <row r="88" ht="15.75" customHeight="1">
      <c r="A88" s="77"/>
      <c r="B88" s="77"/>
      <c r="C88" s="77"/>
      <c r="D88" s="77"/>
      <c r="E88" s="77"/>
      <c r="F88" s="77"/>
      <c r="G88" s="77"/>
      <c r="H88" s="77"/>
      <c r="I88" s="77"/>
      <c r="J88" s="77"/>
      <c r="K88" s="77"/>
    </row>
    <row r="89" ht="15.75" customHeight="1">
      <c r="A89" s="77"/>
      <c r="B89" s="77"/>
      <c r="C89" s="77"/>
      <c r="D89" s="77"/>
      <c r="E89" s="77"/>
      <c r="F89" s="77"/>
      <c r="G89" s="77"/>
      <c r="H89" s="77"/>
      <c r="I89" s="77"/>
      <c r="J89" s="77"/>
      <c r="K89" s="77"/>
    </row>
    <row r="90" ht="15.75" customHeight="1">
      <c r="A90" s="77"/>
      <c r="B90" s="77"/>
      <c r="C90" s="77"/>
      <c r="D90" s="77"/>
      <c r="E90" s="77"/>
      <c r="F90" s="77"/>
      <c r="G90" s="77"/>
      <c r="H90" s="77"/>
      <c r="I90" s="77"/>
      <c r="J90" s="77"/>
      <c r="K90" s="77"/>
    </row>
    <row r="91" ht="15.75" customHeight="1">
      <c r="A91" s="77"/>
      <c r="B91" s="77"/>
      <c r="C91" s="77"/>
      <c r="D91" s="77"/>
      <c r="E91" s="77"/>
      <c r="F91" s="77"/>
      <c r="G91" s="77"/>
      <c r="H91" s="77"/>
      <c r="I91" s="77"/>
      <c r="J91" s="77"/>
      <c r="K91" s="77"/>
    </row>
    <row r="92" ht="15.75" customHeight="1">
      <c r="A92" s="77"/>
      <c r="B92" s="77"/>
      <c r="C92" s="77"/>
      <c r="D92" s="77"/>
      <c r="E92" s="77"/>
      <c r="F92" s="77"/>
      <c r="G92" s="77"/>
      <c r="H92" s="77"/>
      <c r="I92" s="77"/>
      <c r="J92" s="77"/>
      <c r="K92" s="77"/>
    </row>
    <row r="93" ht="15.75" customHeight="1">
      <c r="A93" s="77"/>
      <c r="B93" s="77"/>
      <c r="C93" s="77"/>
      <c r="D93" s="77"/>
      <c r="E93" s="77"/>
      <c r="F93" s="77"/>
      <c r="G93" s="77"/>
      <c r="H93" s="77"/>
      <c r="I93" s="77"/>
      <c r="J93" s="77"/>
      <c r="K93" s="77"/>
    </row>
    <row r="94" ht="15.75" customHeight="1">
      <c r="A94" s="77"/>
      <c r="B94" s="77"/>
      <c r="C94" s="77"/>
      <c r="D94" s="77"/>
      <c r="E94" s="77"/>
      <c r="F94" s="77"/>
      <c r="G94" s="77"/>
      <c r="H94" s="77"/>
      <c r="I94" s="77"/>
      <c r="J94" s="77"/>
      <c r="K94" s="77"/>
    </row>
    <row r="95" ht="15.75" customHeight="1">
      <c r="A95" s="77"/>
      <c r="B95" s="77"/>
      <c r="C95" s="77"/>
      <c r="D95" s="77"/>
      <c r="E95" s="77"/>
      <c r="F95" s="77"/>
      <c r="G95" s="77"/>
      <c r="H95" s="77"/>
      <c r="I95" s="77"/>
      <c r="J95" s="77"/>
      <c r="K95" s="77"/>
    </row>
    <row r="96" ht="15.75" customHeight="1">
      <c r="A96" s="77"/>
      <c r="B96" s="77"/>
      <c r="C96" s="77"/>
      <c r="D96" s="77"/>
      <c r="E96" s="77"/>
      <c r="F96" s="77"/>
      <c r="G96" s="77"/>
      <c r="H96" s="77"/>
      <c r="I96" s="77"/>
      <c r="J96" s="77"/>
      <c r="K96" s="77"/>
    </row>
    <row r="97" ht="15.75" customHeight="1">
      <c r="A97" s="77"/>
      <c r="B97" s="77"/>
      <c r="C97" s="77"/>
      <c r="D97" s="77"/>
      <c r="E97" s="77"/>
      <c r="F97" s="77"/>
      <c r="G97" s="77"/>
      <c r="H97" s="77"/>
      <c r="I97" s="77"/>
      <c r="J97" s="77"/>
      <c r="K97" s="77"/>
    </row>
    <row r="98" ht="15.75" customHeight="1">
      <c r="A98" s="77"/>
      <c r="B98" s="77"/>
      <c r="C98" s="77"/>
      <c r="D98" s="77"/>
      <c r="E98" s="77"/>
      <c r="F98" s="77"/>
      <c r="G98" s="77"/>
      <c r="H98" s="77"/>
      <c r="I98" s="77"/>
      <c r="J98" s="77"/>
      <c r="K98" s="77"/>
    </row>
    <row r="99" ht="15.75" customHeight="1">
      <c r="A99" s="77"/>
      <c r="B99" s="77"/>
      <c r="C99" s="77"/>
      <c r="D99" s="77"/>
      <c r="E99" s="77"/>
      <c r="F99" s="77"/>
      <c r="G99" s="77"/>
      <c r="H99" s="77"/>
      <c r="I99" s="77"/>
      <c r="J99" s="77"/>
      <c r="K99" s="77"/>
    </row>
    <row r="100" ht="15.75" customHeight="1">
      <c r="A100" s="77"/>
      <c r="B100" s="77"/>
      <c r="C100" s="77"/>
      <c r="D100" s="77"/>
      <c r="E100" s="77"/>
      <c r="F100" s="77"/>
      <c r="G100" s="77"/>
      <c r="H100" s="77"/>
      <c r="I100" s="77"/>
      <c r="J100" s="77"/>
      <c r="K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H10:K15"/>
    <mergeCell ref="H17:K28"/>
    <mergeCell ref="H30:K40"/>
    <mergeCell ref="A2:F2"/>
    <mergeCell ref="A3:G3"/>
    <mergeCell ref="A4:G7"/>
    <mergeCell ref="H4:K7"/>
    <mergeCell ref="A8:G8"/>
    <mergeCell ref="D14:E14"/>
    <mergeCell ref="A16:G16"/>
    <mergeCell ref="A35:C35"/>
    <mergeCell ref="A36:C36"/>
    <mergeCell ref="A37:C37"/>
    <mergeCell ref="A38:C38"/>
    <mergeCell ref="A39:C39"/>
    <mergeCell ref="A40:C40"/>
    <mergeCell ref="E40:F40"/>
    <mergeCell ref="A29:G29"/>
    <mergeCell ref="A30:C30"/>
    <mergeCell ref="A31:C31"/>
    <mergeCell ref="A32:C32"/>
    <mergeCell ref="A33:C33"/>
    <mergeCell ref="A34:C34"/>
    <mergeCell ref="E34:F34"/>
  </mergeCells>
  <printOptions/>
  <pageMargins bottom="1.0" footer="0.0" header="0.0" left="0.75" right="0.75" top="1.0"/>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10.13"/>
    <col customWidth="1" min="3" max="3" width="8.5"/>
    <col customWidth="1" min="4" max="4" width="12.5"/>
    <col customWidth="1" min="5" max="5" width="9.88"/>
    <col customWidth="1" min="6" max="10" width="8.88"/>
    <col customWidth="1" min="11" max="13" width="10.13"/>
    <col customWidth="1" min="14" max="14" width="10.63"/>
    <col customWidth="1" min="15" max="15" width="12.5"/>
    <col customWidth="1" min="16" max="16" width="8.5"/>
    <col customWidth="1" min="17" max="19" width="8.38"/>
    <col customWidth="1" min="20" max="26" width="11.25"/>
  </cols>
  <sheetData>
    <row r="1" ht="37.5" customHeight="1">
      <c r="A1" s="33" t="s">
        <v>72</v>
      </c>
      <c r="B1" s="35">
        <f>'Input sheet'!B1</f>
        <v>0.0</v>
      </c>
      <c r="C1" s="33" t="s">
        <v>57</v>
      </c>
      <c r="D1" s="37">
        <f>'Input sheet'!D1</f>
        <v>39.4</v>
      </c>
      <c r="E1" s="7"/>
      <c r="F1" s="7"/>
      <c r="G1" s="7"/>
      <c r="H1" s="7"/>
      <c r="I1" s="7"/>
      <c r="J1" s="7"/>
      <c r="K1" s="7"/>
      <c r="L1" s="7"/>
      <c r="M1" s="7"/>
      <c r="N1" s="7"/>
      <c r="O1" s="7"/>
      <c r="P1" s="7"/>
      <c r="Q1" s="7"/>
      <c r="R1" s="7"/>
      <c r="S1" s="7"/>
    </row>
    <row r="2" ht="13.5" customHeight="1">
      <c r="A2" s="517" t="s">
        <v>679</v>
      </c>
      <c r="B2" s="517"/>
      <c r="C2" s="517"/>
      <c r="D2" s="517"/>
      <c r="E2" s="517"/>
      <c r="F2" s="517"/>
      <c r="G2" s="517"/>
      <c r="H2" s="517"/>
      <c r="I2" s="517"/>
      <c r="J2" s="517"/>
      <c r="K2" s="517"/>
      <c r="L2" s="517"/>
      <c r="M2" s="517"/>
      <c r="N2" s="517"/>
      <c r="O2" s="517"/>
      <c r="P2" s="517"/>
      <c r="Q2" s="522"/>
      <c r="R2" s="522"/>
      <c r="S2" s="522"/>
    </row>
    <row r="3" ht="13.5" customHeight="1">
      <c r="A3" s="517"/>
      <c r="B3" s="517"/>
      <c r="C3" s="517"/>
      <c r="D3" s="517"/>
      <c r="E3" s="517"/>
      <c r="F3" s="517"/>
      <c r="G3" s="517"/>
      <c r="H3" s="517"/>
      <c r="I3" s="517"/>
      <c r="J3" s="517"/>
      <c r="K3" s="517"/>
      <c r="L3" s="517"/>
      <c r="M3" s="517"/>
      <c r="N3" s="517"/>
      <c r="O3" s="517"/>
      <c r="P3" s="517"/>
      <c r="Q3" s="522"/>
      <c r="R3" s="522"/>
      <c r="S3" s="522"/>
    </row>
    <row r="4" ht="13.5" customHeight="1">
      <c r="A4" s="526" t="str">
        <f>'Input sheet'!B5</f>
        <v>Novo Nordisk A/S (ADR NYSE: NVO; 1 ADR = 1 acción B). Cifras en USD millones convertidas desde DKK</v>
      </c>
      <c r="B4" s="218"/>
      <c r="C4" s="218"/>
      <c r="D4" s="218"/>
      <c r="E4" s="218"/>
      <c r="F4" s="218"/>
      <c r="G4" s="218"/>
      <c r="H4" s="218"/>
      <c r="I4" s="218"/>
      <c r="J4" s="218"/>
      <c r="K4" s="218"/>
      <c r="L4" s="218"/>
      <c r="M4" s="218"/>
      <c r="N4" s="219"/>
      <c r="O4" s="529" t="str">
        <f>'Input sheet'!B4</f>
        <v>2026-09-23 00:00:00</v>
      </c>
      <c r="P4" s="219"/>
      <c r="Q4" s="9"/>
      <c r="R4" s="9"/>
      <c r="S4" s="9"/>
    </row>
    <row r="5" ht="13.5" customHeight="1">
      <c r="A5" s="532"/>
      <c r="B5" s="534"/>
      <c r="C5" s="534"/>
      <c r="D5" s="534"/>
      <c r="E5" s="534"/>
      <c r="F5" s="534"/>
      <c r="G5" s="534"/>
      <c r="H5" s="534"/>
      <c r="I5" s="534"/>
      <c r="J5" s="534"/>
      <c r="K5" s="534"/>
      <c r="L5" s="534"/>
      <c r="M5" s="534"/>
      <c r="N5" s="534"/>
      <c r="O5" s="534"/>
      <c r="P5" s="537"/>
      <c r="Q5" s="9"/>
      <c r="R5" s="9"/>
      <c r="S5" s="9"/>
    </row>
    <row r="6" ht="13.5" customHeight="1">
      <c r="A6" s="538" t="s">
        <v>701</v>
      </c>
      <c r="B6" s="218"/>
      <c r="C6" s="219"/>
      <c r="D6" s="534"/>
      <c r="E6" s="539" t="s">
        <v>702</v>
      </c>
      <c r="F6" s="222"/>
      <c r="G6" s="534"/>
      <c r="H6" s="539" t="s">
        <v>704</v>
      </c>
      <c r="I6" s="222"/>
      <c r="J6" s="534"/>
      <c r="K6" s="539" t="s">
        <v>707</v>
      </c>
      <c r="L6" s="222"/>
      <c r="M6" s="534"/>
      <c r="N6" s="534"/>
      <c r="O6" s="534"/>
      <c r="P6" s="537"/>
      <c r="Q6" s="9"/>
      <c r="R6" s="9"/>
      <c r="S6" s="9"/>
    </row>
    <row r="7" ht="13.5" customHeight="1">
      <c r="A7" s="532"/>
      <c r="B7" s="541" t="s">
        <v>231</v>
      </c>
      <c r="C7" s="541" t="s">
        <v>711</v>
      </c>
      <c r="D7" s="534"/>
      <c r="E7" s="546" t="str">
        <f>'Stories to Numbers'!G10</f>
        <v>Disruption platform in multiple businesses</v>
      </c>
      <c r="F7" s="501"/>
      <c r="G7" s="534"/>
      <c r="H7" s="546" t="str">
        <f>'Stories to Numbers'!G11</f>
        <v>Margins improve, aided by cloud business &amp; continued economies of scale.</v>
      </c>
      <c r="I7" s="501"/>
      <c r="J7" s="534"/>
      <c r="K7" s="546" t="str">
        <f>'Stories to Numbers'!G13</f>
        <v>Maintained at Amazon's current level</v>
      </c>
      <c r="L7" s="501"/>
      <c r="M7" s="534"/>
      <c r="N7" s="534"/>
      <c r="O7" s="550" t="s">
        <v>718</v>
      </c>
      <c r="P7" s="263"/>
      <c r="Q7" s="9"/>
      <c r="R7" s="9"/>
      <c r="S7" s="9"/>
    </row>
    <row r="8" ht="13.5" customHeight="1">
      <c r="A8" s="553" t="s">
        <v>721</v>
      </c>
      <c r="B8" s="556">
        <f>'Input sheet'!I26</f>
        <v>0.0237657440695855</v>
      </c>
      <c r="C8" s="556">
        <f>'Input sheet'!K26</f>
        <v>0.140502345238095</v>
      </c>
      <c r="D8" s="534"/>
      <c r="E8" s="503"/>
      <c r="F8" s="504"/>
      <c r="G8" s="534"/>
      <c r="H8" s="503"/>
      <c r="I8" s="504"/>
      <c r="J8" s="534"/>
      <c r="K8" s="503"/>
      <c r="L8" s="504"/>
      <c r="M8" s="534"/>
      <c r="N8" s="534"/>
      <c r="O8" s="558" t="s">
        <v>726</v>
      </c>
      <c r="P8" s="562">
        <f>O17</f>
        <v>0.0496</v>
      </c>
      <c r="Q8" s="9"/>
      <c r="R8" s="9"/>
      <c r="S8" s="9"/>
    </row>
    <row r="9" ht="13.5" customHeight="1">
      <c r="A9" s="553" t="s">
        <v>734</v>
      </c>
      <c r="B9" s="566">
        <f>'Valuation output'!B5</f>
        <v>47254.1</v>
      </c>
      <c r="C9" s="534"/>
      <c r="D9" s="534"/>
      <c r="E9" s="503"/>
      <c r="F9" s="504"/>
      <c r="G9" s="534"/>
      <c r="H9" s="503"/>
      <c r="I9" s="504"/>
      <c r="J9" s="534"/>
      <c r="K9" s="503"/>
      <c r="L9" s="504"/>
      <c r="M9" s="534"/>
      <c r="N9" s="534"/>
      <c r="O9" s="558" t="s">
        <v>320</v>
      </c>
      <c r="P9" s="562">
        <f>'Valuation output'!M14</f>
        <v>0.0919</v>
      </c>
      <c r="Q9" s="9"/>
      <c r="R9" s="9"/>
      <c r="S9" s="9"/>
    </row>
    <row r="10" ht="13.5" customHeight="1">
      <c r="A10" s="553" t="s">
        <v>521</v>
      </c>
      <c r="B10" s="556">
        <f>'Valuation output'!B6</f>
        <v>0.494987948135717</v>
      </c>
      <c r="C10" s="556">
        <f>'Input sheet'!K27</f>
        <v>0.230700598161925</v>
      </c>
      <c r="D10" s="534"/>
      <c r="E10" s="503"/>
      <c r="F10" s="504"/>
      <c r="G10" s="534"/>
      <c r="H10" s="503"/>
      <c r="I10" s="504"/>
      <c r="J10" s="534"/>
      <c r="K10" s="503"/>
      <c r="L10" s="504"/>
      <c r="M10" s="534"/>
      <c r="N10" s="534"/>
      <c r="O10" s="558" t="s">
        <v>714</v>
      </c>
      <c r="P10" s="562">
        <f>'Valuation output'!M42</f>
        <v>0.0919</v>
      </c>
      <c r="Q10" s="9"/>
      <c r="R10" s="9"/>
      <c r="S10" s="9"/>
    </row>
    <row r="11" ht="13.5" customHeight="1">
      <c r="A11" s="553" t="s">
        <v>739</v>
      </c>
      <c r="B11" s="566">
        <f>'Valuation output'!B7</f>
        <v>23390.21</v>
      </c>
      <c r="C11" s="534"/>
      <c r="D11" s="534"/>
      <c r="E11" s="503"/>
      <c r="F11" s="504"/>
      <c r="G11" s="534"/>
      <c r="H11" s="503"/>
      <c r="I11" s="504"/>
      <c r="J11" s="534"/>
      <c r="K11" s="503"/>
      <c r="L11" s="504"/>
      <c r="M11" s="534"/>
      <c r="N11" s="534"/>
      <c r="O11" s="558" t="s">
        <v>742</v>
      </c>
      <c r="P11" s="562">
        <f>P8/P10</f>
        <v>0.539717083786725</v>
      </c>
      <c r="Q11" s="9"/>
      <c r="R11" s="9"/>
      <c r="S11" s="9"/>
    </row>
    <row r="12" ht="13.5" customHeight="1">
      <c r="A12" s="553" t="s">
        <v>735</v>
      </c>
      <c r="B12" s="566">
        <f>'Valuation output'!B9</f>
        <v>18700.472895</v>
      </c>
      <c r="C12" s="534"/>
      <c r="D12" s="534"/>
      <c r="E12" s="503"/>
      <c r="F12" s="504"/>
      <c r="G12" s="534"/>
      <c r="H12" s="503"/>
      <c r="I12" s="504"/>
      <c r="J12" s="534"/>
      <c r="K12" s="503"/>
      <c r="L12" s="504"/>
      <c r="M12" s="534"/>
      <c r="N12" s="534"/>
      <c r="O12" s="534"/>
      <c r="P12" s="572"/>
      <c r="Q12" s="9"/>
      <c r="R12" s="9"/>
      <c r="S12" s="9"/>
    </row>
    <row r="13" ht="13.5" customHeight="1">
      <c r="A13" s="532"/>
      <c r="B13" s="534"/>
      <c r="C13" s="534"/>
      <c r="D13" s="534"/>
      <c r="E13" s="505"/>
      <c r="F13" s="507"/>
      <c r="G13" s="534"/>
      <c r="H13" s="505"/>
      <c r="I13" s="507"/>
      <c r="J13" s="534"/>
      <c r="K13" s="505"/>
      <c r="L13" s="507"/>
      <c r="M13" s="534"/>
      <c r="N13" s="534"/>
      <c r="O13" s="534"/>
      <c r="P13" s="572"/>
      <c r="Q13" s="9"/>
      <c r="R13" s="9"/>
      <c r="S13" s="9"/>
    </row>
    <row r="14" ht="13.5" customHeight="1">
      <c r="A14" s="532"/>
      <c r="B14" s="534"/>
      <c r="C14" s="534"/>
      <c r="D14" s="534"/>
      <c r="E14" s="534"/>
      <c r="F14" s="534"/>
      <c r="G14" s="534"/>
      <c r="H14" s="534"/>
      <c r="I14" s="534"/>
      <c r="J14" s="534"/>
      <c r="K14" s="534"/>
      <c r="L14" s="534"/>
      <c r="M14" s="534"/>
      <c r="N14" s="534"/>
      <c r="O14" s="534"/>
      <c r="P14" s="572"/>
      <c r="Q14" s="9"/>
      <c r="R14" s="9"/>
      <c r="S14" s="9"/>
    </row>
    <row r="15" ht="13.5" customHeight="1">
      <c r="A15" s="532"/>
      <c r="B15" s="534"/>
      <c r="C15" s="534"/>
      <c r="D15" s="534"/>
      <c r="E15" s="534"/>
      <c r="F15" s="534"/>
      <c r="G15" s="534"/>
      <c r="H15" s="534"/>
      <c r="I15" s="534"/>
      <c r="J15" s="534"/>
      <c r="K15" s="534"/>
      <c r="L15" s="534"/>
      <c r="M15" s="534"/>
      <c r="N15" s="534"/>
      <c r="O15" s="534"/>
      <c r="P15" s="537"/>
      <c r="Q15" s="9"/>
      <c r="R15" s="9"/>
      <c r="S15" s="9"/>
    </row>
    <row r="16" ht="13.5" customHeight="1">
      <c r="A16" s="574" t="str">
        <f>'Valuation output'!A21</f>
        <v>PV(Terminal value)</v>
      </c>
      <c r="B16" s="575">
        <f>'Valuation output'!B21</f>
        <v>101625.489783422</v>
      </c>
      <c r="C16" s="534"/>
      <c r="D16" s="558"/>
      <c r="E16" s="576">
        <f>'Valuation output'!C3</f>
        <v>1.0</v>
      </c>
      <c r="F16" s="576">
        <f>'Valuation output'!D3</f>
        <v>2.0</v>
      </c>
      <c r="G16" s="576">
        <f>'Valuation output'!E3</f>
        <v>3.0</v>
      </c>
      <c r="H16" s="576">
        <f>'Valuation output'!F3</f>
        <v>4.0</v>
      </c>
      <c r="I16" s="576">
        <f>'Valuation output'!G3</f>
        <v>5.0</v>
      </c>
      <c r="J16" s="576">
        <f>'Valuation output'!H3</f>
        <v>6.0</v>
      </c>
      <c r="K16" s="576">
        <f>'Valuation output'!I3</f>
        <v>7.0</v>
      </c>
      <c r="L16" s="576">
        <f>'Valuation output'!J3</f>
        <v>8.0</v>
      </c>
      <c r="M16" s="576">
        <f>'Valuation output'!K3</f>
        <v>9.0</v>
      </c>
      <c r="N16" s="576">
        <f>'Valuation output'!L3</f>
        <v>10.0</v>
      </c>
      <c r="O16" s="584" t="str">
        <f>'Valuation output'!M3</f>
        <v>Terminal year</v>
      </c>
      <c r="P16" s="585"/>
      <c r="Q16" s="9"/>
      <c r="R16" s="9"/>
      <c r="S16" s="9"/>
    </row>
    <row r="17" ht="13.5" customHeight="1">
      <c r="A17" s="589" t="str">
        <f>'Valuation output'!A22</f>
        <v>PV (CF over next 10 years)</v>
      </c>
      <c r="B17" s="590">
        <f>'Valuation output'!B22</f>
        <v>102675.293198787</v>
      </c>
      <c r="C17" s="534"/>
      <c r="D17" s="558" t="s">
        <v>721</v>
      </c>
      <c r="E17" s="556">
        <f>'Valuation output'!C4</f>
        <v>-0.04</v>
      </c>
      <c r="F17" s="556">
        <f>'Valuation output'!D4</f>
        <v>0.035</v>
      </c>
      <c r="G17" s="556">
        <f>'Valuation output'!E4</f>
        <v>0.035</v>
      </c>
      <c r="H17" s="556">
        <f>'Valuation output'!F4</f>
        <v>0.035</v>
      </c>
      <c r="I17" s="556">
        <f>'Valuation output'!G4</f>
        <v>0.035</v>
      </c>
      <c r="J17" s="556">
        <f>'Valuation output'!H4</f>
        <v>0.03792</v>
      </c>
      <c r="K17" s="556">
        <f>'Valuation output'!I4</f>
        <v>0.04084</v>
      </c>
      <c r="L17" s="556">
        <f>'Valuation output'!J4</f>
        <v>0.04376</v>
      </c>
      <c r="M17" s="556">
        <f>'Valuation output'!K4</f>
        <v>0.04668</v>
      </c>
      <c r="N17" s="556">
        <f>'Valuation output'!L4</f>
        <v>0.0496</v>
      </c>
      <c r="O17" s="599">
        <f>'Valuation output'!M4</f>
        <v>0.0496</v>
      </c>
      <c r="P17" s="537"/>
      <c r="Q17" s="9"/>
      <c r="R17" s="9"/>
      <c r="S17" s="9"/>
    </row>
    <row r="18" ht="13.5" customHeight="1">
      <c r="A18" s="602" t="str">
        <f>'Valuation output'!A24</f>
        <v>Probability of failure =</v>
      </c>
      <c r="B18" s="606">
        <f>'Valuation output'!B24</f>
        <v>0.0</v>
      </c>
      <c r="C18" s="534"/>
      <c r="D18" s="558" t="s">
        <v>734</v>
      </c>
      <c r="E18" s="608">
        <f>'Valuation output'!C5</f>
        <v>45363.936</v>
      </c>
      <c r="F18" s="608">
        <f>'Valuation output'!D5</f>
        <v>46951.67376</v>
      </c>
      <c r="G18" s="608">
        <f>'Valuation output'!E5</f>
        <v>48594.9823416</v>
      </c>
      <c r="H18" s="608">
        <f>'Valuation output'!F5</f>
        <v>50295.806723556</v>
      </c>
      <c r="I18" s="608">
        <f>'Valuation output'!G5</f>
        <v>52056.1599588804</v>
      </c>
      <c r="J18" s="608">
        <f>'Valuation output'!H5</f>
        <v>54030.1295445212</v>
      </c>
      <c r="K18" s="608">
        <f>'Valuation output'!I5</f>
        <v>56236.7200351194</v>
      </c>
      <c r="L18" s="608">
        <f>'Valuation output'!J5</f>
        <v>58697.6389038563</v>
      </c>
      <c r="M18" s="608">
        <f>'Valuation output'!K5</f>
        <v>61437.6446878883</v>
      </c>
      <c r="N18" s="608">
        <f>'Valuation output'!L5</f>
        <v>64484.9518644075</v>
      </c>
      <c r="O18" s="612">
        <f>'Valuation output'!M5</f>
        <v>67683.4054768822</v>
      </c>
      <c r="P18" s="537"/>
      <c r="Q18" s="9"/>
      <c r="R18" s="9"/>
      <c r="S18" s="9"/>
    </row>
    <row r="19" ht="13.5" customHeight="1">
      <c r="A19" s="589" t="str">
        <f>'Valuation output'!A26</f>
        <v>Value of operating assets =</v>
      </c>
      <c r="B19" s="614">
        <f>'Valuation output'!B26</f>
        <v>204300.782982208</v>
      </c>
      <c r="C19" s="534"/>
      <c r="D19" s="558" t="s">
        <v>521</v>
      </c>
      <c r="E19" s="556">
        <f>'Valuation output'!C6</f>
        <v>0.474987948135717</v>
      </c>
      <c r="F19" s="556">
        <f>'Valuation output'!D6</f>
        <v>0.46499276888143</v>
      </c>
      <c r="G19" s="556">
        <f>'Valuation output'!E6</f>
        <v>0.459995179254287</v>
      </c>
      <c r="H19" s="556">
        <f>'Valuation output'!F6</f>
        <v>0.454997589627144</v>
      </c>
      <c r="I19" s="556">
        <f>'Valuation output'!G6</f>
        <v>0.45</v>
      </c>
      <c r="J19" s="556">
        <f>'Valuation output'!H6</f>
        <v>0.45</v>
      </c>
      <c r="K19" s="556">
        <f>'Valuation output'!I6</f>
        <v>0.45</v>
      </c>
      <c r="L19" s="556">
        <f>'Valuation output'!J6</f>
        <v>0.45</v>
      </c>
      <c r="M19" s="556">
        <f>'Valuation output'!K6</f>
        <v>0.45</v>
      </c>
      <c r="N19" s="556">
        <f>'Valuation output'!L6</f>
        <v>0.45</v>
      </c>
      <c r="O19" s="599">
        <f>'Valuation output'!M6</f>
        <v>0.45</v>
      </c>
      <c r="P19" s="537"/>
      <c r="Q19" s="9"/>
      <c r="R19" s="9"/>
      <c r="S19" s="9"/>
    </row>
    <row r="20" ht="13.5" customHeight="1">
      <c r="A20" s="589" t="str">
        <f>'Valuation output'!A27</f>
        <v> - Debt</v>
      </c>
      <c r="B20" s="614">
        <f>'Valuation output'!B27</f>
        <v>21361.0</v>
      </c>
      <c r="C20" s="534"/>
      <c r="D20" s="558" t="s">
        <v>739</v>
      </c>
      <c r="E20" s="608">
        <f>'Valuation output'!C7</f>
        <v>21547.32288</v>
      </c>
      <c r="F20" s="608">
        <f>'Valuation output'!D7</f>
        <v>21832.18878528</v>
      </c>
      <c r="G20" s="608">
        <f>'Valuation output'!E7</f>
        <v>22353.4576130832</v>
      </c>
      <c r="H20" s="608">
        <f>'Valuation output'!F7</f>
        <v>22884.4708275706</v>
      </c>
      <c r="I20" s="608">
        <f>'Valuation output'!G7</f>
        <v>23425.2719814962</v>
      </c>
      <c r="J20" s="608">
        <f>'Valuation output'!H7</f>
        <v>24313.5582950345</v>
      </c>
      <c r="K20" s="608">
        <f>'Valuation output'!I7</f>
        <v>25306.5240158037</v>
      </c>
      <c r="L20" s="608">
        <f>'Valuation output'!J7</f>
        <v>26413.9375067353</v>
      </c>
      <c r="M20" s="608">
        <f>'Valuation output'!K7</f>
        <v>27646.9401095497</v>
      </c>
      <c r="N20" s="608">
        <f>'Valuation output'!L7</f>
        <v>29018.2283389834</v>
      </c>
      <c r="O20" s="612">
        <f>'Valuation output'!M7</f>
        <v>30457.532464597</v>
      </c>
      <c r="P20" s="537"/>
      <c r="Q20" s="9"/>
      <c r="R20" s="9"/>
      <c r="S20" s="9"/>
    </row>
    <row r="21" ht="13.5" customHeight="1">
      <c r="A21" s="589" t="str">
        <f>'Valuation output'!A28</f>
        <v> - Minority interests</v>
      </c>
      <c r="B21" s="614">
        <f>'Valuation output'!B28</f>
        <v>0.0</v>
      </c>
      <c r="C21" s="534"/>
      <c r="D21" s="558" t="s">
        <v>735</v>
      </c>
      <c r="E21" s="608">
        <f>'Valuation output'!C9</f>
        <v>17227.08464256</v>
      </c>
      <c r="F21" s="608">
        <f>'Valuation output'!D9</f>
        <v>17454.8349338314</v>
      </c>
      <c r="G21" s="608">
        <f>'Valuation output'!E9</f>
        <v>17871.58936166</v>
      </c>
      <c r="H21" s="608">
        <f>'Valuation output'!F9</f>
        <v>18296.1344266427</v>
      </c>
      <c r="I21" s="608">
        <f>'Valuation output'!G9</f>
        <v>18728.5049492062</v>
      </c>
      <c r="J21" s="608">
        <f>'Valuation output'!H9</f>
        <v>19343.8669795295</v>
      </c>
      <c r="K21" s="608">
        <f>'Valuation output'!I9</f>
        <v>20035.1750633118</v>
      </c>
      <c r="L21" s="608">
        <f>'Valuation output'!J9</f>
        <v>20808.8999678061</v>
      </c>
      <c r="M21" s="608">
        <f>'Valuation output'!K9</f>
        <v>21672.436351876</v>
      </c>
      <c r="N21" s="608">
        <f>'Valuation output'!L9</f>
        <v>22634.218104407</v>
      </c>
      <c r="O21" s="612">
        <f>'Valuation output'!M9</f>
        <v>23756.8753223856</v>
      </c>
      <c r="P21" s="537"/>
      <c r="Q21" s="9"/>
      <c r="R21" s="9"/>
      <c r="S21" s="9"/>
    </row>
    <row r="22" ht="13.5" customHeight="1">
      <c r="A22" s="589" t="str">
        <f>'Valuation output'!A29</f>
        <v> +  Cash</v>
      </c>
      <c r="B22" s="614">
        <f>'Valuation output'!B29</f>
        <v>6857.1</v>
      </c>
      <c r="C22" s="534"/>
      <c r="D22" s="558" t="s">
        <v>783</v>
      </c>
      <c r="E22" s="608">
        <f>'Valuation output'!C10</f>
        <v>1984.6722</v>
      </c>
      <c r="F22" s="608">
        <f>'Valuation output'!D10</f>
        <v>2054.13572699999</v>
      </c>
      <c r="G22" s="608">
        <f>'Valuation output'!E10</f>
        <v>2126.03047744499</v>
      </c>
      <c r="H22" s="608">
        <f>'Valuation output'!F10</f>
        <v>2200.44154415556</v>
      </c>
      <c r="I22" s="608">
        <f>'Valuation output'!G10</f>
        <v>2467.46198205093</v>
      </c>
      <c r="J22" s="608">
        <f>'Valuation output'!H10</f>
        <v>2062.63919915307</v>
      </c>
      <c r="K22" s="608">
        <f>'Valuation output'!I10</f>
        <v>2300.37596292542</v>
      </c>
      <c r="L22" s="608">
        <f>'Valuation output'!J10</f>
        <v>2561.25609175372</v>
      </c>
      <c r="M22" s="608">
        <f>'Valuation output'!K10</f>
        <v>2848.51007059538</v>
      </c>
      <c r="N22" s="608">
        <f>'Valuation output'!L10</f>
        <v>2989.79617009691</v>
      </c>
      <c r="O22" s="612">
        <f>'Valuation output'!M10</f>
        <v>12821.9914688828</v>
      </c>
      <c r="P22" s="537"/>
      <c r="Q22" s="9"/>
      <c r="R22" s="9"/>
      <c r="S22" s="9"/>
    </row>
    <row r="23" ht="13.5" customHeight="1">
      <c r="A23" s="589" t="str">
        <f>'Valuation output'!A30</f>
        <v> + Non-operating assets</v>
      </c>
      <c r="B23" s="614">
        <f>'Valuation output'!B30</f>
        <v>4943.7</v>
      </c>
      <c r="C23" s="534"/>
      <c r="D23" s="624" t="s">
        <v>81</v>
      </c>
      <c r="E23" s="612">
        <f>'Valuation output'!C11</f>
        <v>15242.41244256</v>
      </c>
      <c r="F23" s="612">
        <f>'Valuation output'!D11</f>
        <v>15400.6992068314</v>
      </c>
      <c r="G23" s="612">
        <f>'Valuation output'!E11</f>
        <v>15745.558884215</v>
      </c>
      <c r="H23" s="612">
        <f>'Valuation output'!F11</f>
        <v>16095.6928824872</v>
      </c>
      <c r="I23" s="612">
        <f>'Valuation output'!G11</f>
        <v>16261.0429671553</v>
      </c>
      <c r="J23" s="612">
        <f>'Valuation output'!H11</f>
        <v>17281.2277803764</v>
      </c>
      <c r="K23" s="612">
        <f>'Valuation output'!I11</f>
        <v>17734.7991003864</v>
      </c>
      <c r="L23" s="612">
        <f>'Valuation output'!J11</f>
        <v>18247.6438760524</v>
      </c>
      <c r="M23" s="612">
        <f>'Valuation output'!K11</f>
        <v>18823.9262812807</v>
      </c>
      <c r="N23" s="612">
        <f>'Valuation output'!L11</f>
        <v>19644.4219343101</v>
      </c>
      <c r="O23" s="612">
        <f>'Valuation output'!M11</f>
        <v>10934.8838535029</v>
      </c>
      <c r="P23" s="537"/>
      <c r="Q23" s="9"/>
      <c r="R23" s="9"/>
      <c r="S23" s="9"/>
    </row>
    <row r="24" ht="13.5" customHeight="1">
      <c r="A24" s="589" t="str">
        <f>'Valuation output'!A31</f>
        <v>Value of equity</v>
      </c>
      <c r="B24" s="614">
        <f>'Valuation output'!B31</f>
        <v>194740.582982209</v>
      </c>
      <c r="C24" s="534"/>
      <c r="D24" s="534"/>
      <c r="E24" s="534"/>
      <c r="F24" s="534"/>
      <c r="G24" s="534"/>
      <c r="H24" s="534"/>
      <c r="I24" s="534"/>
      <c r="J24" s="534"/>
      <c r="K24" s="534"/>
      <c r="L24" s="534"/>
      <c r="M24" s="534"/>
      <c r="N24" s="625">
        <f>'Valuation output'!B20</f>
        <v>258507.892517798</v>
      </c>
      <c r="O24" s="534"/>
      <c r="P24" s="537"/>
      <c r="Q24" s="9"/>
      <c r="R24" s="9"/>
      <c r="S24" s="9"/>
    </row>
    <row r="25" ht="13.5" customHeight="1">
      <c r="A25" s="589" t="str">
        <f>'Valuation output'!A32</f>
        <v> - Value of options</v>
      </c>
      <c r="B25" s="614">
        <f>'Valuation output'!B32</f>
        <v>0.0</v>
      </c>
      <c r="C25" s="534"/>
      <c r="D25" s="534"/>
      <c r="E25" s="534"/>
      <c r="F25" s="534"/>
      <c r="G25" s="534"/>
      <c r="H25" s="534"/>
      <c r="I25" s="534"/>
      <c r="J25" s="534"/>
      <c r="K25" s="534"/>
      <c r="L25" s="534"/>
      <c r="M25" s="534"/>
      <c r="N25" s="534"/>
      <c r="O25" s="534"/>
      <c r="P25" s="537"/>
      <c r="Q25" s="9"/>
      <c r="R25" s="9"/>
      <c r="S25" s="9"/>
    </row>
    <row r="26" ht="13.5" customHeight="1">
      <c r="A26" s="589" t="str">
        <f>'Valuation output'!A33</f>
        <v>Value of equity in common stock</v>
      </c>
      <c r="B26" s="614">
        <f>'Valuation output'!B33</f>
        <v>194740.582982209</v>
      </c>
      <c r="C26" s="534"/>
      <c r="D26" s="624" t="s">
        <v>784</v>
      </c>
      <c r="E26" s="599">
        <f>'Valuation output'!C14</f>
        <v>0.100420989928469</v>
      </c>
      <c r="F26" s="599">
        <f>'Valuation output'!D14</f>
        <v>0.100420989928469</v>
      </c>
      <c r="G26" s="599">
        <f>'Valuation output'!E14</f>
        <v>0.100420989928469</v>
      </c>
      <c r="H26" s="599">
        <f>'Valuation output'!F14</f>
        <v>0.100420989928469</v>
      </c>
      <c r="I26" s="599">
        <f>'Valuation output'!G14</f>
        <v>0.100420989928469</v>
      </c>
      <c r="J26" s="599">
        <f>'Valuation output'!H14</f>
        <v>0.0987167919427754</v>
      </c>
      <c r="K26" s="599">
        <f>'Valuation output'!I14</f>
        <v>0.0970125939570816</v>
      </c>
      <c r="L26" s="599">
        <f>'Valuation output'!J14</f>
        <v>0.0953083959713877</v>
      </c>
      <c r="M26" s="599">
        <f>'Valuation output'!K14</f>
        <v>0.0936041979856939</v>
      </c>
      <c r="N26" s="599">
        <f>'Valuation output'!L14</f>
        <v>0.0919</v>
      </c>
      <c r="O26" s="626"/>
      <c r="P26" s="537"/>
      <c r="Q26" s="9"/>
      <c r="R26" s="9"/>
      <c r="S26" s="9"/>
    </row>
    <row r="27" ht="13.5" customHeight="1">
      <c r="A27" s="627" t="str">
        <f>'Valuation output'!A34</f>
        <v>Number of shares</v>
      </c>
      <c r="B27" s="628">
        <f>'Valuation output'!B34</f>
        <v>4416.8</v>
      </c>
      <c r="C27" s="534"/>
      <c r="D27" s="558" t="s">
        <v>785</v>
      </c>
      <c r="E27" s="629">
        <f>'Valuation output'!C15</f>
        <v>0.908743116636664</v>
      </c>
      <c r="F27" s="629">
        <f>'Valuation output'!D15</f>
        <v>0.825814052034517</v>
      </c>
      <c r="G27" s="629">
        <f>'Valuation output'!E15</f>
        <v>0.7504528354082</v>
      </c>
      <c r="H27" s="629">
        <f>'Valuation output'!F15</f>
        <v>0.681968848537669</v>
      </c>
      <c r="I27" s="629">
        <f>'Valuation output'!G15</f>
        <v>0.619734496869238</v>
      </c>
      <c r="J27" s="629">
        <f>'Valuation output'!H15</f>
        <v>0.564052994742539</v>
      </c>
      <c r="K27" s="629">
        <f>'Valuation output'!I15</f>
        <v>0.514171849848979</v>
      </c>
      <c r="L27" s="629">
        <f>'Valuation output'!J15</f>
        <v>0.469431122540588</v>
      </c>
      <c r="M27" s="629">
        <f>'Valuation output'!K15</f>
        <v>0.429251390407271</v>
      </c>
      <c r="N27" s="629">
        <f>'Valuation output'!L15</f>
        <v>0.39312335415997</v>
      </c>
      <c r="O27" s="534"/>
      <c r="P27" s="537"/>
      <c r="Q27" s="9"/>
      <c r="R27" s="9"/>
      <c r="S27" s="9"/>
    </row>
    <row r="28" ht="13.5" customHeight="1">
      <c r="A28" s="579" t="str">
        <f>'Valuation output'!A35</f>
        <v>Estimated value /share</v>
      </c>
      <c r="B28" s="630">
        <f>'Valuation output'!B35</f>
        <v>44.0908764223439</v>
      </c>
      <c r="C28" s="534"/>
      <c r="D28" s="534"/>
      <c r="E28" s="534"/>
      <c r="F28" s="534"/>
      <c r="G28" s="534"/>
      <c r="H28" s="534"/>
      <c r="I28" s="534"/>
      <c r="J28" s="534"/>
      <c r="K28" s="534"/>
      <c r="L28" s="534"/>
      <c r="M28" s="534"/>
      <c r="N28" s="534"/>
      <c r="O28" s="534"/>
      <c r="P28" s="537"/>
      <c r="Q28" s="9"/>
      <c r="R28" s="9"/>
      <c r="S28" s="9"/>
    </row>
    <row r="29" ht="13.5" customHeight="1">
      <c r="A29" s="632"/>
      <c r="B29" s="633"/>
      <c r="C29" s="534"/>
      <c r="D29" s="624" t="s">
        <v>724</v>
      </c>
      <c r="E29" s="634">
        <f>'Valuation output'!C40</f>
        <v>0.8</v>
      </c>
      <c r="F29" s="634">
        <f>'Valuation output'!D40</f>
        <v>0.8</v>
      </c>
      <c r="G29" s="634">
        <f>'Valuation output'!E40</f>
        <v>0.8</v>
      </c>
      <c r="H29" s="634">
        <f>'Valuation output'!F40</f>
        <v>0.8</v>
      </c>
      <c r="I29" s="634">
        <f>'Valuation output'!G40</f>
        <v>0.8</v>
      </c>
      <c r="J29" s="634">
        <f>'Valuation output'!H40</f>
        <v>1.06978985539705</v>
      </c>
      <c r="K29" s="634">
        <f>'Valuation output'!I40</f>
        <v>1.06978985539705</v>
      </c>
      <c r="L29" s="634">
        <f>'Valuation output'!J40</f>
        <v>1.06978985539705</v>
      </c>
      <c r="M29" s="634">
        <f>'Valuation output'!K40</f>
        <v>1.06978985539705</v>
      </c>
      <c r="N29" s="634">
        <f>'Valuation output'!L40</f>
        <v>1.06978985539705</v>
      </c>
      <c r="O29" s="534"/>
      <c r="P29" s="537"/>
      <c r="Q29" s="9"/>
      <c r="R29" s="9"/>
      <c r="S29" s="9"/>
    </row>
    <row r="30" ht="13.5" customHeight="1">
      <c r="A30" s="589" t="s">
        <v>793</v>
      </c>
      <c r="B30" s="636">
        <f>'Stories to Numbers'!G40</f>
        <v>39.4</v>
      </c>
      <c r="C30" s="534"/>
      <c r="D30" s="558" t="s">
        <v>382</v>
      </c>
      <c r="E30" s="556">
        <f>'Valuation output'!C42</f>
        <v>0.220896280846051</v>
      </c>
      <c r="F30" s="556">
        <f>'Valuation output'!D42</f>
        <v>0.218262149816343</v>
      </c>
      <c r="G30" s="556">
        <f>'Valuation output'!E42</f>
        <v>0.217877081117909</v>
      </c>
      <c r="H30" s="556">
        <f>'Valuation output'!F42</f>
        <v>0.217417576559863</v>
      </c>
      <c r="I30" s="556">
        <f>'Valuation output'!G42</f>
        <v>0.216884365006197</v>
      </c>
      <c r="J30" s="556">
        <f>'Valuation output'!H42</f>
        <v>0.217787406534882</v>
      </c>
      <c r="K30" s="556">
        <f>'Valuation output'!I42</f>
        <v>0.220451186682125</v>
      </c>
      <c r="L30" s="556">
        <f>'Valuation output'!J42</f>
        <v>0.223312270654554</v>
      </c>
      <c r="M30" s="556">
        <f>'Valuation output'!K42</f>
        <v>0.226357639459007</v>
      </c>
      <c r="N30" s="556">
        <f>'Valuation output'!L42</f>
        <v>0.229572883894473</v>
      </c>
      <c r="O30" s="556">
        <f>'Valuation output'!M42</f>
        <v>0.0919</v>
      </c>
      <c r="P30" s="537"/>
      <c r="Q30" s="9"/>
      <c r="R30" s="9"/>
      <c r="S30" s="9"/>
    </row>
    <row r="31" ht="13.5" customHeight="1">
      <c r="A31" s="589" t="s">
        <v>801</v>
      </c>
      <c r="B31" s="599">
        <f>B30/B28-1</f>
        <v>-0.106391090469835</v>
      </c>
      <c r="C31" s="534"/>
      <c r="D31" s="534"/>
      <c r="E31" s="534"/>
      <c r="F31" s="534"/>
      <c r="G31" s="534"/>
      <c r="H31" s="534"/>
      <c r="I31" s="534"/>
      <c r="J31" s="534"/>
      <c r="K31" s="534"/>
      <c r="L31" s="534"/>
      <c r="M31" s="534"/>
      <c r="N31" s="534"/>
      <c r="O31" s="534"/>
      <c r="P31" s="537"/>
      <c r="Q31" s="9"/>
      <c r="R31" s="9"/>
      <c r="S31" s="9"/>
    </row>
    <row r="32" ht="13.5" customHeight="1">
      <c r="A32" s="532"/>
      <c r="B32" s="534"/>
      <c r="C32" s="534"/>
      <c r="D32" s="534"/>
      <c r="E32" s="534"/>
      <c r="F32" s="534"/>
      <c r="G32" s="534"/>
      <c r="H32" s="534"/>
      <c r="I32" s="534"/>
      <c r="J32" s="534"/>
      <c r="K32" s="534"/>
      <c r="L32" s="534"/>
      <c r="M32" s="534"/>
      <c r="N32" s="534"/>
      <c r="O32" s="534"/>
      <c r="P32" s="537"/>
      <c r="Q32" s="9"/>
      <c r="R32" s="9"/>
      <c r="S32" s="9"/>
    </row>
    <row r="33" ht="13.5" customHeight="1">
      <c r="A33" s="532"/>
      <c r="B33" s="534"/>
      <c r="C33" s="534"/>
      <c r="D33" s="539" t="s">
        <v>806</v>
      </c>
      <c r="E33" s="222"/>
      <c r="F33" s="534"/>
      <c r="G33" s="539" t="s">
        <v>808</v>
      </c>
      <c r="H33" s="221"/>
      <c r="I33" s="222"/>
      <c r="J33" s="534"/>
      <c r="K33" s="534"/>
      <c r="L33" s="534"/>
      <c r="M33" s="534"/>
      <c r="N33" s="534"/>
      <c r="O33" s="534"/>
      <c r="P33" s="537"/>
      <c r="Q33" s="9"/>
      <c r="R33" s="9"/>
      <c r="S33" s="9"/>
    </row>
    <row r="34" ht="13.5" customHeight="1">
      <c r="A34" s="532"/>
      <c r="B34" s="534"/>
      <c r="C34" s="534"/>
      <c r="D34" s="546" t="str">
        <f>'Stories to Numbers'!G15</f>
        <v>Cost of capital close to median company</v>
      </c>
      <c r="E34" s="501"/>
      <c r="F34" s="534"/>
      <c r="G34" s="546" t="str">
        <f>'Stories to Numbers'!G14</f>
        <v>Strong competitive edges</v>
      </c>
      <c r="H34" s="500"/>
      <c r="I34" s="501"/>
      <c r="J34" s="534"/>
      <c r="K34" s="534"/>
      <c r="L34" s="534"/>
      <c r="M34" s="534"/>
      <c r="N34" s="534"/>
      <c r="O34" s="534"/>
      <c r="P34" s="537"/>
      <c r="Q34" s="9"/>
      <c r="R34" s="9"/>
      <c r="S34" s="9"/>
    </row>
    <row r="35" ht="13.5" customHeight="1">
      <c r="A35" s="532"/>
      <c r="B35" s="534"/>
      <c r="C35" s="534"/>
      <c r="D35" s="503"/>
      <c r="E35" s="504"/>
      <c r="F35" s="534"/>
      <c r="G35" s="503"/>
      <c r="I35" s="504"/>
      <c r="J35" s="534"/>
      <c r="K35" s="534"/>
      <c r="L35" s="534"/>
      <c r="M35" s="534"/>
      <c r="N35" s="534"/>
      <c r="O35" s="534"/>
      <c r="P35" s="537"/>
      <c r="Q35" s="9"/>
      <c r="R35" s="9"/>
      <c r="S35" s="9"/>
    </row>
    <row r="36" ht="13.5" customHeight="1">
      <c r="A36" s="532"/>
      <c r="B36" s="534"/>
      <c r="C36" s="534"/>
      <c r="D36" s="503"/>
      <c r="E36" s="504"/>
      <c r="F36" s="534"/>
      <c r="G36" s="503"/>
      <c r="I36" s="504"/>
      <c r="J36" s="534"/>
      <c r="K36" s="534"/>
      <c r="L36" s="534"/>
      <c r="M36" s="534"/>
      <c r="N36" s="534"/>
      <c r="O36" s="534"/>
      <c r="P36" s="537"/>
      <c r="Q36" s="9"/>
      <c r="R36" s="9"/>
      <c r="S36" s="9"/>
    </row>
    <row r="37" ht="13.5" customHeight="1">
      <c r="A37" s="532"/>
      <c r="B37" s="534"/>
      <c r="C37" s="534"/>
      <c r="D37" s="503"/>
      <c r="E37" s="504"/>
      <c r="F37" s="534"/>
      <c r="G37" s="503"/>
      <c r="I37" s="504"/>
      <c r="J37" s="534"/>
      <c r="K37" s="534"/>
      <c r="L37" s="534"/>
      <c r="M37" s="534"/>
      <c r="N37" s="534"/>
      <c r="O37" s="534"/>
      <c r="P37" s="537"/>
      <c r="Q37" s="9"/>
      <c r="R37" s="9"/>
      <c r="S37" s="9"/>
    </row>
    <row r="38" ht="13.5" customHeight="1">
      <c r="A38" s="532"/>
      <c r="B38" s="534"/>
      <c r="C38" s="534"/>
      <c r="D38" s="503"/>
      <c r="E38" s="504"/>
      <c r="F38" s="534"/>
      <c r="G38" s="503"/>
      <c r="I38" s="504"/>
      <c r="J38" s="534"/>
      <c r="K38" s="534"/>
      <c r="L38" s="534"/>
      <c r="M38" s="534"/>
      <c r="N38" s="534"/>
      <c r="O38" s="534"/>
      <c r="P38" s="537"/>
      <c r="Q38" s="9"/>
      <c r="R38" s="9"/>
      <c r="S38" s="9"/>
    </row>
    <row r="39" ht="13.5" customHeight="1">
      <c r="A39" s="646"/>
      <c r="B39" s="647"/>
      <c r="C39" s="647"/>
      <c r="D39" s="648"/>
      <c r="E39" s="649"/>
      <c r="F39" s="647"/>
      <c r="G39" s="648"/>
      <c r="H39" s="232"/>
      <c r="I39" s="649"/>
      <c r="J39" s="647"/>
      <c r="K39" s="647"/>
      <c r="L39" s="647"/>
      <c r="M39" s="647"/>
      <c r="N39" s="647"/>
      <c r="O39" s="647"/>
      <c r="P39" s="610"/>
      <c r="Q39" s="9"/>
      <c r="R39" s="9"/>
      <c r="S39" s="9"/>
    </row>
    <row r="40" ht="13.5" customHeight="1">
      <c r="A40" s="534"/>
      <c r="B40" s="534"/>
      <c r="C40" s="534"/>
      <c r="D40" s="534"/>
      <c r="E40" s="534"/>
      <c r="F40" s="534"/>
      <c r="G40" s="534"/>
      <c r="H40" s="534"/>
      <c r="I40" s="534"/>
      <c r="J40" s="534"/>
      <c r="K40" s="534"/>
      <c r="L40" s="534"/>
      <c r="M40" s="534"/>
      <c r="N40" s="534"/>
      <c r="O40" s="534"/>
      <c r="P40" s="534"/>
      <c r="Q40" s="9"/>
      <c r="R40" s="9"/>
      <c r="S40" s="9"/>
    </row>
    <row r="41" ht="13.5" customHeight="1">
      <c r="A41" s="534"/>
      <c r="B41" s="534"/>
      <c r="C41" s="534"/>
      <c r="D41" s="534"/>
      <c r="E41" s="534"/>
      <c r="F41" s="534"/>
      <c r="G41" s="534"/>
      <c r="H41" s="534"/>
      <c r="I41" s="534"/>
      <c r="J41" s="534"/>
      <c r="K41" s="534"/>
      <c r="L41" s="534"/>
      <c r="M41" s="534"/>
      <c r="N41" s="534"/>
      <c r="O41" s="534"/>
      <c r="P41" s="534"/>
      <c r="Q41" s="9"/>
      <c r="R41" s="9"/>
      <c r="S41" s="9"/>
    </row>
    <row r="42" ht="13.5" customHeight="1">
      <c r="A42" s="534"/>
      <c r="B42" s="534"/>
      <c r="C42" s="534"/>
      <c r="D42" s="534"/>
      <c r="E42" s="534"/>
      <c r="F42" s="534"/>
      <c r="G42" s="534"/>
      <c r="H42" s="534"/>
      <c r="I42" s="534"/>
      <c r="J42" s="534"/>
      <c r="K42" s="534"/>
      <c r="L42" s="534"/>
      <c r="M42" s="534"/>
      <c r="N42" s="534"/>
      <c r="O42" s="534"/>
      <c r="P42" s="534"/>
      <c r="Q42" s="9"/>
      <c r="R42" s="9"/>
      <c r="S42" s="9"/>
    </row>
    <row r="43" ht="13.5" customHeight="1">
      <c r="A43" s="534"/>
      <c r="B43" s="534"/>
      <c r="C43" s="534"/>
      <c r="D43" s="534"/>
      <c r="E43" s="534"/>
      <c r="F43" s="534"/>
      <c r="G43" s="534"/>
      <c r="H43" s="534"/>
      <c r="I43" s="534"/>
      <c r="J43" s="534"/>
      <c r="K43" s="534"/>
      <c r="L43" s="534"/>
      <c r="M43" s="534"/>
      <c r="N43" s="534"/>
      <c r="O43" s="534"/>
      <c r="P43" s="534"/>
      <c r="Q43" s="9"/>
      <c r="R43" s="9"/>
      <c r="S43" s="9"/>
    </row>
    <row r="44" ht="13.5" customHeight="1">
      <c r="A44" s="534"/>
      <c r="B44" s="534"/>
      <c r="C44" s="534"/>
      <c r="D44" s="534"/>
      <c r="E44" s="534"/>
      <c r="F44" s="534"/>
      <c r="G44" s="534"/>
      <c r="H44" s="534"/>
      <c r="I44" s="534"/>
      <c r="J44" s="534"/>
      <c r="K44" s="534"/>
      <c r="L44" s="534"/>
      <c r="M44" s="534"/>
      <c r="N44" s="534"/>
      <c r="O44" s="534"/>
      <c r="P44" s="534"/>
      <c r="Q44" s="9"/>
      <c r="R44" s="9"/>
      <c r="S44" s="9"/>
    </row>
    <row r="45" ht="13.5" customHeight="1">
      <c r="A45" s="534"/>
      <c r="B45" s="534"/>
      <c r="C45" s="534"/>
      <c r="D45" s="534"/>
      <c r="E45" s="534"/>
      <c r="F45" s="534"/>
      <c r="G45" s="534"/>
      <c r="H45" s="534"/>
      <c r="I45" s="534"/>
      <c r="J45" s="534"/>
      <c r="K45" s="534"/>
      <c r="L45" s="534"/>
      <c r="M45" s="534"/>
      <c r="N45" s="534"/>
      <c r="O45" s="534"/>
      <c r="P45" s="534"/>
      <c r="Q45" s="9"/>
      <c r="R45" s="9"/>
      <c r="S45" s="9"/>
    </row>
    <row r="46" ht="13.5" customHeight="1">
      <c r="A46" s="534"/>
      <c r="B46" s="534"/>
      <c r="C46" s="534"/>
      <c r="D46" s="534"/>
      <c r="E46" s="534"/>
      <c r="F46" s="534"/>
      <c r="G46" s="534"/>
      <c r="H46" s="534"/>
      <c r="I46" s="534"/>
      <c r="J46" s="534"/>
      <c r="K46" s="534"/>
      <c r="L46" s="534"/>
      <c r="M46" s="534"/>
      <c r="N46" s="534"/>
      <c r="O46" s="534"/>
      <c r="P46" s="534"/>
      <c r="Q46" s="9"/>
      <c r="R46" s="9"/>
      <c r="S46" s="9"/>
    </row>
    <row r="47" ht="13.5" customHeight="1">
      <c r="A47" s="534"/>
      <c r="B47" s="534"/>
      <c r="C47" s="534"/>
      <c r="D47" s="534"/>
      <c r="E47" s="534"/>
      <c r="F47" s="534"/>
      <c r="G47" s="534"/>
      <c r="H47" s="534"/>
      <c r="I47" s="534"/>
      <c r="J47" s="534"/>
      <c r="K47" s="534"/>
      <c r="L47" s="534"/>
      <c r="M47" s="534"/>
      <c r="N47" s="534"/>
      <c r="O47" s="534"/>
      <c r="P47" s="534"/>
      <c r="Q47" s="9"/>
      <c r="R47" s="9"/>
      <c r="S47" s="9"/>
    </row>
    <row r="48" ht="13.5" customHeight="1">
      <c r="A48" s="534"/>
      <c r="B48" s="534"/>
      <c r="C48" s="534"/>
      <c r="D48" s="534"/>
      <c r="E48" s="534"/>
      <c r="F48" s="534"/>
      <c r="G48" s="534"/>
      <c r="H48" s="534"/>
      <c r="I48" s="534"/>
      <c r="J48" s="534"/>
      <c r="K48" s="534"/>
      <c r="L48" s="534"/>
      <c r="M48" s="534"/>
      <c r="N48" s="534"/>
      <c r="O48" s="534"/>
      <c r="P48" s="534"/>
      <c r="Q48" s="9"/>
      <c r="R48" s="9"/>
      <c r="S48" s="9"/>
    </row>
    <row r="49" ht="13.5" customHeight="1">
      <c r="A49" s="534"/>
      <c r="B49" s="534"/>
      <c r="C49" s="534"/>
      <c r="D49" s="534"/>
      <c r="E49" s="534"/>
      <c r="F49" s="534"/>
      <c r="G49" s="534"/>
      <c r="H49" s="534"/>
      <c r="I49" s="534"/>
      <c r="J49" s="534"/>
      <c r="K49" s="534"/>
      <c r="L49" s="534"/>
      <c r="M49" s="534"/>
      <c r="N49" s="534"/>
      <c r="O49" s="534"/>
      <c r="P49" s="534"/>
      <c r="Q49" s="9"/>
      <c r="R49" s="9"/>
      <c r="S49" s="9"/>
    </row>
    <row r="50" ht="15.75" customHeight="1">
      <c r="A50" s="77"/>
      <c r="B50" s="77"/>
      <c r="C50" s="77"/>
      <c r="D50" s="77"/>
      <c r="E50" s="77"/>
      <c r="F50" s="77"/>
      <c r="G50" s="77"/>
      <c r="H50" s="77"/>
      <c r="I50" s="77"/>
      <c r="J50" s="77"/>
      <c r="K50" s="77"/>
      <c r="L50" s="77"/>
      <c r="M50" s="77"/>
      <c r="N50" s="77"/>
      <c r="O50" s="77"/>
      <c r="P50" s="77"/>
      <c r="Q50" s="77"/>
      <c r="R50" s="77"/>
      <c r="S50" s="77"/>
    </row>
    <row r="51" ht="15.75" customHeight="1">
      <c r="A51" s="77"/>
      <c r="B51" s="77"/>
      <c r="C51" s="77"/>
      <c r="D51" s="77"/>
      <c r="E51" s="77"/>
      <c r="F51" s="77"/>
      <c r="G51" s="77"/>
      <c r="H51" s="77"/>
      <c r="I51" s="77"/>
      <c r="J51" s="77"/>
      <c r="K51" s="77"/>
      <c r="L51" s="77"/>
      <c r="M51" s="77"/>
      <c r="N51" s="77"/>
      <c r="O51" s="77"/>
      <c r="P51" s="77"/>
      <c r="Q51" s="77"/>
      <c r="R51" s="77"/>
      <c r="S51" s="77"/>
    </row>
    <row r="52" ht="15.75" customHeight="1">
      <c r="A52" s="77"/>
      <c r="B52" s="77"/>
      <c r="C52" s="77"/>
      <c r="D52" s="77"/>
      <c r="E52" s="77"/>
      <c r="F52" s="77"/>
      <c r="G52" s="77"/>
      <c r="H52" s="77"/>
      <c r="I52" s="77"/>
      <c r="J52" s="77"/>
      <c r="K52" s="77"/>
      <c r="L52" s="77"/>
      <c r="M52" s="77"/>
      <c r="N52" s="77"/>
      <c r="O52" s="77"/>
      <c r="P52" s="77"/>
      <c r="Q52" s="77"/>
      <c r="R52" s="77"/>
      <c r="S52" s="77"/>
    </row>
    <row r="53" ht="15.75" customHeight="1">
      <c r="A53" s="77"/>
      <c r="B53" s="77"/>
      <c r="C53" s="77"/>
      <c r="D53" s="77"/>
      <c r="E53" s="77"/>
      <c r="F53" s="77"/>
      <c r="G53" s="77"/>
      <c r="H53" s="77"/>
      <c r="I53" s="77"/>
      <c r="J53" s="77"/>
      <c r="K53" s="77"/>
      <c r="L53" s="77"/>
      <c r="M53" s="77"/>
      <c r="N53" s="77"/>
      <c r="O53" s="77"/>
      <c r="P53" s="77"/>
      <c r="Q53" s="77"/>
      <c r="R53" s="77"/>
      <c r="S53" s="77"/>
    </row>
    <row r="54" ht="15.75" customHeight="1">
      <c r="A54" s="77"/>
      <c r="B54" s="77"/>
      <c r="C54" s="77"/>
      <c r="D54" s="77"/>
      <c r="E54" s="77"/>
      <c r="F54" s="77"/>
      <c r="G54" s="77"/>
      <c r="H54" s="77"/>
      <c r="I54" s="77"/>
      <c r="J54" s="77"/>
      <c r="K54" s="77"/>
      <c r="L54" s="77"/>
      <c r="M54" s="77"/>
      <c r="N54" s="77"/>
      <c r="O54" s="77"/>
      <c r="P54" s="77"/>
      <c r="Q54" s="77"/>
      <c r="R54" s="77"/>
      <c r="S54" s="77"/>
    </row>
    <row r="55" ht="15.75" customHeight="1">
      <c r="A55" s="77"/>
      <c r="B55" s="77"/>
      <c r="C55" s="77"/>
      <c r="D55" s="77"/>
      <c r="E55" s="77"/>
      <c r="F55" s="77"/>
      <c r="G55" s="77"/>
      <c r="H55" s="77"/>
      <c r="I55" s="77"/>
      <c r="J55" s="77"/>
      <c r="K55" s="77"/>
      <c r="L55" s="77"/>
      <c r="M55" s="77"/>
      <c r="N55" s="77"/>
      <c r="O55" s="77"/>
      <c r="P55" s="77"/>
      <c r="Q55" s="77"/>
      <c r="R55" s="77"/>
      <c r="S55" s="77"/>
    </row>
    <row r="56" ht="15.75" customHeight="1">
      <c r="A56" s="77"/>
      <c r="B56" s="77"/>
      <c r="C56" s="77"/>
      <c r="D56" s="77"/>
      <c r="E56" s="77"/>
      <c r="F56" s="77"/>
      <c r="G56" s="77"/>
      <c r="H56" s="77"/>
      <c r="I56" s="77"/>
      <c r="J56" s="77"/>
      <c r="K56" s="77"/>
      <c r="L56" s="77"/>
      <c r="M56" s="77"/>
      <c r="N56" s="77"/>
      <c r="O56" s="77"/>
      <c r="P56" s="77"/>
      <c r="Q56" s="77"/>
      <c r="R56" s="77"/>
      <c r="S56" s="77"/>
    </row>
    <row r="57" ht="15.75" customHeight="1">
      <c r="A57" s="77"/>
      <c r="B57" s="77"/>
      <c r="C57" s="77"/>
      <c r="D57" s="77"/>
      <c r="E57" s="77"/>
      <c r="F57" s="77"/>
      <c r="G57" s="77"/>
      <c r="H57" s="77"/>
      <c r="I57" s="77"/>
      <c r="J57" s="77"/>
      <c r="K57" s="77"/>
      <c r="L57" s="77"/>
      <c r="M57" s="77"/>
      <c r="N57" s="77"/>
      <c r="O57" s="77"/>
      <c r="P57" s="77"/>
      <c r="Q57" s="77"/>
      <c r="R57" s="77"/>
      <c r="S57" s="77"/>
    </row>
    <row r="58" ht="15.75" customHeight="1">
      <c r="A58" s="77"/>
      <c r="B58" s="77"/>
      <c r="C58" s="77"/>
      <c r="D58" s="77"/>
      <c r="E58" s="77"/>
      <c r="F58" s="77"/>
      <c r="G58" s="77"/>
      <c r="H58" s="77"/>
      <c r="I58" s="77"/>
      <c r="J58" s="77"/>
      <c r="K58" s="77"/>
      <c r="L58" s="77"/>
      <c r="M58" s="77"/>
      <c r="N58" s="77"/>
      <c r="O58" s="77"/>
      <c r="P58" s="77"/>
      <c r="Q58" s="77"/>
      <c r="R58" s="77"/>
      <c r="S58" s="77"/>
    </row>
    <row r="59" ht="15.75" customHeight="1">
      <c r="A59" s="77"/>
      <c r="B59" s="77"/>
      <c r="C59" s="77"/>
      <c r="D59" s="77"/>
      <c r="E59" s="77"/>
      <c r="F59" s="77"/>
      <c r="G59" s="77"/>
      <c r="H59" s="77"/>
      <c r="I59" s="77"/>
      <c r="J59" s="77"/>
      <c r="K59" s="77"/>
      <c r="L59" s="77"/>
      <c r="M59" s="77"/>
      <c r="N59" s="77"/>
      <c r="O59" s="77"/>
      <c r="P59" s="77"/>
      <c r="Q59" s="77"/>
      <c r="R59" s="77"/>
      <c r="S59" s="77"/>
    </row>
    <row r="60" ht="15.75" customHeight="1">
      <c r="A60" s="77"/>
      <c r="B60" s="77"/>
      <c r="C60" s="77"/>
      <c r="D60" s="77"/>
      <c r="E60" s="77"/>
      <c r="F60" s="77"/>
      <c r="G60" s="77"/>
      <c r="H60" s="77"/>
      <c r="I60" s="77"/>
      <c r="J60" s="77"/>
      <c r="K60" s="77"/>
      <c r="L60" s="77"/>
      <c r="M60" s="77"/>
      <c r="N60" s="77"/>
      <c r="O60" s="77"/>
      <c r="P60" s="77"/>
      <c r="Q60" s="77"/>
      <c r="R60" s="77"/>
      <c r="S60" s="77"/>
    </row>
    <row r="61" ht="15.75" customHeight="1">
      <c r="A61" s="77"/>
      <c r="B61" s="77"/>
      <c r="C61" s="77"/>
      <c r="D61" s="77"/>
      <c r="E61" s="77"/>
      <c r="F61" s="77"/>
      <c r="G61" s="77"/>
      <c r="H61" s="77"/>
      <c r="I61" s="77"/>
      <c r="J61" s="77"/>
      <c r="K61" s="77"/>
      <c r="L61" s="77"/>
      <c r="M61" s="77"/>
      <c r="N61" s="77"/>
      <c r="O61" s="77"/>
      <c r="P61" s="77"/>
      <c r="Q61" s="77"/>
      <c r="R61" s="77"/>
      <c r="S61" s="77"/>
    </row>
    <row r="62" ht="15.75" customHeight="1">
      <c r="A62" s="77"/>
      <c r="B62" s="77"/>
      <c r="C62" s="77"/>
      <c r="D62" s="77"/>
      <c r="E62" s="77"/>
      <c r="F62" s="77"/>
      <c r="G62" s="77"/>
      <c r="H62" s="77"/>
      <c r="I62" s="77"/>
      <c r="J62" s="77"/>
      <c r="K62" s="77"/>
      <c r="L62" s="77"/>
      <c r="M62" s="77"/>
      <c r="N62" s="77"/>
      <c r="O62" s="77"/>
      <c r="P62" s="77"/>
      <c r="Q62" s="77"/>
      <c r="R62" s="77"/>
      <c r="S62" s="77"/>
    </row>
    <row r="63" ht="15.75" customHeight="1">
      <c r="A63" s="77"/>
      <c r="B63" s="77"/>
      <c r="C63" s="77"/>
      <c r="D63" s="77"/>
      <c r="E63" s="77"/>
      <c r="F63" s="77"/>
      <c r="G63" s="77"/>
      <c r="H63" s="77"/>
      <c r="I63" s="77"/>
      <c r="J63" s="77"/>
      <c r="K63" s="77"/>
      <c r="L63" s="77"/>
      <c r="M63" s="77"/>
      <c r="N63" s="77"/>
      <c r="O63" s="77"/>
      <c r="P63" s="77"/>
      <c r="Q63" s="77"/>
      <c r="R63" s="77"/>
      <c r="S63" s="77"/>
    </row>
    <row r="64" ht="15.75" customHeight="1">
      <c r="A64" s="77"/>
      <c r="B64" s="77"/>
      <c r="C64" s="77"/>
      <c r="D64" s="77"/>
      <c r="E64" s="77"/>
      <c r="F64" s="77"/>
      <c r="G64" s="77"/>
      <c r="H64" s="77"/>
      <c r="I64" s="77"/>
      <c r="J64" s="77"/>
      <c r="K64" s="77"/>
      <c r="L64" s="77"/>
      <c r="M64" s="77"/>
      <c r="N64" s="77"/>
      <c r="O64" s="77"/>
      <c r="P64" s="77"/>
      <c r="Q64" s="77"/>
      <c r="R64" s="77"/>
      <c r="S64" s="77"/>
    </row>
    <row r="65" ht="15.75" customHeight="1">
      <c r="A65" s="77"/>
      <c r="B65" s="77"/>
      <c r="C65" s="77"/>
      <c r="D65" s="77"/>
      <c r="E65" s="77"/>
      <c r="F65" s="77"/>
      <c r="G65" s="77"/>
      <c r="H65" s="77"/>
      <c r="I65" s="77"/>
      <c r="J65" s="77"/>
      <c r="K65" s="77"/>
      <c r="L65" s="77"/>
      <c r="M65" s="77"/>
      <c r="N65" s="77"/>
      <c r="O65" s="77"/>
      <c r="P65" s="77"/>
      <c r="Q65" s="77"/>
      <c r="R65" s="77"/>
      <c r="S65" s="77"/>
    </row>
    <row r="66" ht="15.75" customHeight="1">
      <c r="A66" s="77"/>
      <c r="B66" s="77"/>
      <c r="C66" s="77"/>
      <c r="D66" s="77"/>
      <c r="E66" s="77"/>
      <c r="F66" s="77"/>
      <c r="G66" s="77"/>
      <c r="H66" s="77"/>
      <c r="I66" s="77"/>
      <c r="J66" s="77"/>
      <c r="K66" s="77"/>
      <c r="L66" s="77"/>
      <c r="M66" s="77"/>
      <c r="N66" s="77"/>
      <c r="O66" s="77"/>
      <c r="P66" s="77"/>
      <c r="Q66" s="77"/>
      <c r="R66" s="77"/>
      <c r="S66" s="77"/>
    </row>
    <row r="67" ht="15.75" customHeight="1">
      <c r="A67" s="77"/>
      <c r="B67" s="77"/>
      <c r="C67" s="77"/>
      <c r="D67" s="77"/>
      <c r="E67" s="77"/>
      <c r="F67" s="77"/>
      <c r="G67" s="77"/>
      <c r="H67" s="77"/>
      <c r="I67" s="77"/>
      <c r="J67" s="77"/>
      <c r="K67" s="77"/>
      <c r="L67" s="77"/>
      <c r="M67" s="77"/>
      <c r="N67" s="77"/>
      <c r="O67" s="77"/>
      <c r="P67" s="77"/>
      <c r="Q67" s="77"/>
      <c r="R67" s="77"/>
      <c r="S67" s="77"/>
    </row>
    <row r="68" ht="15.75" customHeight="1">
      <c r="A68" s="77"/>
      <c r="B68" s="77"/>
      <c r="C68" s="77"/>
      <c r="D68" s="77"/>
      <c r="E68" s="77"/>
      <c r="F68" s="77"/>
      <c r="G68" s="77"/>
      <c r="H68" s="77"/>
      <c r="I68" s="77"/>
      <c r="J68" s="77"/>
      <c r="K68" s="77"/>
      <c r="L68" s="77"/>
      <c r="M68" s="77"/>
      <c r="N68" s="77"/>
      <c r="O68" s="77"/>
      <c r="P68" s="77"/>
      <c r="Q68" s="77"/>
      <c r="R68" s="77"/>
      <c r="S68" s="77"/>
    </row>
    <row r="69" ht="15.75" customHeight="1">
      <c r="A69" s="77"/>
      <c r="B69" s="77"/>
      <c r="C69" s="77"/>
      <c r="D69" s="77"/>
      <c r="E69" s="77"/>
      <c r="F69" s="77"/>
      <c r="G69" s="77"/>
      <c r="H69" s="77"/>
      <c r="I69" s="77"/>
      <c r="J69" s="77"/>
      <c r="K69" s="77"/>
      <c r="L69" s="77"/>
      <c r="M69" s="77"/>
      <c r="N69" s="77"/>
      <c r="O69" s="77"/>
      <c r="P69" s="77"/>
      <c r="Q69" s="77"/>
      <c r="R69" s="77"/>
      <c r="S69" s="77"/>
    </row>
    <row r="70" ht="15.75" customHeight="1">
      <c r="A70" s="77"/>
      <c r="B70" s="77"/>
      <c r="C70" s="77"/>
      <c r="D70" s="77"/>
      <c r="E70" s="77"/>
      <c r="F70" s="77"/>
      <c r="G70" s="77"/>
      <c r="H70" s="77"/>
      <c r="I70" s="77"/>
      <c r="J70" s="77"/>
      <c r="K70" s="77"/>
      <c r="L70" s="77"/>
      <c r="M70" s="77"/>
      <c r="N70" s="77"/>
      <c r="O70" s="77"/>
      <c r="P70" s="77"/>
      <c r="Q70" s="77"/>
      <c r="R70" s="77"/>
      <c r="S70" s="77"/>
    </row>
    <row r="71" ht="15.75" customHeight="1">
      <c r="A71" s="77"/>
      <c r="B71" s="77"/>
      <c r="C71" s="77"/>
      <c r="D71" s="77"/>
      <c r="E71" s="77"/>
      <c r="F71" s="77"/>
      <c r="G71" s="77"/>
      <c r="H71" s="77"/>
      <c r="I71" s="77"/>
      <c r="J71" s="77"/>
      <c r="K71" s="77"/>
      <c r="L71" s="77"/>
      <c r="M71" s="77"/>
      <c r="N71" s="77"/>
      <c r="O71" s="77"/>
      <c r="P71" s="77"/>
      <c r="Q71" s="77"/>
      <c r="R71" s="77"/>
      <c r="S71" s="77"/>
    </row>
    <row r="72" ht="15.75" customHeight="1">
      <c r="A72" s="77"/>
      <c r="B72" s="77"/>
      <c r="C72" s="77"/>
      <c r="D72" s="77"/>
      <c r="E72" s="77"/>
      <c r="F72" s="77"/>
      <c r="G72" s="77"/>
      <c r="H72" s="77"/>
      <c r="I72" s="77"/>
      <c r="J72" s="77"/>
      <c r="K72" s="77"/>
      <c r="L72" s="77"/>
      <c r="M72" s="77"/>
      <c r="N72" s="77"/>
      <c r="O72" s="77"/>
      <c r="P72" s="77"/>
      <c r="Q72" s="77"/>
      <c r="R72" s="77"/>
      <c r="S72" s="77"/>
    </row>
    <row r="73" ht="15.75" customHeight="1">
      <c r="A73" s="77"/>
      <c r="B73" s="77"/>
      <c r="C73" s="77"/>
      <c r="D73" s="77"/>
      <c r="E73" s="77"/>
      <c r="F73" s="77"/>
      <c r="G73" s="77"/>
      <c r="H73" s="77"/>
      <c r="I73" s="77"/>
      <c r="J73" s="77"/>
      <c r="K73" s="77"/>
      <c r="L73" s="77"/>
      <c r="M73" s="77"/>
      <c r="N73" s="77"/>
      <c r="O73" s="77"/>
      <c r="P73" s="77"/>
      <c r="Q73" s="77"/>
      <c r="R73" s="77"/>
      <c r="S73" s="77"/>
    </row>
    <row r="74" ht="15.75" customHeight="1">
      <c r="A74" s="77"/>
      <c r="B74" s="77"/>
      <c r="C74" s="77"/>
      <c r="D74" s="77"/>
      <c r="E74" s="77"/>
      <c r="F74" s="77"/>
      <c r="G74" s="77"/>
      <c r="H74" s="77"/>
      <c r="I74" s="77"/>
      <c r="J74" s="77"/>
      <c r="K74" s="77"/>
      <c r="L74" s="77"/>
      <c r="M74" s="77"/>
      <c r="N74" s="77"/>
      <c r="O74" s="77"/>
      <c r="P74" s="77"/>
      <c r="Q74" s="77"/>
      <c r="R74" s="77"/>
      <c r="S74" s="77"/>
    </row>
    <row r="75" ht="15.75" customHeight="1">
      <c r="A75" s="77"/>
      <c r="B75" s="77"/>
      <c r="C75" s="77"/>
      <c r="D75" s="77"/>
      <c r="E75" s="77"/>
      <c r="F75" s="77"/>
      <c r="G75" s="77"/>
      <c r="H75" s="77"/>
      <c r="I75" s="77"/>
      <c r="J75" s="77"/>
      <c r="K75" s="77"/>
      <c r="L75" s="77"/>
      <c r="M75" s="77"/>
      <c r="N75" s="77"/>
      <c r="O75" s="77"/>
      <c r="P75" s="77"/>
      <c r="Q75" s="77"/>
      <c r="R75" s="77"/>
      <c r="S75" s="77"/>
    </row>
    <row r="76" ht="15.75" customHeight="1">
      <c r="A76" s="77"/>
      <c r="B76" s="77"/>
      <c r="C76" s="77"/>
      <c r="D76" s="77"/>
      <c r="E76" s="77"/>
      <c r="F76" s="77"/>
      <c r="G76" s="77"/>
      <c r="H76" s="77"/>
      <c r="I76" s="77"/>
      <c r="J76" s="77"/>
      <c r="K76" s="77"/>
      <c r="L76" s="77"/>
      <c r="M76" s="77"/>
      <c r="N76" s="77"/>
      <c r="O76" s="77"/>
      <c r="P76" s="77"/>
      <c r="Q76" s="77"/>
      <c r="R76" s="77"/>
      <c r="S76" s="77"/>
    </row>
    <row r="77" ht="15.75" customHeight="1">
      <c r="A77" s="77"/>
      <c r="B77" s="77"/>
      <c r="C77" s="77"/>
      <c r="D77" s="77"/>
      <c r="E77" s="77"/>
      <c r="F77" s="77"/>
      <c r="G77" s="77"/>
      <c r="H77" s="77"/>
      <c r="I77" s="77"/>
      <c r="J77" s="77"/>
      <c r="K77" s="77"/>
      <c r="L77" s="77"/>
      <c r="M77" s="77"/>
      <c r="N77" s="77"/>
      <c r="O77" s="77"/>
      <c r="P77" s="77"/>
      <c r="Q77" s="77"/>
      <c r="R77" s="77"/>
      <c r="S77" s="77"/>
    </row>
    <row r="78" ht="15.75" customHeight="1">
      <c r="A78" s="77"/>
      <c r="B78" s="77"/>
      <c r="C78" s="77"/>
      <c r="D78" s="77"/>
      <c r="E78" s="77"/>
      <c r="F78" s="77"/>
      <c r="G78" s="77"/>
      <c r="H78" s="77"/>
      <c r="I78" s="77"/>
      <c r="J78" s="77"/>
      <c r="K78" s="77"/>
      <c r="L78" s="77"/>
      <c r="M78" s="77"/>
      <c r="N78" s="77"/>
      <c r="O78" s="77"/>
      <c r="P78" s="77"/>
      <c r="Q78" s="77"/>
      <c r="R78" s="77"/>
      <c r="S78" s="77"/>
    </row>
    <row r="79" ht="15.75" customHeight="1">
      <c r="A79" s="77"/>
      <c r="B79" s="77"/>
      <c r="C79" s="77"/>
      <c r="D79" s="77"/>
      <c r="E79" s="77"/>
      <c r="F79" s="77"/>
      <c r="G79" s="77"/>
      <c r="H79" s="77"/>
      <c r="I79" s="77"/>
      <c r="J79" s="77"/>
      <c r="K79" s="77"/>
      <c r="L79" s="77"/>
      <c r="M79" s="77"/>
      <c r="N79" s="77"/>
      <c r="O79" s="77"/>
      <c r="P79" s="77"/>
      <c r="Q79" s="77"/>
      <c r="R79" s="77"/>
      <c r="S79" s="77"/>
    </row>
    <row r="80" ht="15.75" customHeight="1">
      <c r="A80" s="77"/>
      <c r="B80" s="77"/>
      <c r="C80" s="77"/>
      <c r="D80" s="77"/>
      <c r="E80" s="77"/>
      <c r="F80" s="77"/>
      <c r="G80" s="77"/>
      <c r="H80" s="77"/>
      <c r="I80" s="77"/>
      <c r="J80" s="77"/>
      <c r="K80" s="77"/>
      <c r="L80" s="77"/>
      <c r="M80" s="77"/>
      <c r="N80" s="77"/>
      <c r="O80" s="77"/>
      <c r="P80" s="77"/>
      <c r="Q80" s="77"/>
      <c r="R80" s="77"/>
      <c r="S80" s="77"/>
    </row>
    <row r="81" ht="15.75" customHeight="1">
      <c r="A81" s="77"/>
      <c r="B81" s="77"/>
      <c r="C81" s="77"/>
      <c r="D81" s="77"/>
      <c r="E81" s="77"/>
      <c r="F81" s="77"/>
      <c r="G81" s="77"/>
      <c r="H81" s="77"/>
      <c r="I81" s="77"/>
      <c r="J81" s="77"/>
      <c r="K81" s="77"/>
      <c r="L81" s="77"/>
      <c r="M81" s="77"/>
      <c r="N81" s="77"/>
      <c r="O81" s="77"/>
      <c r="P81" s="77"/>
      <c r="Q81" s="77"/>
      <c r="R81" s="77"/>
      <c r="S81" s="77"/>
    </row>
    <row r="82" ht="15.75" customHeight="1">
      <c r="A82" s="77"/>
      <c r="B82" s="77"/>
      <c r="C82" s="77"/>
      <c r="D82" s="77"/>
      <c r="E82" s="77"/>
      <c r="F82" s="77"/>
      <c r="G82" s="77"/>
      <c r="H82" s="77"/>
      <c r="I82" s="77"/>
      <c r="J82" s="77"/>
      <c r="K82" s="77"/>
      <c r="L82" s="77"/>
      <c r="M82" s="77"/>
      <c r="N82" s="77"/>
      <c r="O82" s="77"/>
      <c r="P82" s="77"/>
      <c r="Q82" s="77"/>
      <c r="R82" s="77"/>
      <c r="S82" s="77"/>
    </row>
    <row r="83" ht="15.75" customHeight="1">
      <c r="A83" s="77"/>
      <c r="B83" s="77"/>
      <c r="C83" s="77"/>
      <c r="D83" s="77"/>
      <c r="E83" s="77"/>
      <c r="F83" s="77"/>
      <c r="G83" s="77"/>
      <c r="H83" s="77"/>
      <c r="I83" s="77"/>
      <c r="J83" s="77"/>
      <c r="K83" s="77"/>
      <c r="L83" s="77"/>
      <c r="M83" s="77"/>
      <c r="N83" s="77"/>
      <c r="O83" s="77"/>
      <c r="P83" s="77"/>
      <c r="Q83" s="77"/>
      <c r="R83" s="77"/>
      <c r="S83" s="77"/>
    </row>
    <row r="84" ht="15.75" customHeight="1">
      <c r="A84" s="77"/>
      <c r="B84" s="77"/>
      <c r="C84" s="77"/>
      <c r="D84" s="77"/>
      <c r="E84" s="77"/>
      <c r="F84" s="77"/>
      <c r="G84" s="77"/>
      <c r="H84" s="77"/>
      <c r="I84" s="77"/>
      <c r="J84" s="77"/>
      <c r="K84" s="77"/>
      <c r="L84" s="77"/>
      <c r="M84" s="77"/>
      <c r="N84" s="77"/>
      <c r="O84" s="77"/>
      <c r="P84" s="77"/>
      <c r="Q84" s="77"/>
      <c r="R84" s="77"/>
      <c r="S84" s="77"/>
    </row>
    <row r="85" ht="15.75" customHeight="1">
      <c r="A85" s="77"/>
      <c r="B85" s="77"/>
      <c r="C85" s="77"/>
      <c r="D85" s="77"/>
      <c r="E85" s="77"/>
      <c r="F85" s="77"/>
      <c r="G85" s="77"/>
      <c r="H85" s="77"/>
      <c r="I85" s="77"/>
      <c r="J85" s="77"/>
      <c r="K85" s="77"/>
      <c r="L85" s="77"/>
      <c r="M85" s="77"/>
      <c r="N85" s="77"/>
      <c r="O85" s="77"/>
      <c r="P85" s="77"/>
      <c r="Q85" s="77"/>
      <c r="R85" s="77"/>
      <c r="S85" s="77"/>
    </row>
    <row r="86" ht="15.75" customHeight="1">
      <c r="A86" s="77"/>
      <c r="B86" s="77"/>
      <c r="C86" s="77"/>
      <c r="D86" s="77"/>
      <c r="E86" s="77"/>
      <c r="F86" s="77"/>
      <c r="G86" s="77"/>
      <c r="H86" s="77"/>
      <c r="I86" s="77"/>
      <c r="J86" s="77"/>
      <c r="K86" s="77"/>
      <c r="L86" s="77"/>
      <c r="M86" s="77"/>
      <c r="N86" s="77"/>
      <c r="O86" s="77"/>
      <c r="P86" s="77"/>
      <c r="Q86" s="77"/>
      <c r="R86" s="77"/>
      <c r="S86" s="77"/>
    </row>
    <row r="87" ht="15.75" customHeight="1">
      <c r="A87" s="77"/>
      <c r="B87" s="77"/>
      <c r="C87" s="77"/>
      <c r="D87" s="77"/>
      <c r="E87" s="77"/>
      <c r="F87" s="77"/>
      <c r="G87" s="77"/>
      <c r="H87" s="77"/>
      <c r="I87" s="77"/>
      <c r="J87" s="77"/>
      <c r="K87" s="77"/>
      <c r="L87" s="77"/>
      <c r="M87" s="77"/>
      <c r="N87" s="77"/>
      <c r="O87" s="77"/>
      <c r="P87" s="77"/>
      <c r="Q87" s="77"/>
      <c r="R87" s="77"/>
      <c r="S87" s="77"/>
    </row>
    <row r="88" ht="15.75" customHeight="1">
      <c r="A88" s="77"/>
      <c r="B88" s="77"/>
      <c r="C88" s="77"/>
      <c r="D88" s="77"/>
      <c r="E88" s="77"/>
      <c r="F88" s="77"/>
      <c r="G88" s="77"/>
      <c r="H88" s="77"/>
      <c r="I88" s="77"/>
      <c r="J88" s="77"/>
      <c r="K88" s="77"/>
      <c r="L88" s="77"/>
      <c r="M88" s="77"/>
      <c r="N88" s="77"/>
      <c r="O88" s="77"/>
      <c r="P88" s="77"/>
      <c r="Q88" s="77"/>
      <c r="R88" s="77"/>
      <c r="S88" s="77"/>
    </row>
    <row r="89" ht="15.75" customHeight="1">
      <c r="A89" s="77"/>
      <c r="B89" s="77"/>
      <c r="C89" s="77"/>
      <c r="D89" s="77"/>
      <c r="E89" s="77"/>
      <c r="F89" s="77"/>
      <c r="G89" s="77"/>
      <c r="H89" s="77"/>
      <c r="I89" s="77"/>
      <c r="J89" s="77"/>
      <c r="K89" s="77"/>
      <c r="L89" s="77"/>
      <c r="M89" s="77"/>
      <c r="N89" s="77"/>
      <c r="O89" s="77"/>
      <c r="P89" s="77"/>
      <c r="Q89" s="77"/>
      <c r="R89" s="77"/>
      <c r="S89" s="77"/>
    </row>
    <row r="90" ht="15.75" customHeight="1">
      <c r="A90" s="77"/>
      <c r="B90" s="77"/>
      <c r="C90" s="77"/>
      <c r="D90" s="77"/>
      <c r="E90" s="77"/>
      <c r="F90" s="77"/>
      <c r="G90" s="77"/>
      <c r="H90" s="77"/>
      <c r="I90" s="77"/>
      <c r="J90" s="77"/>
      <c r="K90" s="77"/>
      <c r="L90" s="77"/>
      <c r="M90" s="77"/>
      <c r="N90" s="77"/>
      <c r="O90" s="77"/>
      <c r="P90" s="77"/>
      <c r="Q90" s="77"/>
      <c r="R90" s="77"/>
      <c r="S90" s="77"/>
    </row>
    <row r="91" ht="15.75" customHeight="1">
      <c r="A91" s="77"/>
      <c r="B91" s="77"/>
      <c r="C91" s="77"/>
      <c r="D91" s="77"/>
      <c r="E91" s="77"/>
      <c r="F91" s="77"/>
      <c r="G91" s="77"/>
      <c r="H91" s="77"/>
      <c r="I91" s="77"/>
      <c r="J91" s="77"/>
      <c r="K91" s="77"/>
      <c r="L91" s="77"/>
      <c r="M91" s="77"/>
      <c r="N91" s="77"/>
      <c r="O91" s="77"/>
      <c r="P91" s="77"/>
      <c r="Q91" s="77"/>
      <c r="R91" s="77"/>
      <c r="S91" s="77"/>
    </row>
    <row r="92" ht="15.75" customHeight="1">
      <c r="A92" s="77"/>
      <c r="B92" s="77"/>
      <c r="C92" s="77"/>
      <c r="D92" s="77"/>
      <c r="E92" s="77"/>
      <c r="F92" s="77"/>
      <c r="G92" s="77"/>
      <c r="H92" s="77"/>
      <c r="I92" s="77"/>
      <c r="J92" s="77"/>
      <c r="K92" s="77"/>
      <c r="L92" s="77"/>
      <c r="M92" s="77"/>
      <c r="N92" s="77"/>
      <c r="O92" s="77"/>
      <c r="P92" s="77"/>
      <c r="Q92" s="77"/>
      <c r="R92" s="77"/>
      <c r="S92" s="77"/>
    </row>
    <row r="93" ht="15.75" customHeight="1">
      <c r="A93" s="77"/>
      <c r="B93" s="77"/>
      <c r="C93" s="77"/>
      <c r="D93" s="77"/>
      <c r="E93" s="77"/>
      <c r="F93" s="77"/>
      <c r="G93" s="77"/>
      <c r="H93" s="77"/>
      <c r="I93" s="77"/>
      <c r="J93" s="77"/>
      <c r="K93" s="77"/>
      <c r="L93" s="77"/>
      <c r="M93" s="77"/>
      <c r="N93" s="77"/>
      <c r="O93" s="77"/>
      <c r="P93" s="77"/>
      <c r="Q93" s="77"/>
      <c r="R93" s="77"/>
      <c r="S93" s="77"/>
    </row>
    <row r="94" ht="15.75" customHeight="1">
      <c r="A94" s="77"/>
      <c r="B94" s="77"/>
      <c r="C94" s="77"/>
      <c r="D94" s="77"/>
      <c r="E94" s="77"/>
      <c r="F94" s="77"/>
      <c r="G94" s="77"/>
      <c r="H94" s="77"/>
      <c r="I94" s="77"/>
      <c r="J94" s="77"/>
      <c r="K94" s="77"/>
      <c r="L94" s="77"/>
      <c r="M94" s="77"/>
      <c r="N94" s="77"/>
      <c r="O94" s="77"/>
      <c r="P94" s="77"/>
      <c r="Q94" s="77"/>
      <c r="R94" s="77"/>
      <c r="S94" s="77"/>
    </row>
    <row r="95" ht="15.75" customHeight="1">
      <c r="A95" s="77"/>
      <c r="B95" s="77"/>
      <c r="C95" s="77"/>
      <c r="D95" s="77"/>
      <c r="E95" s="77"/>
      <c r="F95" s="77"/>
      <c r="G95" s="77"/>
      <c r="H95" s="77"/>
      <c r="I95" s="77"/>
      <c r="J95" s="77"/>
      <c r="K95" s="77"/>
      <c r="L95" s="77"/>
      <c r="M95" s="77"/>
      <c r="N95" s="77"/>
      <c r="O95" s="77"/>
      <c r="P95" s="77"/>
      <c r="Q95" s="77"/>
      <c r="R95" s="77"/>
      <c r="S95" s="77"/>
    </row>
    <row r="96" ht="15.75" customHeight="1">
      <c r="A96" s="77"/>
      <c r="B96" s="77"/>
      <c r="C96" s="77"/>
      <c r="D96" s="77"/>
      <c r="E96" s="77"/>
      <c r="F96" s="77"/>
      <c r="G96" s="77"/>
      <c r="H96" s="77"/>
      <c r="I96" s="77"/>
      <c r="J96" s="77"/>
      <c r="K96" s="77"/>
      <c r="L96" s="77"/>
      <c r="M96" s="77"/>
      <c r="N96" s="77"/>
      <c r="O96" s="77"/>
      <c r="P96" s="77"/>
      <c r="Q96" s="77"/>
      <c r="R96" s="77"/>
      <c r="S96" s="77"/>
    </row>
    <row r="97" ht="15.75" customHeight="1">
      <c r="A97" s="77"/>
      <c r="B97" s="77"/>
      <c r="C97" s="77"/>
      <c r="D97" s="77"/>
      <c r="E97" s="77"/>
      <c r="F97" s="77"/>
      <c r="G97" s="77"/>
      <c r="H97" s="77"/>
      <c r="I97" s="77"/>
      <c r="J97" s="77"/>
      <c r="K97" s="77"/>
      <c r="L97" s="77"/>
      <c r="M97" s="77"/>
      <c r="N97" s="77"/>
      <c r="O97" s="77"/>
      <c r="P97" s="77"/>
      <c r="Q97" s="77"/>
      <c r="R97" s="77"/>
      <c r="S97" s="77"/>
    </row>
    <row r="98" ht="15.75" customHeight="1">
      <c r="A98" s="77"/>
      <c r="B98" s="77"/>
      <c r="C98" s="77"/>
      <c r="D98" s="77"/>
      <c r="E98" s="77"/>
      <c r="F98" s="77"/>
      <c r="G98" s="77"/>
      <c r="H98" s="77"/>
      <c r="I98" s="77"/>
      <c r="J98" s="77"/>
      <c r="K98" s="77"/>
      <c r="L98" s="77"/>
      <c r="M98" s="77"/>
      <c r="N98" s="77"/>
      <c r="O98" s="77"/>
      <c r="P98" s="77"/>
      <c r="Q98" s="77"/>
      <c r="R98" s="77"/>
      <c r="S98" s="77"/>
    </row>
    <row r="99" ht="15.75" customHeight="1">
      <c r="A99" s="77"/>
      <c r="B99" s="77"/>
      <c r="C99" s="77"/>
      <c r="D99" s="77"/>
      <c r="E99" s="77"/>
      <c r="F99" s="77"/>
      <c r="G99" s="77"/>
      <c r="H99" s="77"/>
      <c r="I99" s="77"/>
      <c r="J99" s="77"/>
      <c r="K99" s="77"/>
      <c r="L99" s="77"/>
      <c r="M99" s="77"/>
      <c r="N99" s="77"/>
      <c r="O99" s="77"/>
      <c r="P99" s="77"/>
      <c r="Q99" s="77"/>
      <c r="R99" s="77"/>
      <c r="S99" s="77"/>
    </row>
    <row r="100" ht="15.75" customHeight="1">
      <c r="A100" s="77"/>
      <c r="B100" s="77"/>
      <c r="C100" s="77"/>
      <c r="D100" s="77"/>
      <c r="E100" s="77"/>
      <c r="F100" s="77"/>
      <c r="G100" s="77"/>
      <c r="H100" s="77"/>
      <c r="I100" s="77"/>
      <c r="J100" s="77"/>
      <c r="K100" s="77"/>
      <c r="L100" s="77"/>
      <c r="M100" s="77"/>
      <c r="N100" s="77"/>
      <c r="O100" s="77"/>
      <c r="P100" s="77"/>
      <c r="Q100" s="77"/>
      <c r="R100" s="77"/>
      <c r="S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K6:L6"/>
    <mergeCell ref="K7:L13"/>
    <mergeCell ref="D33:E33"/>
    <mergeCell ref="G33:I33"/>
    <mergeCell ref="D34:E39"/>
    <mergeCell ref="G34:I39"/>
    <mergeCell ref="A4:N4"/>
    <mergeCell ref="O4:P4"/>
    <mergeCell ref="A6:C6"/>
    <mergeCell ref="E6:F6"/>
    <mergeCell ref="H6:I6"/>
    <mergeCell ref="E7:F13"/>
    <mergeCell ref="H7:I13"/>
    <mergeCell ref="O7:P7"/>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2.63" defaultRowHeight="15.0"/>
  <cols>
    <col customWidth="1" min="1" max="1" width="48.0"/>
    <col customWidth="1" min="2" max="2" width="13.75"/>
    <col customWidth="1" min="3" max="3" width="16.38"/>
    <col customWidth="1" min="4" max="4" width="15.88"/>
    <col customWidth="1" min="5" max="5" width="13.75"/>
    <col customWidth="1" min="6" max="6" width="8.63"/>
    <col customWidth="1" min="7" max="7" width="56.0"/>
    <col customWidth="1" min="8" max="10" width="8.38"/>
    <col customWidth="1" min="11" max="26" width="11.25"/>
  </cols>
  <sheetData>
    <row r="1" ht="37.5" customHeight="1">
      <c r="A1" s="2" t="str">
        <f>'Input sheet'!A1</f>
        <v>Novo Nordisk (NYSE:NVO)</v>
      </c>
      <c r="B1" s="2"/>
      <c r="C1" s="2" t="s">
        <v>57</v>
      </c>
      <c r="D1" s="2">
        <f>'Input sheet'!D1</f>
        <v>39.4</v>
      </c>
      <c r="E1" s="7"/>
      <c r="F1" s="7"/>
      <c r="G1" s="7"/>
      <c r="H1" s="7"/>
      <c r="I1" s="7"/>
      <c r="J1" s="7"/>
      <c r="K1" s="77"/>
    </row>
    <row r="2" ht="15.75" customHeight="1">
      <c r="A2" s="511" t="s">
        <v>677</v>
      </c>
      <c r="B2" s="513"/>
      <c r="C2" s="515"/>
      <c r="D2" s="513" t="s">
        <v>683</v>
      </c>
      <c r="E2" s="222"/>
      <c r="F2" s="206"/>
      <c r="G2" s="519" t="s">
        <v>685</v>
      </c>
      <c r="H2" s="206"/>
      <c r="I2" s="206"/>
      <c r="J2" s="206"/>
      <c r="K2" s="77"/>
    </row>
    <row r="3" ht="15.75" customHeight="1">
      <c r="A3" s="267"/>
      <c r="B3" s="521" t="s">
        <v>686</v>
      </c>
      <c r="C3" s="521" t="s">
        <v>687</v>
      </c>
      <c r="D3" s="521" t="s">
        <v>678</v>
      </c>
      <c r="E3" s="523" t="s">
        <v>680</v>
      </c>
      <c r="F3" s="206"/>
      <c r="G3" s="524" t="s">
        <v>688</v>
      </c>
      <c r="H3" s="206"/>
      <c r="I3" s="206"/>
      <c r="J3" s="206"/>
      <c r="K3" s="77"/>
    </row>
    <row r="4" ht="15.75" customHeight="1">
      <c r="A4" s="227" t="s">
        <v>689</v>
      </c>
      <c r="B4" s="269">
        <f>'Input sheet'!J26</f>
        <v>0.18446775</v>
      </c>
      <c r="C4" s="269">
        <f>'Input sheet'!I26</f>
        <v>0.0237657440695855</v>
      </c>
      <c r="D4" s="269">
        <f>'Valuation output'!C4</f>
        <v>-0.04</v>
      </c>
      <c r="E4" s="269">
        <f>'Valuation output'!D4</f>
        <v>0.035</v>
      </c>
      <c r="F4" s="206"/>
      <c r="G4" s="524" t="s">
        <v>693</v>
      </c>
      <c r="H4" s="206"/>
      <c r="I4" s="206"/>
      <c r="J4" s="206"/>
      <c r="K4" s="77"/>
    </row>
    <row r="5" ht="15.75" customHeight="1">
      <c r="A5" s="206"/>
      <c r="B5" s="249"/>
      <c r="C5" s="249"/>
      <c r="D5" s="249"/>
      <c r="E5" s="249"/>
      <c r="F5" s="206"/>
      <c r="G5" s="206"/>
      <c r="H5" s="206"/>
      <c r="I5" s="206"/>
      <c r="J5" s="206"/>
      <c r="K5" s="77"/>
    </row>
    <row r="6" ht="15.75" customHeight="1">
      <c r="A6" s="511" t="s">
        <v>695</v>
      </c>
      <c r="B6" s="515"/>
      <c r="C6" s="515"/>
      <c r="D6" s="515"/>
      <c r="E6" s="531"/>
      <c r="F6" s="206"/>
      <c r="G6" s="206"/>
      <c r="H6" s="206"/>
      <c r="I6" s="206"/>
      <c r="J6" s="206"/>
      <c r="K6" s="77"/>
    </row>
    <row r="7" ht="15.75" customHeight="1">
      <c r="A7" s="267"/>
      <c r="B7" s="249" t="s">
        <v>687</v>
      </c>
      <c r="C7" s="249" t="s">
        <v>678</v>
      </c>
      <c r="D7" s="249" t="s">
        <v>697</v>
      </c>
      <c r="E7" s="535" t="s">
        <v>698</v>
      </c>
      <c r="F7" s="206"/>
      <c r="G7" s="227" t="s">
        <v>699</v>
      </c>
      <c r="H7" s="206"/>
      <c r="I7" s="206"/>
      <c r="J7" s="206"/>
      <c r="K7" s="77"/>
    </row>
    <row r="8" ht="15.75" customHeight="1">
      <c r="A8" s="227" t="s">
        <v>158</v>
      </c>
      <c r="B8" s="273">
        <f>'Valuation output'!B5</f>
        <v>47254.1</v>
      </c>
      <c r="C8" s="273">
        <f>'Valuation output'!C5</f>
        <v>45363.936</v>
      </c>
      <c r="D8" s="273">
        <f>'Valuation output'!G5</f>
        <v>52056.1599588804</v>
      </c>
      <c r="E8" s="273">
        <f>'Valuation output'!L5</f>
        <v>64484.9518644075</v>
      </c>
      <c r="F8" s="206"/>
      <c r="G8" s="227" t="s">
        <v>703</v>
      </c>
      <c r="H8" s="206"/>
      <c r="I8" s="206"/>
      <c r="J8" s="206"/>
      <c r="K8" s="77"/>
    </row>
    <row r="9" ht="15.75" customHeight="1">
      <c r="A9" s="206"/>
      <c r="B9" s="249"/>
      <c r="C9" s="249"/>
      <c r="D9" s="249"/>
      <c r="E9" s="249"/>
      <c r="F9" s="206"/>
      <c r="G9" s="227" t="s">
        <v>705</v>
      </c>
      <c r="H9" s="206"/>
      <c r="I9" s="206"/>
      <c r="J9" s="206"/>
      <c r="K9" s="77"/>
    </row>
    <row r="10" ht="15.75" customHeight="1">
      <c r="A10" s="206"/>
      <c r="B10" s="249"/>
      <c r="C10" s="249"/>
      <c r="D10" s="249"/>
      <c r="E10" s="249"/>
      <c r="F10" s="206"/>
      <c r="G10" s="227" t="s">
        <v>708</v>
      </c>
      <c r="H10" s="206"/>
      <c r="I10" s="206"/>
      <c r="J10" s="206"/>
      <c r="K10" s="77"/>
    </row>
    <row r="11" ht="15.75" customHeight="1">
      <c r="A11" s="206"/>
      <c r="B11" s="249"/>
      <c r="C11" s="249"/>
      <c r="D11" s="249"/>
      <c r="E11" s="249"/>
      <c r="F11" s="206"/>
      <c r="G11" s="206"/>
      <c r="H11" s="206"/>
      <c r="I11" s="206"/>
      <c r="J11" s="206"/>
      <c r="K11" s="77"/>
    </row>
    <row r="12" ht="15.75" customHeight="1">
      <c r="A12" s="511" t="s">
        <v>710</v>
      </c>
      <c r="B12" s="542" t="s">
        <v>687</v>
      </c>
      <c r="C12" s="542" t="s">
        <v>678</v>
      </c>
      <c r="D12" s="542" t="s">
        <v>697</v>
      </c>
      <c r="E12" s="544" t="s">
        <v>698</v>
      </c>
      <c r="F12" s="206"/>
      <c r="G12" s="227" t="s">
        <v>712</v>
      </c>
      <c r="H12" s="206"/>
      <c r="I12" s="206"/>
      <c r="J12" s="206"/>
      <c r="K12" s="77"/>
    </row>
    <row r="13" ht="15.75" customHeight="1">
      <c r="A13" s="227" t="s">
        <v>521</v>
      </c>
      <c r="B13" s="269">
        <f>'Valuation output'!B6</f>
        <v>0.494987948135717</v>
      </c>
      <c r="C13" s="269">
        <f>'Valuation output'!C6</f>
        <v>0.474987948135717</v>
      </c>
      <c r="D13" s="269">
        <f>'Valuation output'!G6</f>
        <v>0.45</v>
      </c>
      <c r="E13" s="269">
        <f>'Valuation output'!M6</f>
        <v>0.45</v>
      </c>
      <c r="F13" s="206"/>
      <c r="G13" s="524" t="s">
        <v>715</v>
      </c>
      <c r="H13" s="206"/>
      <c r="I13" s="206"/>
      <c r="J13" s="206"/>
      <c r="K13" s="77"/>
    </row>
    <row r="14" ht="15.75" customHeight="1">
      <c r="A14" s="206"/>
      <c r="B14" s="249"/>
      <c r="C14" s="249"/>
      <c r="D14" s="249"/>
      <c r="E14" s="249"/>
      <c r="F14" s="206"/>
      <c r="G14" s="227" t="s">
        <v>717</v>
      </c>
      <c r="H14" s="206"/>
      <c r="I14" s="206"/>
      <c r="J14" s="206"/>
      <c r="K14" s="77"/>
    </row>
    <row r="15" ht="15.75" customHeight="1">
      <c r="A15" s="206"/>
      <c r="B15" s="249"/>
      <c r="C15" s="249"/>
      <c r="D15" s="249"/>
      <c r="E15" s="249"/>
      <c r="F15" s="206"/>
      <c r="G15" s="206"/>
      <c r="H15" s="206"/>
      <c r="I15" s="206"/>
      <c r="J15" s="206"/>
      <c r="K15" s="77"/>
    </row>
    <row r="16" ht="15.75" customHeight="1">
      <c r="A16" s="511" t="s">
        <v>719</v>
      </c>
      <c r="B16" s="515"/>
      <c r="C16" s="515"/>
      <c r="D16" s="515"/>
      <c r="E16" s="531"/>
      <c r="F16" s="206"/>
      <c r="G16" s="206"/>
      <c r="H16" s="206"/>
      <c r="I16" s="206"/>
      <c r="J16" s="206"/>
      <c r="K16" s="77"/>
    </row>
    <row r="17" ht="15.75" customHeight="1">
      <c r="A17" s="267"/>
      <c r="B17" s="521" t="s">
        <v>687</v>
      </c>
      <c r="C17" s="521" t="s">
        <v>678</v>
      </c>
      <c r="D17" s="521" t="s">
        <v>697</v>
      </c>
      <c r="E17" s="523" t="s">
        <v>698</v>
      </c>
      <c r="F17" s="206"/>
      <c r="G17" s="227" t="s">
        <v>722</v>
      </c>
      <c r="H17" s="206"/>
      <c r="I17" s="206"/>
      <c r="J17" s="206"/>
      <c r="K17" s="77"/>
    </row>
    <row r="18" ht="15.75" customHeight="1">
      <c r="A18" s="227" t="s">
        <v>724</v>
      </c>
      <c r="B18" s="280">
        <f>'Input sheet'!I28</f>
        <v>0.605921150404021</v>
      </c>
      <c r="C18" s="280">
        <f>'Valuation output'!C40</f>
        <v>0.8</v>
      </c>
      <c r="D18" s="280">
        <f>'Valuation output'!G40</f>
        <v>0.8</v>
      </c>
      <c r="E18" s="280">
        <f>'Valuation output'!L40</f>
        <v>1.06978985539705</v>
      </c>
      <c r="F18" s="206"/>
      <c r="G18" s="227" t="s">
        <v>725</v>
      </c>
      <c r="H18" s="206"/>
      <c r="I18" s="206"/>
      <c r="J18" s="206"/>
      <c r="K18" s="77"/>
    </row>
    <row r="19" ht="15.75" customHeight="1">
      <c r="A19" s="267"/>
      <c r="B19" s="249"/>
      <c r="C19" s="249"/>
      <c r="D19" s="249"/>
      <c r="E19" s="535"/>
      <c r="F19" s="206"/>
      <c r="G19" s="227" t="s">
        <v>728</v>
      </c>
      <c r="H19" s="206"/>
      <c r="I19" s="206"/>
      <c r="J19" s="206"/>
      <c r="K19" s="77"/>
    </row>
    <row r="20" ht="15.75" customHeight="1">
      <c r="A20" s="256" t="s">
        <v>729</v>
      </c>
      <c r="B20" s="249"/>
      <c r="C20" s="249"/>
      <c r="D20" s="249"/>
      <c r="E20" s="535"/>
      <c r="F20" s="206"/>
      <c r="G20" s="206"/>
      <c r="H20" s="206"/>
      <c r="I20" s="206"/>
      <c r="J20" s="206"/>
      <c r="K20" s="77"/>
    </row>
    <row r="21" ht="15.75" customHeight="1">
      <c r="A21" s="267"/>
      <c r="B21" s="225" t="s">
        <v>731</v>
      </c>
      <c r="C21" s="225" t="s">
        <v>732</v>
      </c>
      <c r="D21" s="249"/>
      <c r="E21" s="535"/>
      <c r="F21" s="206"/>
      <c r="G21" s="206"/>
      <c r="H21" s="206"/>
      <c r="I21" s="206"/>
      <c r="J21" s="206"/>
      <c r="K21" s="77"/>
    </row>
    <row r="22" ht="15.75" customHeight="1">
      <c r="A22" s="267" t="s">
        <v>733</v>
      </c>
      <c r="B22" s="568">
        <f>'Valuation output'!C9*'Valuation output'!C15+'Valuation output'!D9*'Valuation output'!D15+'Valuation output'!E9*'Valuation output'!E15+'Valuation output'!F9*'Valuation output'!F15+'Valuation output'!G9*'Valuation output'!G15+'Valuation output'!H9*'Valuation output'!H15+'Valuation output'!I9*'Valuation output'!I15+'Valuation output'!J9*'Valuation output'!J15+'Valuation output'!K9*'Valuation output'!K15+'Valuation output'!L9*'Valuation output'!L15</f>
        <v>116747.119354417</v>
      </c>
      <c r="C22" s="548">
        <f>B22/B22</f>
        <v>1.0</v>
      </c>
      <c r="D22" s="249"/>
      <c r="E22" s="535"/>
      <c r="F22" s="206"/>
      <c r="G22" s="227" t="s">
        <v>738</v>
      </c>
      <c r="H22" s="206"/>
      <c r="I22" s="206"/>
      <c r="J22" s="206"/>
      <c r="K22" s="77"/>
    </row>
    <row r="23" ht="15.75" customHeight="1">
      <c r="A23" s="227" t="s">
        <v>740</v>
      </c>
      <c r="B23" s="518">
        <f>B22-B24</f>
        <v>14071.8261556306</v>
      </c>
      <c r="C23" s="269">
        <f>B23/B22</f>
        <v>0.120532534193942</v>
      </c>
      <c r="D23" s="249"/>
      <c r="E23" s="535"/>
      <c r="F23" s="206"/>
      <c r="G23" s="227" t="s">
        <v>741</v>
      </c>
      <c r="H23" s="206"/>
      <c r="I23" s="206"/>
      <c r="J23" s="206"/>
      <c r="K23" s="77"/>
    </row>
    <row r="24" ht="15.75" customHeight="1">
      <c r="A24" s="267" t="s">
        <v>743</v>
      </c>
      <c r="B24" s="570">
        <f>'Valuation output'!B22</f>
        <v>102675.293198787</v>
      </c>
      <c r="C24" s="571">
        <f>C22-C23</f>
        <v>0.879467465806058</v>
      </c>
      <c r="D24" s="249"/>
      <c r="E24" s="535"/>
      <c r="F24" s="206"/>
      <c r="G24" s="206"/>
      <c r="H24" s="206"/>
      <c r="I24" s="206"/>
      <c r="J24" s="206"/>
      <c r="K24" s="77"/>
    </row>
    <row r="25" ht="15.75" customHeight="1">
      <c r="A25" s="267"/>
      <c r="B25" s="249"/>
      <c r="C25" s="249"/>
      <c r="D25" s="249"/>
      <c r="E25" s="535"/>
      <c r="F25" s="206"/>
      <c r="G25" s="206"/>
      <c r="H25" s="206"/>
      <c r="I25" s="206"/>
      <c r="J25" s="206"/>
      <c r="K25" s="77"/>
    </row>
    <row r="26" ht="15.75" customHeight="1">
      <c r="A26" s="256" t="s">
        <v>744</v>
      </c>
      <c r="B26" s="249"/>
      <c r="C26" s="249"/>
      <c r="D26" s="249"/>
      <c r="E26" s="535"/>
      <c r="F26" s="206"/>
      <c r="G26" s="206"/>
      <c r="H26" s="206"/>
      <c r="I26" s="206"/>
      <c r="J26" s="206"/>
      <c r="K26" s="77"/>
    </row>
    <row r="27" ht="15.75" customHeight="1">
      <c r="A27" s="267"/>
      <c r="B27" s="521" t="s">
        <v>745</v>
      </c>
      <c r="C27" s="521" t="s">
        <v>746</v>
      </c>
      <c r="D27" s="521" t="s">
        <v>747</v>
      </c>
      <c r="E27" s="523" t="s">
        <v>748</v>
      </c>
      <c r="F27" s="206"/>
      <c r="G27" s="206"/>
      <c r="H27" s="206"/>
      <c r="I27" s="206"/>
      <c r="J27" s="206"/>
      <c r="K27" s="77"/>
    </row>
    <row r="28" ht="15.75" customHeight="1">
      <c r="A28" s="227" t="s">
        <v>714</v>
      </c>
      <c r="B28" s="269">
        <f>'Valuation output'!B42</f>
        <v>0.239788971742931</v>
      </c>
      <c r="C28" s="573"/>
      <c r="D28" s="269">
        <f>'Valuation output'!L42</f>
        <v>0.229572883894473</v>
      </c>
      <c r="E28" s="269">
        <f>'Valuation output'!M42</f>
        <v>0.0919</v>
      </c>
      <c r="F28" s="206"/>
      <c r="G28" s="206"/>
      <c r="H28" s="206"/>
      <c r="I28" s="206"/>
      <c r="J28" s="206"/>
      <c r="K28" s="77"/>
    </row>
    <row r="29" ht="15.75" customHeight="1">
      <c r="A29" s="206"/>
      <c r="B29" s="249"/>
      <c r="C29" s="249"/>
      <c r="D29" s="249"/>
      <c r="E29" s="249"/>
      <c r="F29" s="206"/>
      <c r="G29" s="206"/>
      <c r="H29" s="206"/>
      <c r="I29" s="206"/>
      <c r="J29" s="206"/>
      <c r="K29" s="77"/>
    </row>
    <row r="30" ht="15.75" customHeight="1">
      <c r="A30" s="511" t="s">
        <v>749</v>
      </c>
      <c r="B30" s="515"/>
      <c r="C30" s="515"/>
      <c r="D30" s="515"/>
      <c r="E30" s="531"/>
      <c r="F30" s="206"/>
      <c r="G30" s="206"/>
      <c r="H30" s="206"/>
      <c r="I30" s="206"/>
      <c r="J30" s="206"/>
      <c r="K30" s="77"/>
    </row>
    <row r="31" ht="15.75" customHeight="1">
      <c r="A31" s="267"/>
      <c r="B31" s="521" t="s">
        <v>686</v>
      </c>
      <c r="C31" s="521" t="s">
        <v>750</v>
      </c>
      <c r="D31" s="521" t="s">
        <v>751</v>
      </c>
      <c r="E31" s="523" t="s">
        <v>752</v>
      </c>
      <c r="F31" s="206"/>
      <c r="G31" s="227" t="s">
        <v>753</v>
      </c>
      <c r="H31" s="206"/>
      <c r="I31" s="206"/>
      <c r="J31" s="206"/>
      <c r="K31" s="77"/>
    </row>
    <row r="32" ht="15.75" customHeight="1">
      <c r="A32" s="227" t="s">
        <v>320</v>
      </c>
      <c r="B32" s="269">
        <f>'Input sheet'!J32</f>
        <v>0.0784875116646026</v>
      </c>
      <c r="C32" s="269">
        <f>(1/'Valuation output'!L15)^(1/10)-1</f>
        <v>0.0978603879893509</v>
      </c>
      <c r="D32" s="269">
        <f>'Valuation output'!C14</f>
        <v>0.100420989928469</v>
      </c>
      <c r="E32" s="269">
        <f>'Valuation output'!M14</f>
        <v>0.0919</v>
      </c>
      <c r="F32" s="206"/>
      <c r="G32" s="227" t="s">
        <v>754</v>
      </c>
      <c r="H32" s="206"/>
      <c r="I32" s="206"/>
      <c r="J32" s="206"/>
      <c r="K32" s="77"/>
    </row>
    <row r="33" ht="15.75" customHeight="1">
      <c r="A33" s="267"/>
      <c r="B33" s="249"/>
      <c r="C33" s="249"/>
      <c r="D33" s="249"/>
      <c r="E33" s="535"/>
      <c r="F33" s="206"/>
      <c r="G33" s="227" t="s">
        <v>755</v>
      </c>
      <c r="H33" s="206"/>
      <c r="I33" s="206"/>
      <c r="J33" s="206"/>
      <c r="K33" s="77"/>
    </row>
    <row r="34" ht="15.75" customHeight="1">
      <c r="A34" s="227" t="s">
        <v>756</v>
      </c>
      <c r="B34" s="269">
        <f>'Valuation output'!B24</f>
        <v>0.0</v>
      </c>
      <c r="C34" s="577"/>
      <c r="D34" s="577"/>
      <c r="E34" s="578"/>
      <c r="F34" s="206"/>
      <c r="G34" s="206"/>
      <c r="H34" s="206"/>
      <c r="I34" s="206"/>
      <c r="J34" s="206"/>
      <c r="K34" s="77"/>
    </row>
    <row r="35" ht="15.75" customHeight="1">
      <c r="A35" s="206"/>
      <c r="B35" s="249"/>
      <c r="C35" s="249"/>
      <c r="D35" s="249"/>
      <c r="E35" s="249"/>
      <c r="F35" s="206"/>
      <c r="G35" s="206"/>
      <c r="H35" s="206"/>
      <c r="I35" s="206"/>
      <c r="J35" s="206"/>
      <c r="K35" s="77"/>
    </row>
    <row r="36" ht="15.75" customHeight="1">
      <c r="A36" s="511" t="s">
        <v>757</v>
      </c>
      <c r="B36" s="515"/>
      <c r="C36" s="515"/>
      <c r="D36" s="515"/>
      <c r="E36" s="531"/>
      <c r="F36" s="206"/>
      <c r="G36" s="206"/>
      <c r="H36" s="206"/>
      <c r="I36" s="206"/>
      <c r="J36" s="206"/>
      <c r="K36" s="77"/>
    </row>
    <row r="37" ht="15.75" customHeight="1">
      <c r="A37" s="579" t="s">
        <v>758</v>
      </c>
      <c r="B37" s="580">
        <f>'Valuation output'!B35/'Valuation output'!B36</f>
        <v>1.11905777721685</v>
      </c>
      <c r="C37" s="581"/>
      <c r="D37" s="581"/>
      <c r="E37" s="537"/>
      <c r="F37" s="534"/>
      <c r="G37" s="534"/>
      <c r="H37" s="534"/>
      <c r="I37" s="534"/>
      <c r="J37" s="534"/>
      <c r="K37" s="77"/>
    </row>
    <row r="38" ht="15.75" customHeight="1">
      <c r="A38" s="583"/>
      <c r="B38" s="587" t="str">
        <f>IF(B37="NA","Value is negative. See below",IF(B37&gt;2,"Value seems high. See below",IF(B37&lt;0.5,"Value seems low. See below"," ")))</f>
        <v> </v>
      </c>
      <c r="C38" s="219"/>
      <c r="D38" s="581"/>
      <c r="E38" s="537"/>
      <c r="F38" s="534"/>
      <c r="G38" s="534"/>
      <c r="H38" s="534"/>
      <c r="I38" s="534"/>
      <c r="J38" s="534"/>
      <c r="K38" s="77"/>
    </row>
    <row r="39" ht="15.75" customHeight="1">
      <c r="A39" s="588" t="s">
        <v>759</v>
      </c>
      <c r="B39" s="591" t="s">
        <v>760</v>
      </c>
      <c r="C39" s="592" t="s">
        <v>762</v>
      </c>
      <c r="D39" s="581"/>
      <c r="E39" s="537"/>
      <c r="F39" s="534"/>
      <c r="G39" s="534"/>
      <c r="H39" s="534"/>
      <c r="I39" s="534"/>
      <c r="J39" s="534"/>
      <c r="K39" s="77"/>
    </row>
    <row r="40" ht="34.5" customHeight="1">
      <c r="A40" s="593" t="s">
        <v>763</v>
      </c>
      <c r="B40" s="594" t="s">
        <v>764</v>
      </c>
      <c r="C40" s="595" t="s">
        <v>765</v>
      </c>
      <c r="D40" s="581"/>
      <c r="E40" s="537"/>
      <c r="F40" s="534"/>
      <c r="G40" s="534"/>
      <c r="H40" s="534"/>
      <c r="I40" s="534"/>
      <c r="J40" s="534"/>
      <c r="K40" s="77"/>
    </row>
    <row r="41" ht="15.75" customHeight="1">
      <c r="A41" s="593" t="s">
        <v>766</v>
      </c>
      <c r="B41" s="594" t="s">
        <v>767</v>
      </c>
      <c r="C41" s="595" t="s">
        <v>768</v>
      </c>
      <c r="D41" s="581"/>
      <c r="E41" s="537"/>
      <c r="F41" s="534"/>
      <c r="G41" s="534"/>
      <c r="H41" s="534"/>
      <c r="I41" s="534"/>
      <c r="J41" s="534"/>
      <c r="K41" s="77"/>
    </row>
    <row r="42" ht="33.75" customHeight="1">
      <c r="A42" s="601" t="s">
        <v>769</v>
      </c>
      <c r="B42" s="594" t="s">
        <v>770</v>
      </c>
      <c r="C42" s="595" t="s">
        <v>771</v>
      </c>
      <c r="D42" s="581"/>
      <c r="E42" s="537"/>
      <c r="F42" s="534"/>
      <c r="G42" s="534"/>
      <c r="H42" s="534"/>
      <c r="I42" s="534"/>
      <c r="J42" s="534"/>
      <c r="K42" s="77"/>
    </row>
    <row r="43" ht="48.0" customHeight="1">
      <c r="A43" s="604" t="s">
        <v>772</v>
      </c>
      <c r="B43" s="594" t="s">
        <v>773</v>
      </c>
      <c r="C43" s="595" t="s">
        <v>774</v>
      </c>
      <c r="D43" s="609" t="s">
        <v>775</v>
      </c>
      <c r="E43" s="610"/>
      <c r="F43" s="206"/>
      <c r="G43" s="534"/>
      <c r="H43" s="534"/>
      <c r="I43" s="534"/>
      <c r="J43" s="534"/>
      <c r="K43" s="77"/>
    </row>
    <row r="44" ht="15.75" customHeight="1">
      <c r="A44" s="206"/>
      <c r="B44" s="249"/>
      <c r="C44" s="249"/>
      <c r="D44" s="249"/>
      <c r="E44" s="249"/>
      <c r="F44" s="206"/>
      <c r="G44" s="206"/>
      <c r="H44" s="206"/>
      <c r="I44" s="206"/>
      <c r="J44" s="206"/>
      <c r="K44" s="77"/>
    </row>
    <row r="45" ht="15.75" customHeight="1">
      <c r="A45" s="206"/>
      <c r="B45" s="249"/>
      <c r="C45" s="249"/>
      <c r="D45" s="249"/>
      <c r="E45" s="249"/>
      <c r="F45" s="206"/>
      <c r="G45" s="206"/>
      <c r="H45" s="206"/>
      <c r="I45" s="206"/>
      <c r="J45" s="206"/>
      <c r="K45" s="77"/>
    </row>
    <row r="46" ht="15.75" customHeight="1">
      <c r="A46" s="206"/>
      <c r="B46" s="249"/>
      <c r="C46" s="249"/>
      <c r="D46" s="249"/>
      <c r="E46" s="249"/>
      <c r="F46" s="206"/>
      <c r="G46" s="206"/>
      <c r="H46" s="206"/>
      <c r="I46" s="206"/>
      <c r="J46" s="206"/>
      <c r="K46" s="77"/>
    </row>
    <row r="47" ht="15.75" customHeight="1">
      <c r="A47" s="206"/>
      <c r="B47" s="249"/>
      <c r="C47" s="249"/>
      <c r="D47" s="249"/>
      <c r="E47" s="249"/>
      <c r="F47" s="206"/>
      <c r="G47" s="206"/>
      <c r="H47" s="206"/>
      <c r="I47" s="206"/>
      <c r="J47" s="206"/>
      <c r="K47" s="77"/>
    </row>
    <row r="48" ht="15.75" customHeight="1">
      <c r="A48" s="206"/>
      <c r="B48" s="249"/>
      <c r="C48" s="249"/>
      <c r="D48" s="249"/>
      <c r="E48" s="249"/>
      <c r="F48" s="206"/>
      <c r="G48" s="206"/>
      <c r="H48" s="206"/>
      <c r="I48" s="206"/>
      <c r="J48" s="206"/>
      <c r="K48" s="77"/>
    </row>
    <row r="49" ht="15.75" customHeight="1">
      <c r="A49" s="206"/>
      <c r="B49" s="249"/>
      <c r="C49" s="249"/>
      <c r="D49" s="249"/>
      <c r="E49" s="249"/>
      <c r="F49" s="206"/>
      <c r="G49" s="206"/>
      <c r="H49" s="206"/>
      <c r="I49" s="206"/>
      <c r="J49" s="206"/>
      <c r="K49" s="77"/>
    </row>
    <row r="50" ht="15.75" customHeight="1">
      <c r="A50" s="206"/>
      <c r="B50" s="249"/>
      <c r="C50" s="249"/>
      <c r="D50" s="249"/>
      <c r="E50" s="249"/>
      <c r="F50" s="206"/>
      <c r="G50" s="206"/>
      <c r="H50" s="206"/>
      <c r="I50" s="206"/>
      <c r="J50" s="206"/>
      <c r="K50" s="77"/>
    </row>
    <row r="51" ht="15.75" customHeight="1">
      <c r="A51" s="206"/>
      <c r="B51" s="249"/>
      <c r="C51" s="249"/>
      <c r="D51" s="249"/>
      <c r="E51" s="249"/>
      <c r="F51" s="206"/>
      <c r="G51" s="206"/>
      <c r="H51" s="206"/>
      <c r="I51" s="206"/>
      <c r="J51" s="206"/>
      <c r="K51" s="77"/>
    </row>
    <row r="52" ht="15.75" customHeight="1">
      <c r="A52" s="206"/>
      <c r="B52" s="249"/>
      <c r="C52" s="249"/>
      <c r="D52" s="249"/>
      <c r="E52" s="249"/>
      <c r="F52" s="206"/>
      <c r="G52" s="206"/>
      <c r="H52" s="206"/>
      <c r="I52" s="206"/>
      <c r="J52" s="206"/>
      <c r="K52" s="77"/>
    </row>
    <row r="53" ht="15.75" customHeight="1">
      <c r="A53" s="206"/>
      <c r="B53" s="249"/>
      <c r="C53" s="249"/>
      <c r="D53" s="249"/>
      <c r="E53" s="249"/>
      <c r="F53" s="206"/>
      <c r="G53" s="206"/>
      <c r="H53" s="206"/>
      <c r="I53" s="206"/>
      <c r="J53" s="206"/>
      <c r="K53" s="77"/>
    </row>
    <row r="54" ht="15.75" customHeight="1">
      <c r="A54" s="206"/>
      <c r="B54" s="249"/>
      <c r="C54" s="249"/>
      <c r="D54" s="249"/>
      <c r="E54" s="249"/>
      <c r="F54" s="206"/>
      <c r="G54" s="206"/>
      <c r="H54" s="206"/>
      <c r="I54" s="206"/>
      <c r="J54" s="206"/>
      <c r="K54" s="77"/>
    </row>
    <row r="55" ht="15.75" customHeight="1">
      <c r="A55" s="206"/>
      <c r="B55" s="249"/>
      <c r="C55" s="249"/>
      <c r="D55" s="249"/>
      <c r="E55" s="249"/>
      <c r="F55" s="206"/>
      <c r="G55" s="206"/>
      <c r="H55" s="206"/>
      <c r="I55" s="206"/>
      <c r="J55" s="206"/>
      <c r="K55" s="77"/>
    </row>
    <row r="56" ht="15.75" customHeight="1">
      <c r="A56" s="206"/>
      <c r="B56" s="249"/>
      <c r="C56" s="249"/>
      <c r="D56" s="249"/>
      <c r="E56" s="249"/>
      <c r="F56" s="206"/>
      <c r="G56" s="206"/>
      <c r="H56" s="206"/>
      <c r="I56" s="206"/>
      <c r="J56" s="206"/>
      <c r="K56" s="77"/>
    </row>
    <row r="57" ht="15.75" customHeight="1">
      <c r="A57" s="206"/>
      <c r="B57" s="249"/>
      <c r="C57" s="249"/>
      <c r="D57" s="249"/>
      <c r="E57" s="249"/>
      <c r="F57" s="206"/>
      <c r="G57" s="206"/>
      <c r="H57" s="206"/>
      <c r="I57" s="206"/>
      <c r="J57" s="206"/>
      <c r="K57" s="77"/>
    </row>
    <row r="58" ht="15.75" customHeight="1">
      <c r="A58" s="206"/>
      <c r="B58" s="249"/>
      <c r="C58" s="249"/>
      <c r="D58" s="249"/>
      <c r="E58" s="249"/>
      <c r="F58" s="206"/>
      <c r="G58" s="206"/>
      <c r="H58" s="206"/>
      <c r="I58" s="206"/>
      <c r="J58" s="206"/>
      <c r="K58" s="77"/>
    </row>
    <row r="59" ht="15.75" customHeight="1">
      <c r="A59" s="77"/>
      <c r="B59" s="77"/>
      <c r="C59" s="77"/>
      <c r="D59" s="77"/>
      <c r="E59" s="77"/>
      <c r="F59" s="77"/>
      <c r="G59" s="77"/>
      <c r="H59" s="77"/>
      <c r="I59" s="77"/>
      <c r="J59" s="77"/>
      <c r="K59" s="77"/>
    </row>
    <row r="60" ht="15.75" customHeight="1">
      <c r="A60" s="77"/>
      <c r="B60" s="77"/>
      <c r="C60" s="77"/>
      <c r="D60" s="77"/>
      <c r="E60" s="77"/>
      <c r="F60" s="77"/>
      <c r="G60" s="77"/>
      <c r="H60" s="77"/>
      <c r="I60" s="77"/>
      <c r="J60" s="77"/>
      <c r="K60" s="77"/>
    </row>
    <row r="61" ht="15.75" customHeight="1">
      <c r="A61" s="77"/>
      <c r="B61" s="77"/>
      <c r="C61" s="77"/>
      <c r="D61" s="77"/>
      <c r="E61" s="77"/>
      <c r="F61" s="77"/>
      <c r="G61" s="77"/>
      <c r="H61" s="77"/>
      <c r="I61" s="77"/>
      <c r="J61" s="77"/>
      <c r="K61" s="77"/>
    </row>
    <row r="62" ht="15.75" customHeight="1">
      <c r="A62" s="77"/>
      <c r="B62" s="77"/>
      <c r="C62" s="77"/>
      <c r="D62" s="77"/>
      <c r="E62" s="77"/>
      <c r="F62" s="77"/>
      <c r="G62" s="77"/>
      <c r="H62" s="77"/>
      <c r="I62" s="77"/>
      <c r="J62" s="77"/>
      <c r="K62" s="77"/>
    </row>
    <row r="63" ht="15.75" customHeight="1">
      <c r="A63" s="77"/>
      <c r="B63" s="77"/>
      <c r="C63" s="77"/>
      <c r="D63" s="77"/>
      <c r="E63" s="77"/>
      <c r="F63" s="77"/>
      <c r="G63" s="77"/>
      <c r="H63" s="77"/>
      <c r="I63" s="77"/>
      <c r="J63" s="77"/>
      <c r="K63" s="77"/>
    </row>
    <row r="64" ht="15.75" customHeight="1">
      <c r="A64" s="77"/>
      <c r="B64" s="77"/>
      <c r="C64" s="77"/>
      <c r="D64" s="77"/>
      <c r="E64" s="77"/>
      <c r="F64" s="77"/>
      <c r="G64" s="77"/>
      <c r="H64" s="77"/>
      <c r="I64" s="77"/>
      <c r="J64" s="77"/>
      <c r="K64" s="77"/>
    </row>
    <row r="65" ht="15.75" customHeight="1">
      <c r="A65" s="77"/>
      <c r="B65" s="77"/>
      <c r="C65" s="77"/>
      <c r="D65" s="77"/>
      <c r="E65" s="77"/>
      <c r="F65" s="77"/>
      <c r="G65" s="77"/>
      <c r="H65" s="77"/>
      <c r="I65" s="77"/>
      <c r="J65" s="77"/>
      <c r="K65" s="77"/>
    </row>
    <row r="66" ht="15.75" customHeight="1">
      <c r="A66" s="77"/>
      <c r="B66" s="77"/>
      <c r="C66" s="77"/>
      <c r="D66" s="77"/>
      <c r="E66" s="77"/>
      <c r="F66" s="77"/>
      <c r="G66" s="77"/>
      <c r="H66" s="77"/>
      <c r="I66" s="77"/>
      <c r="J66" s="77"/>
      <c r="K66" s="77"/>
    </row>
    <row r="67" ht="15.75" customHeight="1">
      <c r="A67" s="77"/>
      <c r="B67" s="77"/>
      <c r="C67" s="77"/>
      <c r="D67" s="77"/>
      <c r="E67" s="77"/>
      <c r="F67" s="77"/>
      <c r="G67" s="77"/>
      <c r="H67" s="77"/>
      <c r="I67" s="77"/>
      <c r="J67" s="77"/>
      <c r="K67" s="77"/>
    </row>
    <row r="68" ht="15.75" customHeight="1">
      <c r="A68" s="77"/>
      <c r="B68" s="77"/>
      <c r="C68" s="77"/>
      <c r="D68" s="77"/>
      <c r="E68" s="77"/>
      <c r="F68" s="77"/>
      <c r="G68" s="77"/>
      <c r="H68" s="77"/>
      <c r="I68" s="77"/>
      <c r="J68" s="77"/>
      <c r="K68" s="77"/>
    </row>
    <row r="69" ht="15.75" customHeight="1">
      <c r="A69" s="77"/>
      <c r="B69" s="77"/>
      <c r="C69" s="77"/>
      <c r="D69" s="77"/>
      <c r="E69" s="77"/>
      <c r="F69" s="77"/>
      <c r="G69" s="77"/>
      <c r="H69" s="77"/>
      <c r="I69" s="77"/>
      <c r="J69" s="77"/>
      <c r="K69" s="77"/>
    </row>
    <row r="70" ht="15.75" customHeight="1">
      <c r="A70" s="77"/>
      <c r="B70" s="77"/>
      <c r="C70" s="77"/>
      <c r="D70" s="77"/>
      <c r="E70" s="77"/>
      <c r="F70" s="77"/>
      <c r="G70" s="77"/>
      <c r="H70" s="77"/>
      <c r="I70" s="77"/>
      <c r="J70" s="77"/>
      <c r="K70" s="77"/>
    </row>
    <row r="71" ht="15.75" customHeight="1">
      <c r="A71" s="77"/>
      <c r="B71" s="77"/>
      <c r="C71" s="77"/>
      <c r="D71" s="77"/>
      <c r="E71" s="77"/>
      <c r="F71" s="77"/>
      <c r="G71" s="77"/>
      <c r="H71" s="77"/>
      <c r="I71" s="77"/>
      <c r="J71" s="77"/>
      <c r="K71" s="77"/>
    </row>
    <row r="72" ht="15.75" customHeight="1">
      <c r="A72" s="77"/>
      <c r="B72" s="77"/>
      <c r="C72" s="77"/>
      <c r="D72" s="77"/>
      <c r="E72" s="77"/>
      <c r="F72" s="77"/>
      <c r="G72" s="77"/>
      <c r="H72" s="77"/>
      <c r="I72" s="77"/>
      <c r="J72" s="77"/>
      <c r="K72" s="77"/>
    </row>
    <row r="73" ht="15.75" customHeight="1">
      <c r="A73" s="77"/>
      <c r="B73" s="77"/>
      <c r="C73" s="77"/>
      <c r="D73" s="77"/>
      <c r="E73" s="77"/>
      <c r="F73" s="77"/>
      <c r="G73" s="77"/>
      <c r="H73" s="77"/>
      <c r="I73" s="77"/>
      <c r="J73" s="77"/>
      <c r="K73" s="77"/>
    </row>
    <row r="74" ht="15.75" customHeight="1">
      <c r="A74" s="77"/>
      <c r="B74" s="77"/>
      <c r="C74" s="77"/>
      <c r="D74" s="77"/>
      <c r="E74" s="77"/>
      <c r="F74" s="77"/>
      <c r="G74" s="77"/>
      <c r="H74" s="77"/>
      <c r="I74" s="77"/>
      <c r="J74" s="77"/>
      <c r="K74" s="77"/>
    </row>
    <row r="75" ht="15.75" customHeight="1">
      <c r="A75" s="77"/>
      <c r="B75" s="77"/>
      <c r="C75" s="77"/>
      <c r="D75" s="77"/>
      <c r="E75" s="77"/>
      <c r="F75" s="77"/>
      <c r="G75" s="77"/>
      <c r="H75" s="77"/>
      <c r="I75" s="77"/>
      <c r="J75" s="77"/>
      <c r="K75" s="77"/>
    </row>
    <row r="76" ht="15.75" customHeight="1">
      <c r="A76" s="77"/>
      <c r="B76" s="77"/>
      <c r="C76" s="77"/>
      <c r="D76" s="77"/>
      <c r="E76" s="77"/>
      <c r="F76" s="77"/>
      <c r="G76" s="77"/>
      <c r="H76" s="77"/>
      <c r="I76" s="77"/>
      <c r="J76" s="77"/>
      <c r="K76" s="77"/>
    </row>
    <row r="77" ht="15.75" customHeight="1">
      <c r="A77" s="77"/>
      <c r="B77" s="77"/>
      <c r="C77" s="77"/>
      <c r="D77" s="77"/>
      <c r="E77" s="77"/>
      <c r="F77" s="77"/>
      <c r="G77" s="77"/>
      <c r="H77" s="77"/>
      <c r="I77" s="77"/>
      <c r="J77" s="77"/>
      <c r="K77" s="77"/>
    </row>
    <row r="78" ht="15.75" customHeight="1">
      <c r="A78" s="77"/>
      <c r="B78" s="77"/>
      <c r="C78" s="77"/>
      <c r="D78" s="77"/>
      <c r="E78" s="77"/>
      <c r="F78" s="77"/>
      <c r="G78" s="77"/>
      <c r="H78" s="77"/>
      <c r="I78" s="77"/>
      <c r="J78" s="77"/>
      <c r="K78" s="77"/>
    </row>
    <row r="79" ht="15.75" customHeight="1">
      <c r="A79" s="77"/>
      <c r="B79" s="77"/>
      <c r="C79" s="77"/>
      <c r="D79" s="77"/>
      <c r="E79" s="77"/>
      <c r="F79" s="77"/>
      <c r="G79" s="77"/>
      <c r="H79" s="77"/>
      <c r="I79" s="77"/>
      <c r="J79" s="77"/>
      <c r="K79" s="77"/>
    </row>
    <row r="80" ht="15.75" customHeight="1">
      <c r="A80" s="77"/>
      <c r="B80" s="77"/>
      <c r="C80" s="77"/>
      <c r="D80" s="77"/>
      <c r="E80" s="77"/>
      <c r="F80" s="77"/>
      <c r="G80" s="77"/>
      <c r="H80" s="77"/>
      <c r="I80" s="77"/>
      <c r="J80" s="77"/>
      <c r="K80" s="77"/>
    </row>
    <row r="81" ht="15.75" customHeight="1">
      <c r="A81" s="77"/>
      <c r="B81" s="77"/>
      <c r="C81" s="77"/>
      <c r="D81" s="77"/>
      <c r="E81" s="77"/>
      <c r="F81" s="77"/>
      <c r="G81" s="77"/>
      <c r="H81" s="77"/>
      <c r="I81" s="77"/>
      <c r="J81" s="77"/>
      <c r="K81" s="77"/>
    </row>
    <row r="82" ht="15.75" customHeight="1">
      <c r="A82" s="77"/>
      <c r="B82" s="77"/>
      <c r="C82" s="77"/>
      <c r="D82" s="77"/>
      <c r="E82" s="77"/>
      <c r="F82" s="77"/>
      <c r="G82" s="77"/>
      <c r="H82" s="77"/>
      <c r="I82" s="77"/>
      <c r="J82" s="77"/>
      <c r="K82" s="77"/>
    </row>
    <row r="83" ht="15.75" customHeight="1">
      <c r="A83" s="77"/>
      <c r="B83" s="77"/>
      <c r="C83" s="77"/>
      <c r="D83" s="77"/>
      <c r="E83" s="77"/>
      <c r="F83" s="77"/>
      <c r="G83" s="77"/>
      <c r="H83" s="77"/>
      <c r="I83" s="77"/>
      <c r="J83" s="77"/>
      <c r="K83" s="77"/>
    </row>
    <row r="84" ht="15.75" customHeight="1">
      <c r="A84" s="77"/>
      <c r="B84" s="77"/>
      <c r="C84" s="77"/>
      <c r="D84" s="77"/>
      <c r="E84" s="77"/>
      <c r="F84" s="77"/>
      <c r="G84" s="77"/>
      <c r="H84" s="77"/>
      <c r="I84" s="77"/>
      <c r="J84" s="77"/>
      <c r="K84" s="77"/>
    </row>
    <row r="85" ht="15.75" customHeight="1">
      <c r="A85" s="77"/>
      <c r="B85" s="77"/>
      <c r="C85" s="77"/>
      <c r="D85" s="77"/>
      <c r="E85" s="77"/>
      <c r="F85" s="77"/>
      <c r="G85" s="77"/>
      <c r="H85" s="77"/>
      <c r="I85" s="77"/>
      <c r="J85" s="77"/>
      <c r="K85" s="77"/>
    </row>
    <row r="86" ht="15.75" customHeight="1">
      <c r="A86" s="77"/>
      <c r="B86" s="77"/>
      <c r="C86" s="77"/>
      <c r="D86" s="77"/>
      <c r="E86" s="77"/>
      <c r="F86" s="77"/>
      <c r="G86" s="77"/>
      <c r="H86" s="77"/>
      <c r="I86" s="77"/>
      <c r="J86" s="77"/>
      <c r="K86" s="77"/>
    </row>
    <row r="87" ht="15.75" customHeight="1">
      <c r="A87" s="77"/>
      <c r="B87" s="77"/>
      <c r="C87" s="77"/>
      <c r="D87" s="77"/>
      <c r="E87" s="77"/>
      <c r="F87" s="77"/>
      <c r="G87" s="77"/>
      <c r="H87" s="77"/>
      <c r="I87" s="77"/>
      <c r="J87" s="77"/>
      <c r="K87" s="77"/>
    </row>
    <row r="88" ht="15.75" customHeight="1">
      <c r="A88" s="77"/>
      <c r="B88" s="77"/>
      <c r="C88" s="77"/>
      <c r="D88" s="77"/>
      <c r="E88" s="77"/>
      <c r="F88" s="77"/>
      <c r="G88" s="77"/>
      <c r="H88" s="77"/>
      <c r="I88" s="77"/>
      <c r="J88" s="77"/>
      <c r="K88" s="77"/>
    </row>
    <row r="89" ht="15.75" customHeight="1">
      <c r="A89" s="77"/>
      <c r="B89" s="77"/>
      <c r="C89" s="77"/>
      <c r="D89" s="77"/>
      <c r="E89" s="77"/>
      <c r="F89" s="77"/>
      <c r="G89" s="77"/>
      <c r="H89" s="77"/>
      <c r="I89" s="77"/>
      <c r="J89" s="77"/>
      <c r="K89" s="77"/>
    </row>
    <row r="90" ht="15.75" customHeight="1">
      <c r="A90" s="77"/>
      <c r="B90" s="77"/>
      <c r="C90" s="77"/>
      <c r="D90" s="77"/>
      <c r="E90" s="77"/>
      <c r="F90" s="77"/>
      <c r="G90" s="77"/>
      <c r="H90" s="77"/>
      <c r="I90" s="77"/>
      <c r="J90" s="77"/>
      <c r="K90" s="77"/>
    </row>
    <row r="91" ht="15.75" customHeight="1">
      <c r="A91" s="77"/>
      <c r="B91" s="77"/>
      <c r="C91" s="77"/>
      <c r="D91" s="77"/>
      <c r="E91" s="77"/>
      <c r="F91" s="77"/>
      <c r="G91" s="77"/>
      <c r="H91" s="77"/>
      <c r="I91" s="77"/>
      <c r="J91" s="77"/>
      <c r="K91" s="77"/>
    </row>
    <row r="92" ht="15.75" customHeight="1">
      <c r="A92" s="77"/>
      <c r="B92" s="77"/>
      <c r="C92" s="77"/>
      <c r="D92" s="77"/>
      <c r="E92" s="77"/>
      <c r="F92" s="77"/>
      <c r="G92" s="77"/>
      <c r="H92" s="77"/>
      <c r="I92" s="77"/>
      <c r="J92" s="77"/>
      <c r="K92" s="77"/>
    </row>
    <row r="93" ht="15.75" customHeight="1">
      <c r="A93" s="77"/>
      <c r="B93" s="77"/>
      <c r="C93" s="77"/>
      <c r="D93" s="77"/>
      <c r="E93" s="77"/>
      <c r="F93" s="77"/>
      <c r="G93" s="77"/>
      <c r="H93" s="77"/>
      <c r="I93" s="77"/>
      <c r="J93" s="77"/>
      <c r="K93" s="77"/>
    </row>
    <row r="94" ht="15.75" customHeight="1">
      <c r="A94" s="77"/>
      <c r="B94" s="77"/>
      <c r="C94" s="77"/>
      <c r="D94" s="77"/>
      <c r="E94" s="77"/>
      <c r="F94" s="77"/>
      <c r="G94" s="77"/>
      <c r="H94" s="77"/>
      <c r="I94" s="77"/>
      <c r="J94" s="77"/>
      <c r="K94" s="77"/>
    </row>
    <row r="95" ht="15.75" customHeight="1">
      <c r="A95" s="77"/>
      <c r="B95" s="77"/>
      <c r="C95" s="77"/>
      <c r="D95" s="77"/>
      <c r="E95" s="77"/>
      <c r="F95" s="77"/>
      <c r="G95" s="77"/>
      <c r="H95" s="77"/>
      <c r="I95" s="77"/>
      <c r="J95" s="77"/>
      <c r="K95" s="77"/>
    </row>
    <row r="96" ht="15.75" customHeight="1">
      <c r="A96" s="77"/>
      <c r="B96" s="77"/>
      <c r="C96" s="77"/>
      <c r="D96" s="77"/>
      <c r="E96" s="77"/>
      <c r="F96" s="77"/>
      <c r="G96" s="77"/>
      <c r="H96" s="77"/>
      <c r="I96" s="77"/>
      <c r="J96" s="77"/>
      <c r="K96" s="77"/>
    </row>
    <row r="97" ht="15.75" customHeight="1">
      <c r="A97" s="77"/>
      <c r="B97" s="77"/>
      <c r="C97" s="77"/>
      <c r="D97" s="77"/>
      <c r="E97" s="77"/>
      <c r="F97" s="77"/>
      <c r="G97" s="77"/>
      <c r="H97" s="77"/>
      <c r="I97" s="77"/>
      <c r="J97" s="77"/>
      <c r="K97" s="77"/>
    </row>
    <row r="98" ht="15.75" customHeight="1">
      <c r="A98" s="77"/>
      <c r="B98" s="77"/>
      <c r="C98" s="77"/>
      <c r="D98" s="77"/>
      <c r="E98" s="77"/>
      <c r="F98" s="77"/>
      <c r="G98" s="77"/>
      <c r="H98" s="77"/>
      <c r="I98" s="77"/>
      <c r="J98" s="77"/>
      <c r="K98" s="77"/>
    </row>
    <row r="99" ht="15.75" customHeight="1">
      <c r="A99" s="77"/>
      <c r="B99" s="77"/>
      <c r="C99" s="77"/>
      <c r="D99" s="77"/>
      <c r="E99" s="77"/>
      <c r="F99" s="77"/>
      <c r="G99" s="77"/>
      <c r="H99" s="77"/>
      <c r="I99" s="77"/>
      <c r="J99" s="77"/>
      <c r="K99" s="77"/>
    </row>
    <row r="100" ht="15.75" customHeight="1">
      <c r="A100" s="77"/>
      <c r="B100" s="77"/>
      <c r="C100" s="77"/>
      <c r="D100" s="77"/>
      <c r="E100" s="77"/>
      <c r="F100" s="77"/>
      <c r="G100" s="77"/>
      <c r="H100" s="77"/>
      <c r="I100" s="77"/>
      <c r="J100" s="77"/>
      <c r="K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E2"/>
    <mergeCell ref="B38:C38"/>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5"/>
    <col customWidth="1" min="2" max="2" width="21.88"/>
    <col customWidth="1" min="3" max="3" width="23.88"/>
    <col customWidth="1" min="4" max="4" width="19.38"/>
    <col customWidth="1" min="5" max="7" width="34.5"/>
    <col customWidth="1" min="8" max="26" width="11.25"/>
  </cols>
  <sheetData>
    <row r="1" ht="37.5" customHeight="1">
      <c r="A1" s="33" t="s">
        <v>72</v>
      </c>
      <c r="B1" s="35">
        <f>'Input sheet'!B1</f>
        <v>0.0</v>
      </c>
      <c r="C1" s="33" t="s">
        <v>57</v>
      </c>
      <c r="D1" s="37">
        <f>'Input sheet'!D1</f>
        <v>39.4</v>
      </c>
      <c r="E1" s="7"/>
      <c r="F1" s="7"/>
      <c r="G1" s="7"/>
    </row>
    <row r="2" ht="18.75" customHeight="1">
      <c r="A2" s="631" t="s">
        <v>786</v>
      </c>
      <c r="B2" s="27"/>
      <c r="C2" s="27"/>
      <c r="D2" s="27"/>
      <c r="E2" s="206"/>
      <c r="F2" s="206"/>
      <c r="G2" s="206"/>
    </row>
    <row r="3" ht="37.5" customHeight="1">
      <c r="A3" s="223"/>
      <c r="E3" s="206"/>
      <c r="F3" s="206"/>
      <c r="G3" s="206"/>
    </row>
    <row r="4" ht="15.75" customHeight="1">
      <c r="A4" s="209" t="s">
        <v>787</v>
      </c>
      <c r="B4" s="209"/>
      <c r="C4" s="209"/>
      <c r="D4" s="209"/>
      <c r="E4" s="209"/>
      <c r="F4" s="209"/>
      <c r="G4" s="209"/>
    </row>
    <row r="5" ht="15.75" customHeight="1">
      <c r="A5" s="206" t="s">
        <v>788</v>
      </c>
      <c r="B5" s="268">
        <f>'Input sheet'!B23</f>
        <v>39.4</v>
      </c>
      <c r="C5" s="206"/>
      <c r="D5" s="206"/>
      <c r="E5" s="206"/>
      <c r="F5" s="314"/>
      <c r="G5" s="314"/>
    </row>
    <row r="6" ht="15.75" customHeight="1">
      <c r="A6" s="206" t="s">
        <v>789</v>
      </c>
      <c r="B6" s="268">
        <f>'Input sheet'!B40</f>
        <v>0.0</v>
      </c>
      <c r="C6" s="206"/>
      <c r="D6" s="206"/>
      <c r="E6" s="206"/>
      <c r="F6" s="314"/>
      <c r="G6" s="314"/>
    </row>
    <row r="7" ht="15.75" customHeight="1">
      <c r="A7" s="206" t="s">
        <v>790</v>
      </c>
      <c r="B7" s="635">
        <f>'Input sheet'!B41</f>
        <v>7.0</v>
      </c>
      <c r="C7" s="206"/>
      <c r="D7" s="206"/>
      <c r="E7" s="206"/>
      <c r="F7" s="314"/>
      <c r="G7" s="314"/>
    </row>
    <row r="8" ht="15.75" customHeight="1">
      <c r="A8" s="206" t="s">
        <v>791</v>
      </c>
      <c r="B8" s="254">
        <f>'Input sheet'!B42</f>
        <v>0.45</v>
      </c>
      <c r="C8" s="206" t="s">
        <v>792</v>
      </c>
      <c r="D8" s="206"/>
      <c r="E8" s="206"/>
      <c r="F8" s="314"/>
      <c r="G8" s="314"/>
    </row>
    <row r="9" ht="15.75" customHeight="1">
      <c r="A9" s="206" t="s">
        <v>794</v>
      </c>
      <c r="B9" s="254">
        <v>0.0089</v>
      </c>
      <c r="C9" s="206"/>
      <c r="D9" s="206"/>
      <c r="E9" s="206"/>
      <c r="F9" s="314"/>
      <c r="G9" s="314"/>
    </row>
    <row r="10" ht="15.75" customHeight="1">
      <c r="A10" s="206" t="s">
        <v>795</v>
      </c>
      <c r="B10" s="254">
        <f>'Input sheet'!B35</f>
        <v>0.0496</v>
      </c>
      <c r="C10" s="206"/>
      <c r="D10" s="206"/>
      <c r="E10" s="206"/>
      <c r="F10" s="314"/>
      <c r="G10" s="314"/>
    </row>
    <row r="11" ht="15.75" customHeight="1">
      <c r="A11" s="206" t="s">
        <v>796</v>
      </c>
      <c r="B11" s="635">
        <f>'Input sheet'!B39</f>
        <v>0.0</v>
      </c>
      <c r="C11" s="206"/>
      <c r="D11" s="206"/>
      <c r="E11" s="206"/>
      <c r="F11" s="314"/>
      <c r="G11" s="314"/>
    </row>
    <row r="12" ht="15.75" customHeight="1">
      <c r="A12" s="206" t="s">
        <v>797</v>
      </c>
      <c r="B12" s="637">
        <f>'Input sheet'!B22</f>
        <v>4416.8</v>
      </c>
      <c r="C12" s="206"/>
      <c r="D12" s="206"/>
      <c r="E12" s="206"/>
      <c r="F12" s="314"/>
      <c r="G12" s="314"/>
    </row>
    <row r="13" ht="15.75" customHeight="1">
      <c r="A13" s="206"/>
      <c r="B13" s="206"/>
      <c r="C13" s="206"/>
      <c r="D13" s="206"/>
      <c r="E13" s="206"/>
      <c r="F13" s="206"/>
      <c r="G13" s="206"/>
    </row>
    <row r="14" ht="15.75" customHeight="1">
      <c r="A14" s="309" t="s">
        <v>798</v>
      </c>
      <c r="B14" s="308"/>
      <c r="C14" s="308"/>
      <c r="D14" s="308"/>
      <c r="E14" s="308"/>
      <c r="F14" s="308"/>
      <c r="G14" s="308"/>
    </row>
    <row r="15" ht="15.75" customHeight="1">
      <c r="A15" s="209" t="s">
        <v>799</v>
      </c>
      <c r="B15" s="206"/>
      <c r="C15" s="206"/>
      <c r="D15" s="206"/>
      <c r="E15" s="206"/>
      <c r="F15" s="206"/>
      <c r="G15" s="206"/>
    </row>
    <row r="16" ht="15.75" customHeight="1">
      <c r="A16" s="227" t="s">
        <v>800</v>
      </c>
      <c r="B16" s="638">
        <f t="shared" ref="B16:B17" si="1">B5</f>
        <v>39.4</v>
      </c>
      <c r="C16" s="227" t="s">
        <v>802</v>
      </c>
      <c r="D16" s="280">
        <f t="shared" ref="D16:D17" si="2">B11</f>
        <v>0.0</v>
      </c>
      <c r="E16" s="639"/>
      <c r="F16" s="534"/>
      <c r="G16" s="534"/>
    </row>
    <row r="17" ht="15.75" customHeight="1">
      <c r="A17" s="227" t="s">
        <v>803</v>
      </c>
      <c r="B17" s="640">
        <f t="shared" si="1"/>
        <v>0.0</v>
      </c>
      <c r="C17" s="227" t="s">
        <v>804</v>
      </c>
      <c r="D17" s="641">
        <f t="shared" si="2"/>
        <v>4416.8</v>
      </c>
      <c r="E17" s="639"/>
      <c r="F17" s="534"/>
      <c r="G17" s="534"/>
    </row>
    <row r="18" ht="15.75" customHeight="1">
      <c r="A18" s="227" t="s">
        <v>805</v>
      </c>
      <c r="B18" s="638" t="e">
        <f>(B16*D17+B29*D16)/(D17+D16)</f>
        <v>#DIV/0!</v>
      </c>
      <c r="C18" s="227" t="s">
        <v>807</v>
      </c>
      <c r="D18" s="642">
        <f>B10</f>
        <v>0.0496</v>
      </c>
      <c r="E18" s="206"/>
      <c r="F18" s="534"/>
      <c r="G18" s="534"/>
    </row>
    <row r="19" ht="15.75" customHeight="1">
      <c r="A19" s="227" t="s">
        <v>809</v>
      </c>
      <c r="B19" s="640">
        <f>B17</f>
        <v>0.0</v>
      </c>
      <c r="C19" s="227" t="s">
        <v>810</v>
      </c>
      <c r="D19" s="643">
        <f>B8^2</f>
        <v>0.2025</v>
      </c>
      <c r="E19" s="206"/>
      <c r="F19" s="534"/>
      <c r="G19" s="534"/>
    </row>
    <row r="20" ht="15.75" customHeight="1">
      <c r="A20" s="227" t="s">
        <v>812</v>
      </c>
      <c r="B20" s="645">
        <f>B7</f>
        <v>7.0</v>
      </c>
      <c r="C20" s="227" t="s">
        <v>813</v>
      </c>
      <c r="D20" s="642">
        <f>B9</f>
        <v>0.0089</v>
      </c>
      <c r="E20" s="206"/>
      <c r="F20" s="534"/>
      <c r="G20" s="534"/>
    </row>
    <row r="21" ht="15.75" customHeight="1">
      <c r="A21" s="206"/>
      <c r="B21" s="206"/>
      <c r="C21" s="227" t="s">
        <v>814</v>
      </c>
      <c r="D21" s="269">
        <f>D18-D20</f>
        <v>0.0407</v>
      </c>
      <c r="E21" s="206"/>
      <c r="F21" s="534"/>
      <c r="G21" s="534"/>
    </row>
    <row r="22" ht="15.75" customHeight="1">
      <c r="A22" s="206"/>
      <c r="B22" s="206"/>
      <c r="C22" s="206"/>
      <c r="D22" s="206"/>
      <c r="E22" s="206"/>
      <c r="F22" s="206"/>
      <c r="G22" s="206"/>
    </row>
    <row r="23" ht="15.75" customHeight="1">
      <c r="A23" s="206" t="s">
        <v>815</v>
      </c>
      <c r="B23" s="650" t="e">
        <f>(LN(B18/B19)+(D21+(D19/2))*B20)/(((D19)^(0.5))*(B20^0.5))</f>
        <v>#DIV/0!</v>
      </c>
      <c r="C23" s="206"/>
      <c r="D23" s="206"/>
      <c r="E23" s="206"/>
      <c r="F23" s="206"/>
      <c r="G23" s="206"/>
    </row>
    <row r="24" ht="15.75" customHeight="1">
      <c r="A24" s="206" t="s">
        <v>820</v>
      </c>
      <c r="B24" s="650" t="e">
        <f>NORMSDIST(B23)</f>
        <v>#DIV/0!</v>
      </c>
      <c r="C24" s="206"/>
      <c r="D24" s="206"/>
      <c r="E24" s="206"/>
      <c r="F24" s="206"/>
      <c r="G24" s="206"/>
    </row>
    <row r="25" ht="15.75" customHeight="1">
      <c r="A25" s="206"/>
      <c r="B25" s="249"/>
      <c r="C25" s="206"/>
      <c r="D25" s="206"/>
      <c r="E25" s="206"/>
      <c r="F25" s="206"/>
      <c r="G25" s="206"/>
    </row>
    <row r="26" ht="15.75" customHeight="1">
      <c r="A26" s="206" t="s">
        <v>821</v>
      </c>
      <c r="B26" s="650" t="e">
        <f>B23-((D19^0.5)*(B20^(0.5)))</f>
        <v>#DIV/0!</v>
      </c>
      <c r="C26" s="206"/>
      <c r="D26" s="206"/>
      <c r="E26" s="206"/>
      <c r="F26" s="206"/>
      <c r="G26" s="206"/>
    </row>
    <row r="27" ht="15.75" customHeight="1">
      <c r="A27" s="206" t="s">
        <v>823</v>
      </c>
      <c r="B27" s="650" t="e">
        <f>NORMSDIST(B26)</f>
        <v>#DIV/0!</v>
      </c>
      <c r="C27" s="206"/>
      <c r="D27" s="206"/>
      <c r="E27" s="206"/>
      <c r="F27" s="206"/>
      <c r="G27" s="206"/>
    </row>
    <row r="28" ht="15.75" customHeight="1">
      <c r="A28" s="206"/>
      <c r="B28" s="206"/>
      <c r="C28" s="206"/>
      <c r="D28" s="206"/>
      <c r="E28" s="206"/>
      <c r="F28" s="206"/>
      <c r="G28" s="206"/>
    </row>
    <row r="29" ht="15.75" customHeight="1">
      <c r="A29" s="206" t="s">
        <v>824</v>
      </c>
      <c r="B29" s="652" t="e">
        <f>((EXP((0-D20)*B20))*B18*B24-B19*(EXP((0-D18)*B20))*B27)</f>
        <v>#DIV/0!</v>
      </c>
      <c r="C29" s="206"/>
      <c r="D29" s="206"/>
      <c r="E29" s="206"/>
      <c r="F29" s="653"/>
      <c r="G29" s="534"/>
    </row>
    <row r="30" ht="15.75" customHeight="1">
      <c r="A30" s="206" t="s">
        <v>827</v>
      </c>
      <c r="B30" s="654" t="e">
        <f>B29*B11</f>
        <v>#DIV/0!</v>
      </c>
      <c r="C30" s="206"/>
      <c r="D30" s="206"/>
      <c r="E30" s="206"/>
      <c r="F30" s="534"/>
      <c r="G30" s="534"/>
    </row>
    <row r="31" ht="15.75" customHeight="1">
      <c r="A31" s="206"/>
      <c r="B31" s="206"/>
      <c r="C31" s="206"/>
      <c r="D31" s="206"/>
      <c r="E31" s="206"/>
      <c r="F31" s="206"/>
      <c r="G31" s="206"/>
    </row>
    <row r="32" ht="15.75" customHeight="1">
      <c r="A32" s="206"/>
      <c r="B32" s="206"/>
      <c r="C32" s="206"/>
      <c r="D32" s="206"/>
      <c r="E32" s="206"/>
      <c r="F32" s="206"/>
      <c r="G32" s="206"/>
    </row>
    <row r="33" ht="15.75" customHeight="1">
      <c r="A33" s="206"/>
      <c r="B33" s="206"/>
      <c r="C33" s="206"/>
      <c r="D33" s="206"/>
      <c r="E33" s="206"/>
      <c r="F33" s="206"/>
      <c r="G33" s="206"/>
    </row>
    <row r="34" ht="15.75" customHeight="1">
      <c r="A34" s="206"/>
      <c r="B34" s="206"/>
      <c r="C34" s="206"/>
      <c r="D34" s="206"/>
      <c r="E34" s="206"/>
      <c r="F34" s="206"/>
      <c r="G34" s="206"/>
    </row>
    <row r="35" ht="15.75" customHeight="1">
      <c r="A35" s="206"/>
      <c r="B35" s="206"/>
      <c r="C35" s="206"/>
      <c r="D35" s="206"/>
      <c r="E35" s="206"/>
      <c r="F35" s="206"/>
      <c r="G35" s="206"/>
    </row>
    <row r="36" ht="15.75" customHeight="1">
      <c r="A36" s="206"/>
      <c r="B36" s="206"/>
      <c r="C36" s="206"/>
      <c r="D36" s="206"/>
      <c r="E36" s="206"/>
      <c r="F36" s="206"/>
      <c r="G36" s="206"/>
    </row>
    <row r="37" ht="15.75" customHeight="1">
      <c r="A37" s="206"/>
      <c r="B37" s="206"/>
      <c r="C37" s="206"/>
      <c r="D37" s="206"/>
      <c r="E37" s="206"/>
      <c r="F37" s="206"/>
      <c r="G37" s="206"/>
    </row>
    <row r="38" ht="15.75" customHeight="1">
      <c r="A38" s="206"/>
      <c r="B38" s="206"/>
      <c r="C38" s="206"/>
      <c r="D38" s="206"/>
      <c r="E38" s="206"/>
      <c r="F38" s="206"/>
      <c r="G38" s="206"/>
    </row>
    <row r="39" ht="15.75" customHeight="1">
      <c r="A39" s="206"/>
      <c r="B39" s="206"/>
      <c r="C39" s="206"/>
      <c r="D39" s="206"/>
      <c r="E39" s="206"/>
      <c r="F39" s="206"/>
      <c r="G39" s="206"/>
    </row>
    <row r="40" ht="15.75" customHeight="1">
      <c r="A40" s="206"/>
      <c r="B40" s="206"/>
      <c r="C40" s="206"/>
      <c r="D40" s="206"/>
      <c r="E40" s="206"/>
      <c r="F40" s="206"/>
      <c r="G40" s="206"/>
    </row>
    <row r="41" ht="15.75" customHeight="1">
      <c r="A41" s="206"/>
      <c r="B41" s="206"/>
      <c r="C41" s="206"/>
      <c r="D41" s="206"/>
      <c r="E41" s="206"/>
      <c r="F41" s="206"/>
      <c r="G41" s="206"/>
    </row>
    <row r="42" ht="15.75" customHeight="1">
      <c r="A42" s="206"/>
      <c r="B42" s="206"/>
      <c r="C42" s="206"/>
      <c r="D42" s="206"/>
      <c r="E42" s="206"/>
      <c r="F42" s="206"/>
      <c r="G42" s="206"/>
    </row>
    <row r="43" ht="15.75" customHeight="1">
      <c r="A43" s="206"/>
      <c r="B43" s="206"/>
      <c r="C43" s="206"/>
      <c r="D43" s="206"/>
      <c r="E43" s="206"/>
      <c r="F43" s="206"/>
      <c r="G43" s="206"/>
    </row>
    <row r="44" ht="15.75" customHeight="1">
      <c r="A44" s="206"/>
      <c r="B44" s="206"/>
      <c r="C44" s="206"/>
      <c r="D44" s="206"/>
      <c r="E44" s="206"/>
      <c r="F44" s="206"/>
      <c r="G44" s="206"/>
    </row>
    <row r="45" ht="15.75" customHeight="1">
      <c r="A45" s="206"/>
      <c r="B45" s="206"/>
      <c r="C45" s="206"/>
      <c r="D45" s="206"/>
      <c r="E45" s="206"/>
      <c r="F45" s="206"/>
      <c r="G45" s="206"/>
    </row>
    <row r="46" ht="15.75" customHeight="1">
      <c r="A46" s="77"/>
      <c r="B46" s="77"/>
      <c r="C46" s="77"/>
      <c r="D46" s="77"/>
      <c r="E46" s="77"/>
      <c r="F46" s="77"/>
      <c r="G46" s="77"/>
    </row>
    <row r="47" ht="15.75" customHeight="1">
      <c r="A47" s="77"/>
      <c r="B47" s="77"/>
      <c r="C47" s="77"/>
      <c r="D47" s="77"/>
      <c r="E47" s="77"/>
      <c r="F47" s="77"/>
      <c r="G47" s="77"/>
    </row>
    <row r="48" ht="15.75" customHeight="1">
      <c r="A48" s="77"/>
      <c r="B48" s="77"/>
      <c r="C48" s="77"/>
      <c r="D48" s="77"/>
      <c r="E48" s="77"/>
      <c r="F48" s="77"/>
      <c r="G48" s="77"/>
    </row>
    <row r="49" ht="15.75" customHeight="1">
      <c r="A49" s="77"/>
      <c r="B49" s="77"/>
      <c r="C49" s="77"/>
      <c r="D49" s="77"/>
      <c r="E49" s="77"/>
      <c r="F49" s="77"/>
      <c r="G49" s="77"/>
    </row>
    <row r="50" ht="15.75" customHeight="1">
      <c r="A50" s="77"/>
      <c r="B50" s="77"/>
      <c r="C50" s="77"/>
      <c r="D50" s="77"/>
      <c r="E50" s="77"/>
      <c r="F50" s="77"/>
      <c r="G50" s="77"/>
    </row>
    <row r="51" ht="15.75" customHeight="1">
      <c r="A51" s="77"/>
      <c r="B51" s="77"/>
      <c r="C51" s="77"/>
      <c r="D51" s="77"/>
      <c r="E51" s="77"/>
      <c r="F51" s="77"/>
      <c r="G51" s="77"/>
    </row>
    <row r="52" ht="15.75" customHeight="1">
      <c r="A52" s="77"/>
      <c r="B52" s="77"/>
      <c r="C52" s="77"/>
      <c r="D52" s="77"/>
      <c r="E52" s="77"/>
      <c r="F52" s="77"/>
      <c r="G52" s="77"/>
    </row>
    <row r="53" ht="15.75" customHeight="1">
      <c r="A53" s="77"/>
      <c r="B53" s="77"/>
      <c r="C53" s="77"/>
      <c r="D53" s="77"/>
      <c r="E53" s="77"/>
      <c r="F53" s="77"/>
      <c r="G53" s="77"/>
    </row>
    <row r="54" ht="15.75" customHeight="1">
      <c r="A54" s="77"/>
      <c r="B54" s="77"/>
      <c r="C54" s="77"/>
      <c r="D54" s="77"/>
      <c r="E54" s="77"/>
      <c r="F54" s="77"/>
      <c r="G54" s="77"/>
    </row>
    <row r="55" ht="15.75" customHeight="1">
      <c r="A55" s="77"/>
      <c r="B55" s="77"/>
      <c r="C55" s="77"/>
      <c r="D55" s="77"/>
      <c r="E55" s="77"/>
      <c r="F55" s="77"/>
      <c r="G55" s="77"/>
    </row>
    <row r="56" ht="15.75" customHeight="1">
      <c r="A56" s="77"/>
      <c r="B56" s="77"/>
      <c r="C56" s="77"/>
      <c r="D56" s="77"/>
      <c r="E56" s="77"/>
      <c r="F56" s="77"/>
      <c r="G56" s="77"/>
    </row>
    <row r="57" ht="15.75" customHeight="1">
      <c r="A57" s="77"/>
      <c r="B57" s="77"/>
      <c r="C57" s="77"/>
      <c r="D57" s="77"/>
      <c r="E57" s="77"/>
      <c r="F57" s="77"/>
      <c r="G57" s="77"/>
    </row>
    <row r="58" ht="15.75" customHeight="1">
      <c r="A58" s="77"/>
      <c r="B58" s="77"/>
      <c r="C58" s="77"/>
      <c r="D58" s="77"/>
      <c r="E58" s="77"/>
      <c r="F58" s="77"/>
      <c r="G58" s="77"/>
    </row>
    <row r="59" ht="15.75" customHeight="1">
      <c r="A59" s="77"/>
      <c r="B59" s="77"/>
      <c r="C59" s="77"/>
      <c r="D59" s="77"/>
      <c r="E59" s="77"/>
      <c r="F59" s="77"/>
      <c r="G59" s="77"/>
    </row>
    <row r="60" ht="15.75" customHeight="1">
      <c r="A60" s="77"/>
      <c r="B60" s="77"/>
      <c r="C60" s="77"/>
      <c r="D60" s="77"/>
      <c r="E60" s="77"/>
      <c r="F60" s="77"/>
      <c r="G60" s="77"/>
    </row>
    <row r="61" ht="15.75" customHeight="1">
      <c r="A61" s="77"/>
      <c r="B61" s="77"/>
      <c r="C61" s="77"/>
      <c r="D61" s="77"/>
      <c r="E61" s="77"/>
      <c r="F61" s="77"/>
      <c r="G61" s="77"/>
    </row>
    <row r="62" ht="15.75" customHeight="1">
      <c r="A62" s="77"/>
      <c r="B62" s="77"/>
      <c r="C62" s="77"/>
      <c r="D62" s="77"/>
      <c r="E62" s="77"/>
      <c r="F62" s="77"/>
      <c r="G62" s="77"/>
    </row>
    <row r="63" ht="15.75" customHeight="1">
      <c r="A63" s="77"/>
      <c r="B63" s="77"/>
      <c r="C63" s="77"/>
      <c r="D63" s="77"/>
      <c r="E63" s="77"/>
      <c r="F63" s="77"/>
      <c r="G63" s="77"/>
    </row>
    <row r="64" ht="15.75" customHeight="1">
      <c r="A64" s="77"/>
      <c r="B64" s="77"/>
      <c r="C64" s="77"/>
      <c r="D64" s="77"/>
      <c r="E64" s="77"/>
      <c r="F64" s="77"/>
      <c r="G64" s="77"/>
    </row>
    <row r="65" ht="15.75" customHeight="1">
      <c r="A65" s="77"/>
      <c r="B65" s="77"/>
      <c r="C65" s="77"/>
      <c r="D65" s="77"/>
      <c r="E65" s="77"/>
      <c r="F65" s="77"/>
      <c r="G65" s="77"/>
    </row>
    <row r="66" ht="15.75" customHeight="1">
      <c r="A66" s="77"/>
      <c r="B66" s="77"/>
      <c r="C66" s="77"/>
      <c r="D66" s="77"/>
      <c r="E66" s="77"/>
      <c r="F66" s="77"/>
      <c r="G66" s="77"/>
    </row>
    <row r="67" ht="15.75" customHeight="1">
      <c r="A67" s="77"/>
      <c r="B67" s="77"/>
      <c r="C67" s="77"/>
      <c r="D67" s="77"/>
      <c r="E67" s="77"/>
      <c r="F67" s="77"/>
      <c r="G67" s="77"/>
    </row>
    <row r="68" ht="15.75" customHeight="1">
      <c r="A68" s="77"/>
      <c r="B68" s="77"/>
      <c r="C68" s="77"/>
      <c r="D68" s="77"/>
      <c r="E68" s="77"/>
      <c r="F68" s="77"/>
      <c r="G68" s="77"/>
    </row>
    <row r="69" ht="15.75" customHeight="1">
      <c r="A69" s="77"/>
      <c r="B69" s="77"/>
      <c r="C69" s="77"/>
      <c r="D69" s="77"/>
      <c r="E69" s="77"/>
      <c r="F69" s="77"/>
      <c r="G69" s="77"/>
    </row>
    <row r="70" ht="15.75" customHeight="1">
      <c r="A70" s="77"/>
      <c r="B70" s="77"/>
      <c r="C70" s="77"/>
      <c r="D70" s="77"/>
      <c r="E70" s="77"/>
      <c r="F70" s="77"/>
      <c r="G70" s="77"/>
    </row>
    <row r="71" ht="15.75" customHeight="1">
      <c r="A71" s="77"/>
      <c r="B71" s="77"/>
      <c r="C71" s="77"/>
      <c r="D71" s="77"/>
      <c r="E71" s="77"/>
      <c r="F71" s="77"/>
      <c r="G71" s="77"/>
    </row>
    <row r="72" ht="15.75" customHeight="1">
      <c r="A72" s="77"/>
      <c r="B72" s="77"/>
      <c r="C72" s="77"/>
      <c r="D72" s="77"/>
      <c r="E72" s="77"/>
      <c r="F72" s="77"/>
      <c r="G72" s="77"/>
    </row>
    <row r="73" ht="15.75" customHeight="1">
      <c r="A73" s="77"/>
      <c r="B73" s="77"/>
      <c r="C73" s="77"/>
      <c r="D73" s="77"/>
      <c r="E73" s="77"/>
      <c r="F73" s="77"/>
      <c r="G73" s="77"/>
    </row>
    <row r="74" ht="15.75" customHeight="1">
      <c r="A74" s="77"/>
      <c r="B74" s="77"/>
      <c r="C74" s="77"/>
      <c r="D74" s="77"/>
      <c r="E74" s="77"/>
      <c r="F74" s="77"/>
      <c r="G74" s="77"/>
    </row>
    <row r="75" ht="15.75" customHeight="1">
      <c r="A75" s="77"/>
      <c r="B75" s="77"/>
      <c r="C75" s="77"/>
      <c r="D75" s="77"/>
      <c r="E75" s="77"/>
      <c r="F75" s="77"/>
      <c r="G75" s="77"/>
    </row>
    <row r="76" ht="15.75" customHeight="1">
      <c r="A76" s="77"/>
      <c r="B76" s="77"/>
      <c r="C76" s="77"/>
      <c r="D76" s="77"/>
      <c r="E76" s="77"/>
      <c r="F76" s="77"/>
      <c r="G76" s="77"/>
    </row>
    <row r="77" ht="15.75" customHeight="1">
      <c r="A77" s="77"/>
      <c r="B77" s="77"/>
      <c r="C77" s="77"/>
      <c r="D77" s="77"/>
      <c r="E77" s="77"/>
      <c r="F77" s="77"/>
      <c r="G77" s="77"/>
    </row>
    <row r="78" ht="15.75" customHeight="1">
      <c r="A78" s="77"/>
      <c r="B78" s="77"/>
      <c r="C78" s="77"/>
      <c r="D78" s="77"/>
      <c r="E78" s="77"/>
      <c r="F78" s="77"/>
      <c r="G78" s="77"/>
    </row>
    <row r="79" ht="15.75" customHeight="1">
      <c r="A79" s="77"/>
      <c r="B79" s="77"/>
      <c r="C79" s="77"/>
      <c r="D79" s="77"/>
      <c r="E79" s="77"/>
      <c r="F79" s="77"/>
      <c r="G79" s="77"/>
    </row>
    <row r="80" ht="15.75" customHeight="1">
      <c r="A80" s="77"/>
      <c r="B80" s="77"/>
      <c r="C80" s="77"/>
      <c r="D80" s="77"/>
      <c r="E80" s="77"/>
      <c r="F80" s="77"/>
      <c r="G80" s="77"/>
    </row>
    <row r="81" ht="15.75" customHeight="1">
      <c r="A81" s="77"/>
      <c r="B81" s="77"/>
      <c r="C81" s="77"/>
      <c r="D81" s="77"/>
      <c r="E81" s="77"/>
      <c r="F81" s="77"/>
      <c r="G81" s="77"/>
    </row>
    <row r="82" ht="15.75" customHeight="1">
      <c r="A82" s="77"/>
      <c r="B82" s="77"/>
      <c r="C82" s="77"/>
      <c r="D82" s="77"/>
      <c r="E82" s="77"/>
      <c r="F82" s="77"/>
      <c r="G82" s="77"/>
    </row>
    <row r="83" ht="15.75" customHeight="1">
      <c r="A83" s="77"/>
      <c r="B83" s="77"/>
      <c r="C83" s="77"/>
      <c r="D83" s="77"/>
      <c r="E83" s="77"/>
      <c r="F83" s="77"/>
      <c r="G83" s="77"/>
    </row>
    <row r="84" ht="15.75" customHeight="1">
      <c r="A84" s="77"/>
      <c r="B84" s="77"/>
      <c r="C84" s="77"/>
      <c r="D84" s="77"/>
      <c r="E84" s="77"/>
      <c r="F84" s="77"/>
      <c r="G84" s="77"/>
    </row>
    <row r="85" ht="15.75" customHeight="1">
      <c r="A85" s="77"/>
      <c r="B85" s="77"/>
      <c r="C85" s="77"/>
      <c r="D85" s="77"/>
      <c r="E85" s="77"/>
      <c r="F85" s="77"/>
      <c r="G85" s="77"/>
    </row>
    <row r="86" ht="15.75" customHeight="1">
      <c r="A86" s="77"/>
      <c r="B86" s="77"/>
      <c r="C86" s="77"/>
      <c r="D86" s="77"/>
      <c r="E86" s="77"/>
      <c r="F86" s="77"/>
      <c r="G86" s="77"/>
    </row>
    <row r="87" ht="15.75" customHeight="1">
      <c r="A87" s="77"/>
      <c r="B87" s="77"/>
      <c r="C87" s="77"/>
      <c r="D87" s="77"/>
      <c r="E87" s="77"/>
      <c r="F87" s="77"/>
      <c r="G87" s="77"/>
    </row>
    <row r="88" ht="15.75" customHeight="1">
      <c r="A88" s="77"/>
      <c r="B88" s="77"/>
      <c r="C88" s="77"/>
      <c r="D88" s="77"/>
      <c r="E88" s="77"/>
      <c r="F88" s="77"/>
      <c r="G88" s="77"/>
    </row>
    <row r="89" ht="15.75" customHeight="1">
      <c r="A89" s="77"/>
      <c r="B89" s="77"/>
      <c r="C89" s="77"/>
      <c r="D89" s="77"/>
      <c r="E89" s="77"/>
      <c r="F89" s="77"/>
      <c r="G89" s="77"/>
    </row>
    <row r="90" ht="15.75" customHeight="1">
      <c r="A90" s="77"/>
      <c r="B90" s="77"/>
      <c r="C90" s="77"/>
      <c r="D90" s="77"/>
      <c r="E90" s="77"/>
      <c r="F90" s="77"/>
      <c r="G90" s="77"/>
    </row>
    <row r="91" ht="15.75" customHeight="1">
      <c r="A91" s="77"/>
      <c r="B91" s="77"/>
      <c r="C91" s="77"/>
      <c r="D91" s="77"/>
      <c r="E91" s="77"/>
      <c r="F91" s="77"/>
      <c r="G91" s="77"/>
    </row>
    <row r="92" ht="15.75" customHeight="1">
      <c r="A92" s="77"/>
      <c r="B92" s="77"/>
      <c r="C92" s="77"/>
      <c r="D92" s="77"/>
      <c r="E92" s="77"/>
      <c r="F92" s="77"/>
      <c r="G92" s="77"/>
    </row>
    <row r="93" ht="15.75" customHeight="1">
      <c r="A93" s="77"/>
      <c r="B93" s="77"/>
      <c r="C93" s="77"/>
      <c r="D93" s="77"/>
      <c r="E93" s="77"/>
      <c r="F93" s="77"/>
      <c r="G93" s="77"/>
    </row>
    <row r="94" ht="15.75" customHeight="1">
      <c r="A94" s="77"/>
      <c r="B94" s="77"/>
      <c r="C94" s="77"/>
      <c r="D94" s="77"/>
      <c r="E94" s="77"/>
      <c r="F94" s="77"/>
      <c r="G94" s="77"/>
    </row>
    <row r="95" ht="15.75" customHeight="1">
      <c r="A95" s="77"/>
      <c r="B95" s="77"/>
      <c r="C95" s="77"/>
      <c r="D95" s="77"/>
      <c r="E95" s="77"/>
      <c r="F95" s="77"/>
      <c r="G95" s="77"/>
    </row>
    <row r="96" ht="15.75" customHeight="1">
      <c r="A96" s="77"/>
      <c r="B96" s="77"/>
      <c r="C96" s="77"/>
      <c r="D96" s="77"/>
      <c r="E96" s="77"/>
      <c r="F96" s="77"/>
      <c r="G96" s="77"/>
    </row>
    <row r="97" ht="15.75" customHeight="1">
      <c r="A97" s="77"/>
      <c r="B97" s="77"/>
      <c r="C97" s="77"/>
      <c r="D97" s="77"/>
      <c r="E97" s="77"/>
      <c r="F97" s="77"/>
      <c r="G97" s="77"/>
    </row>
    <row r="98" ht="15.75" customHeight="1">
      <c r="A98" s="77"/>
      <c r="B98" s="77"/>
      <c r="C98" s="77"/>
      <c r="D98" s="77"/>
      <c r="E98" s="77"/>
      <c r="F98" s="77"/>
      <c r="G98" s="77"/>
    </row>
    <row r="99" ht="15.75" customHeight="1">
      <c r="A99" s="77"/>
      <c r="B99" s="77"/>
      <c r="C99" s="77"/>
      <c r="D99" s="77"/>
      <c r="E99" s="77"/>
      <c r="F99" s="77"/>
      <c r="G99" s="77"/>
    </row>
    <row r="100" ht="15.75" customHeight="1">
      <c r="A100" s="77"/>
      <c r="B100" s="77"/>
      <c r="C100" s="77"/>
      <c r="D100" s="77"/>
      <c r="E100" s="77"/>
      <c r="F100" s="77"/>
      <c r="G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3"/>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63"/>
    <col customWidth="1" min="5" max="5" width="8.5"/>
    <col customWidth="1" min="6" max="6" width="10.0"/>
    <col customWidth="1" min="7" max="7" width="8.5"/>
    <col customWidth="1" min="8" max="8" width="8.63"/>
    <col customWidth="1" min="9" max="10" width="8.5"/>
    <col customWidth="1" min="11" max="20" width="8.63"/>
    <col customWidth="1" min="21" max="23" width="8.38"/>
    <col customWidth="1" min="24" max="26" width="11.25"/>
  </cols>
  <sheetData>
    <row r="1" ht="37.5" customHeight="1">
      <c r="A1" s="33" t="s">
        <v>72</v>
      </c>
      <c r="B1" s="35">
        <f>'Input sheet'!B1</f>
        <v>0.0</v>
      </c>
      <c r="C1" s="33" t="s">
        <v>57</v>
      </c>
      <c r="D1" s="37">
        <f>'Input sheet'!D1</f>
        <v>39.4</v>
      </c>
      <c r="E1" s="7"/>
      <c r="F1" s="7"/>
      <c r="G1" s="7"/>
      <c r="H1" s="7"/>
      <c r="I1" s="7"/>
      <c r="J1" s="7"/>
      <c r="K1" s="7"/>
      <c r="L1" s="7"/>
      <c r="M1" s="7"/>
      <c r="N1" s="7"/>
      <c r="O1" s="7"/>
      <c r="P1" s="7"/>
      <c r="Q1" s="7"/>
      <c r="R1" s="7"/>
      <c r="S1" s="7"/>
      <c r="T1" s="7"/>
      <c r="U1" s="7"/>
      <c r="V1" s="7"/>
      <c r="W1" s="7"/>
    </row>
    <row r="2" ht="15.75" customHeight="1">
      <c r="A2" s="644" t="s">
        <v>811</v>
      </c>
      <c r="B2" s="221"/>
      <c r="C2" s="221"/>
      <c r="D2" s="221"/>
      <c r="E2" s="221"/>
      <c r="F2" s="221"/>
      <c r="G2" s="221"/>
      <c r="H2" s="221"/>
      <c r="I2" s="221"/>
      <c r="J2" s="221"/>
      <c r="K2" s="221"/>
      <c r="L2" s="222"/>
      <c r="M2" s="206"/>
      <c r="N2" s="206"/>
      <c r="O2" s="206"/>
      <c r="P2" s="206"/>
      <c r="Q2" s="206"/>
      <c r="R2" s="206"/>
      <c r="S2" s="206"/>
      <c r="T2" s="206"/>
      <c r="U2" s="9"/>
      <c r="V2" s="9"/>
      <c r="W2" s="9"/>
    </row>
    <row r="3" ht="21.0" customHeight="1">
      <c r="A3" s="231"/>
      <c r="B3" s="232"/>
      <c r="C3" s="232"/>
      <c r="D3" s="232"/>
      <c r="E3" s="232"/>
      <c r="F3" s="232"/>
      <c r="G3" s="232"/>
      <c r="H3" s="232"/>
      <c r="I3" s="232"/>
      <c r="J3" s="232"/>
      <c r="K3" s="232"/>
      <c r="L3" s="233"/>
      <c r="M3" s="206"/>
      <c r="N3" s="206"/>
      <c r="O3" s="206"/>
      <c r="P3" s="206"/>
      <c r="Q3" s="206"/>
      <c r="R3" s="206"/>
      <c r="S3" s="206"/>
      <c r="T3" s="206"/>
      <c r="U3" s="9"/>
      <c r="V3" s="9"/>
      <c r="W3" s="9"/>
    </row>
    <row r="4" ht="15.75" customHeight="1">
      <c r="A4" s="206"/>
      <c r="B4" s="206"/>
      <c r="C4" s="206"/>
      <c r="D4" s="206"/>
      <c r="E4" s="206"/>
      <c r="F4" s="206"/>
      <c r="G4" s="206"/>
      <c r="H4" s="206"/>
      <c r="I4" s="206"/>
      <c r="J4" s="206"/>
      <c r="K4" s="206"/>
      <c r="L4" s="206"/>
      <c r="M4" s="206"/>
      <c r="N4" s="206"/>
      <c r="O4" s="206"/>
      <c r="P4" s="206"/>
      <c r="Q4" s="206"/>
      <c r="R4" s="206"/>
      <c r="S4" s="206"/>
      <c r="T4" s="206"/>
      <c r="U4" s="9"/>
      <c r="V4" s="9"/>
      <c r="W4" s="9"/>
    </row>
    <row r="5" ht="15.75" customHeight="1">
      <c r="A5" s="209" t="s">
        <v>816</v>
      </c>
      <c r="B5" s="206"/>
      <c r="C5" s="206"/>
      <c r="D5" s="206"/>
      <c r="E5" s="206"/>
      <c r="F5" s="206"/>
      <c r="G5" s="206"/>
      <c r="H5" s="206"/>
      <c r="I5" s="206"/>
      <c r="J5" s="206"/>
      <c r="K5" s="206"/>
      <c r="L5" s="206"/>
      <c r="M5" s="206"/>
      <c r="N5" s="206"/>
      <c r="O5" s="206"/>
      <c r="P5" s="206"/>
      <c r="Q5" s="206"/>
      <c r="R5" s="206"/>
      <c r="S5" s="206"/>
      <c r="T5" s="206"/>
      <c r="U5" s="9"/>
      <c r="V5" s="9"/>
      <c r="W5" s="9"/>
    </row>
    <row r="6" ht="15.75" customHeight="1">
      <c r="A6" s="209" t="s">
        <v>817</v>
      </c>
      <c r="B6" s="206"/>
      <c r="C6" s="206"/>
      <c r="D6" s="206"/>
      <c r="E6" s="206"/>
      <c r="F6" s="206"/>
      <c r="G6" s="206"/>
      <c r="H6" s="206"/>
      <c r="I6" s="206"/>
      <c r="J6" s="206"/>
      <c r="K6" s="206"/>
      <c r="L6" s="206"/>
      <c r="M6" s="206"/>
      <c r="N6" s="206"/>
      <c r="O6" s="206"/>
      <c r="P6" s="206"/>
      <c r="Q6" s="206"/>
      <c r="R6" s="206"/>
      <c r="S6" s="206"/>
      <c r="T6" s="206"/>
      <c r="U6" s="9"/>
      <c r="V6" s="9"/>
      <c r="W6" s="9"/>
    </row>
    <row r="7" ht="15.75" customHeight="1">
      <c r="A7" s="309" t="s">
        <v>818</v>
      </c>
      <c r="B7" s="308"/>
      <c r="C7" s="308"/>
      <c r="D7" s="308"/>
      <c r="E7" s="308"/>
      <c r="F7" s="308"/>
      <c r="G7" s="308"/>
      <c r="H7" s="308"/>
      <c r="I7" s="308"/>
      <c r="J7" s="308"/>
      <c r="K7" s="308"/>
      <c r="L7" s="308"/>
      <c r="M7" s="308"/>
      <c r="N7" s="308"/>
      <c r="O7" s="308"/>
      <c r="P7" s="308"/>
      <c r="Q7" s="308"/>
      <c r="R7" s="308"/>
      <c r="S7" s="308"/>
      <c r="T7" s="308"/>
      <c r="U7" s="308"/>
      <c r="V7" s="308"/>
      <c r="W7" s="308"/>
    </row>
    <row r="8" ht="15.75" customHeight="1">
      <c r="A8" s="206" t="s">
        <v>819</v>
      </c>
      <c r="B8" s="206"/>
      <c r="C8" s="651">
        <f>'Cost of capital worksheet'!B37</f>
        <v>2.0</v>
      </c>
      <c r="D8" s="206"/>
      <c r="E8" s="206"/>
      <c r="F8" s="206"/>
      <c r="G8" s="206"/>
      <c r="H8" s="206"/>
      <c r="I8" s="206"/>
      <c r="J8" s="206"/>
      <c r="K8" s="206"/>
      <c r="L8" s="206"/>
      <c r="M8" s="206"/>
      <c r="N8" s="206"/>
      <c r="O8" s="206"/>
      <c r="P8" s="206"/>
      <c r="Q8" s="206"/>
      <c r="R8" s="206"/>
      <c r="S8" s="206"/>
      <c r="T8" s="206"/>
      <c r="U8" s="534"/>
      <c r="V8" s="534"/>
      <c r="W8" s="534"/>
    </row>
    <row r="9" ht="15.75" customHeight="1">
      <c r="A9" s="206" t="s">
        <v>822</v>
      </c>
      <c r="B9" s="206"/>
      <c r="C9" s="206"/>
      <c r="D9" s="206"/>
      <c r="E9" s="206"/>
      <c r="F9" s="268">
        <f>IF('Input sheet'!B18="Yes",'Input sheet'!B13+'Operating lease converter'!F33,'Input sheet'!B13)</f>
        <v>18994.8</v>
      </c>
      <c r="G9" s="206" t="s">
        <v>825</v>
      </c>
      <c r="H9" s="206"/>
      <c r="I9" s="206"/>
      <c r="J9" s="206"/>
      <c r="K9" s="206"/>
      <c r="L9" s="206"/>
      <c r="M9" s="206"/>
      <c r="N9" s="206"/>
      <c r="O9" s="206"/>
      <c r="P9" s="206"/>
      <c r="Q9" s="206"/>
      <c r="R9" s="206"/>
      <c r="S9" s="206"/>
      <c r="T9" s="206"/>
      <c r="U9" s="534"/>
      <c r="V9" s="534"/>
      <c r="W9" s="534"/>
    </row>
    <row r="10" ht="15.75" customHeight="1">
      <c r="A10" s="206" t="s">
        <v>826</v>
      </c>
      <c r="B10" s="206"/>
      <c r="C10" s="206"/>
      <c r="D10" s="206"/>
      <c r="E10" s="206"/>
      <c r="F10" s="655">
        <f>IF('Input sheet'!B18="Yes",'Cost of capital worksheet'!B32+'Operating lease converter'!C29*'Operating lease converter'!C16,'Cost of capital worksheet'!B32)</f>
        <v>-659.9</v>
      </c>
      <c r="G10" s="206" t="s">
        <v>828</v>
      </c>
      <c r="H10" s="206"/>
      <c r="I10" s="206"/>
      <c r="J10" s="206"/>
      <c r="K10" s="206"/>
      <c r="L10" s="206"/>
      <c r="M10" s="206"/>
      <c r="N10" s="206"/>
      <c r="O10" s="206"/>
      <c r="P10" s="206"/>
      <c r="Q10" s="206"/>
      <c r="R10" s="206"/>
      <c r="S10" s="206"/>
      <c r="T10" s="206"/>
      <c r="U10" s="534"/>
      <c r="V10" s="534"/>
      <c r="W10" s="534"/>
    </row>
    <row r="11" ht="15.75" customHeight="1">
      <c r="A11" s="206" t="s">
        <v>829</v>
      </c>
      <c r="B11" s="206"/>
      <c r="C11" s="206"/>
      <c r="D11" s="206"/>
      <c r="E11" s="206"/>
      <c r="F11" s="656">
        <f>'Input sheet'!B35</f>
        <v>0.0496</v>
      </c>
      <c r="G11" s="206"/>
      <c r="H11" s="206"/>
      <c r="I11" s="206"/>
      <c r="J11" s="206"/>
      <c r="K11" s="206"/>
      <c r="L11" s="206"/>
      <c r="M11" s="206"/>
      <c r="N11" s="206"/>
      <c r="O11" s="206"/>
      <c r="P11" s="206"/>
      <c r="Q11" s="206"/>
      <c r="R11" s="206"/>
      <c r="S11" s="206"/>
      <c r="T11" s="206"/>
      <c r="U11" s="534"/>
      <c r="V11" s="534"/>
      <c r="W11" s="534"/>
    </row>
    <row r="12" ht="15.75" customHeight="1">
      <c r="A12" s="209" t="s">
        <v>830</v>
      </c>
      <c r="B12" s="206"/>
      <c r="C12" s="206"/>
      <c r="D12" s="206"/>
      <c r="E12" s="206"/>
      <c r="F12" s="206"/>
      <c r="G12" s="206"/>
      <c r="H12" s="206"/>
      <c r="I12" s="206"/>
      <c r="J12" s="206"/>
      <c r="K12" s="206"/>
      <c r="L12" s="206"/>
      <c r="M12" s="206"/>
      <c r="N12" s="206"/>
      <c r="O12" s="206"/>
      <c r="P12" s="206"/>
      <c r="Q12" s="206"/>
      <c r="R12" s="206"/>
      <c r="S12" s="206"/>
      <c r="T12" s="206"/>
      <c r="U12" s="534"/>
      <c r="V12" s="534"/>
      <c r="W12" s="534"/>
    </row>
    <row r="13" ht="15.75" customHeight="1">
      <c r="A13" s="206" t="s">
        <v>831</v>
      </c>
      <c r="B13" s="206"/>
      <c r="C13" s="206"/>
      <c r="D13" s="657">
        <f>IF(F10=0,1000000,IF(F9&lt;0,-100000,F9/F10))</f>
        <v>-28.7843612668586</v>
      </c>
      <c r="E13" s="206"/>
      <c r="F13" s="206"/>
      <c r="G13" s="206"/>
      <c r="H13" s="206"/>
      <c r="I13" s="206"/>
      <c r="J13" s="206"/>
      <c r="K13" s="206"/>
      <c r="L13" s="206"/>
      <c r="M13" s="206"/>
      <c r="N13" s="206"/>
      <c r="O13" s="206"/>
      <c r="P13" s="206"/>
      <c r="Q13" s="206"/>
      <c r="R13" s="206"/>
      <c r="S13" s="206"/>
      <c r="T13" s="206"/>
      <c r="U13" s="534"/>
      <c r="V13" s="534"/>
      <c r="W13" s="534"/>
    </row>
    <row r="14" ht="15.75" customHeight="1">
      <c r="A14" s="206" t="s">
        <v>832</v>
      </c>
      <c r="B14" s="206"/>
      <c r="C14" s="206"/>
      <c r="D14" s="658" t="str">
        <f>IF(C8=1,VLOOKUP(D13,A23:D37,3),(IF(C8=2,VLOOKUP(D13,A42:D56,3),VLOOKUP(D13,F23:I37,3))))</f>
        <v>D2/D</v>
      </c>
      <c r="E14" s="206"/>
      <c r="F14" s="308" t="s">
        <v>833</v>
      </c>
      <c r="G14" s="206"/>
      <c r="H14" s="206"/>
      <c r="I14" s="206"/>
      <c r="J14" s="206"/>
      <c r="K14" s="206"/>
      <c r="L14" s="206"/>
      <c r="M14" s="206"/>
      <c r="N14" s="206"/>
      <c r="O14" s="206"/>
      <c r="P14" s="206"/>
      <c r="Q14" s="206"/>
      <c r="R14" s="206"/>
      <c r="S14" s="206"/>
      <c r="T14" s="206"/>
      <c r="U14" s="534"/>
      <c r="V14" s="534"/>
      <c r="W14" s="534"/>
    </row>
    <row r="15" ht="15.75" customHeight="1">
      <c r="A15" s="206" t="s">
        <v>834</v>
      </c>
      <c r="B15" s="206"/>
      <c r="C15" s="206"/>
      <c r="D15" s="659">
        <f>IF(C8=1,VLOOKUP(D13,A23:D37,4),(IF(C8=2,VLOOKUP(D13,A42:D56,4),VLOOKUP(D13,F23:I37,4))))</f>
        <v>0.19</v>
      </c>
      <c r="E15" s="206"/>
      <c r="F15" s="308" t="s">
        <v>835</v>
      </c>
      <c r="G15" s="206"/>
      <c r="H15" s="206"/>
      <c r="I15" s="206"/>
      <c r="J15" s="206"/>
      <c r="K15" s="206"/>
      <c r="L15" s="206"/>
      <c r="M15" s="206"/>
      <c r="N15" s="206"/>
      <c r="O15" s="206"/>
      <c r="P15" s="206"/>
      <c r="Q15" s="206"/>
      <c r="R15" s="206"/>
      <c r="S15" s="206"/>
      <c r="T15" s="206"/>
      <c r="U15" s="534"/>
      <c r="V15" s="534"/>
      <c r="W15" s="534"/>
    </row>
    <row r="16" ht="15.75" customHeight="1">
      <c r="A16" s="206" t="s">
        <v>836</v>
      </c>
      <c r="B16" s="206"/>
      <c r="C16" s="206"/>
      <c r="D16" s="659">
        <f>VLOOKUP('Input sheet'!B8,'Country equity risk premiums'!A6:C197,3)</f>
        <v>0.0</v>
      </c>
      <c r="E16" s="206"/>
      <c r="F16" s="308"/>
      <c r="G16" s="206"/>
      <c r="H16" s="206"/>
      <c r="I16" s="206"/>
      <c r="J16" s="206"/>
      <c r="K16" s="206"/>
      <c r="L16" s="206"/>
      <c r="M16" s="206"/>
      <c r="N16" s="206"/>
      <c r="O16" s="206"/>
      <c r="P16" s="206"/>
      <c r="Q16" s="206"/>
      <c r="R16" s="206"/>
      <c r="S16" s="206"/>
      <c r="T16" s="206"/>
      <c r="U16" s="534"/>
      <c r="V16" s="534"/>
      <c r="W16" s="534"/>
    </row>
    <row r="17" ht="15.75" customHeight="1">
      <c r="A17" s="206" t="s">
        <v>837</v>
      </c>
      <c r="B17" s="206"/>
      <c r="C17" s="206"/>
      <c r="D17" s="659">
        <f>F11+D15+D16</f>
        <v>0.2396</v>
      </c>
      <c r="E17" s="206"/>
      <c r="F17" s="206"/>
      <c r="G17" s="206"/>
      <c r="H17" s="206"/>
      <c r="I17" s="206"/>
      <c r="J17" s="206"/>
      <c r="K17" s="206"/>
      <c r="L17" s="206"/>
      <c r="M17" s="206"/>
      <c r="N17" s="206"/>
      <c r="O17" s="206"/>
      <c r="P17" s="206"/>
      <c r="Q17" s="206"/>
      <c r="R17" s="206"/>
      <c r="S17" s="206"/>
      <c r="T17" s="206"/>
      <c r="U17" s="534"/>
      <c r="V17" s="534"/>
      <c r="W17" s="534"/>
    </row>
    <row r="18" ht="15.75" customHeight="1">
      <c r="A18" s="206"/>
      <c r="B18" s="206"/>
      <c r="C18" s="206"/>
      <c r="D18" s="660"/>
      <c r="E18" s="206"/>
      <c r="F18" s="206"/>
      <c r="G18" s="206"/>
      <c r="H18" s="206"/>
      <c r="I18" s="206"/>
      <c r="J18" s="206"/>
      <c r="K18" s="206"/>
      <c r="L18" s="206"/>
      <c r="M18" s="206"/>
      <c r="N18" s="206"/>
      <c r="O18" s="206"/>
      <c r="P18" s="206"/>
      <c r="Q18" s="206"/>
      <c r="R18" s="206"/>
      <c r="S18" s="206"/>
      <c r="T18" s="206"/>
      <c r="U18" s="534"/>
      <c r="V18" s="534"/>
      <c r="W18" s="534"/>
    </row>
    <row r="19" ht="15.75" customHeight="1">
      <c r="A19" s="308" t="s">
        <v>838</v>
      </c>
      <c r="B19" s="308"/>
      <c r="C19" s="308"/>
      <c r="D19" s="661"/>
      <c r="E19" s="308"/>
      <c r="F19" s="308"/>
      <c r="G19" s="308"/>
      <c r="H19" s="308"/>
      <c r="I19" s="308"/>
      <c r="J19" s="308"/>
      <c r="K19" s="308"/>
      <c r="L19" s="308"/>
      <c r="M19" s="308"/>
      <c r="N19" s="308"/>
      <c r="O19" s="308"/>
      <c r="P19" s="308"/>
      <c r="Q19" s="308"/>
      <c r="R19" s="308"/>
      <c r="S19" s="308"/>
      <c r="T19" s="308"/>
      <c r="U19" s="517"/>
      <c r="V19" s="517"/>
      <c r="W19" s="517"/>
    </row>
    <row r="20" ht="15.75" customHeight="1">
      <c r="A20" s="209" t="s">
        <v>839</v>
      </c>
      <c r="B20" s="206"/>
      <c r="C20" s="206"/>
      <c r="D20" s="206"/>
      <c r="E20" s="206"/>
      <c r="F20" s="206"/>
      <c r="G20" s="206"/>
      <c r="H20" s="206"/>
      <c r="I20" s="206"/>
      <c r="J20" s="217" t="s">
        <v>840</v>
      </c>
      <c r="K20" s="218"/>
      <c r="L20" s="218"/>
      <c r="M20" s="218"/>
      <c r="N20" s="218"/>
      <c r="O20" s="218"/>
      <c r="P20" s="218"/>
      <c r="Q20" s="218"/>
      <c r="R20" s="218"/>
      <c r="S20" s="218"/>
      <c r="T20" s="219"/>
      <c r="U20" s="534"/>
      <c r="V20" s="534"/>
      <c r="W20" s="534"/>
    </row>
    <row r="21" ht="15.75" customHeight="1">
      <c r="A21" s="261" t="s">
        <v>841</v>
      </c>
      <c r="B21" s="496"/>
      <c r="C21" s="260"/>
      <c r="D21" s="260"/>
      <c r="E21" s="206"/>
      <c r="F21" s="206"/>
      <c r="G21" s="206"/>
      <c r="H21" s="206"/>
      <c r="I21" s="206"/>
      <c r="J21" s="662" t="s">
        <v>842</v>
      </c>
      <c r="K21" s="663">
        <v>1.0</v>
      </c>
      <c r="L21" s="663">
        <v>2.0</v>
      </c>
      <c r="M21" s="663">
        <v>3.0</v>
      </c>
      <c r="N21" s="663">
        <v>4.0</v>
      </c>
      <c r="O21" s="663">
        <v>5.0</v>
      </c>
      <c r="P21" s="663">
        <v>6.0</v>
      </c>
      <c r="Q21" s="663">
        <v>7.0</v>
      </c>
      <c r="R21" s="663">
        <v>8.0</v>
      </c>
      <c r="S21" s="663">
        <v>9.0</v>
      </c>
      <c r="T21" s="663">
        <v>10.0</v>
      </c>
      <c r="U21" s="534"/>
      <c r="V21" s="534"/>
      <c r="W21" s="534"/>
    </row>
    <row r="22" ht="15.75" customHeight="1">
      <c r="A22" s="225" t="s">
        <v>844</v>
      </c>
      <c r="B22" s="225" t="s">
        <v>845</v>
      </c>
      <c r="C22" s="225" t="s">
        <v>846</v>
      </c>
      <c r="D22" s="225" t="s">
        <v>847</v>
      </c>
      <c r="E22" s="206"/>
      <c r="F22" s="206"/>
      <c r="G22" s="206"/>
      <c r="H22" s="206"/>
      <c r="I22" s="206"/>
      <c r="J22" s="665" t="s">
        <v>848</v>
      </c>
      <c r="K22" s="666">
        <v>0.0</v>
      </c>
      <c r="L22" s="666">
        <v>3.0E-4</v>
      </c>
      <c r="M22" s="666">
        <v>0.0013</v>
      </c>
      <c r="N22" s="666">
        <v>0.0024</v>
      </c>
      <c r="O22" s="666">
        <v>0.0035</v>
      </c>
      <c r="P22" s="666">
        <v>0.004500000000000001</v>
      </c>
      <c r="Q22" s="666">
        <v>0.0051</v>
      </c>
      <c r="R22" s="666">
        <v>0.0059</v>
      </c>
      <c r="S22" s="666">
        <v>0.0064</v>
      </c>
      <c r="T22" s="666">
        <v>0.006999999999999999</v>
      </c>
      <c r="U22" s="534"/>
      <c r="V22" s="534"/>
      <c r="W22" s="534"/>
    </row>
    <row r="23" ht="15.75" customHeight="1">
      <c r="A23" s="252">
        <v>-100000.0</v>
      </c>
      <c r="B23" s="252">
        <v>0.199999</v>
      </c>
      <c r="C23" s="252" t="s">
        <v>851</v>
      </c>
      <c r="D23" s="667">
        <v>0.19</v>
      </c>
      <c r="E23" s="206"/>
      <c r="F23" s="206"/>
      <c r="G23" s="206"/>
      <c r="H23" s="206"/>
      <c r="I23" s="206"/>
      <c r="J23" s="665" t="s">
        <v>852</v>
      </c>
      <c r="K23" s="666">
        <v>2.0E-4</v>
      </c>
      <c r="L23" s="666">
        <v>6.0E-4</v>
      </c>
      <c r="M23" s="666">
        <v>0.0012</v>
      </c>
      <c r="N23" s="666">
        <v>0.0021</v>
      </c>
      <c r="O23" s="666">
        <v>0.0031</v>
      </c>
      <c r="P23" s="666">
        <v>0.0042</v>
      </c>
      <c r="Q23" s="666">
        <v>0.005</v>
      </c>
      <c r="R23" s="666">
        <v>0.0058</v>
      </c>
      <c r="S23" s="666">
        <v>0.006500000000000001</v>
      </c>
      <c r="T23" s="666">
        <v>0.0072</v>
      </c>
      <c r="U23" s="534"/>
      <c r="V23" s="534"/>
      <c r="W23" s="534"/>
    </row>
    <row r="24" ht="15.75" customHeight="1">
      <c r="A24" s="252">
        <v>0.2</v>
      </c>
      <c r="B24" s="252">
        <v>0.649999</v>
      </c>
      <c r="C24" s="252" t="s">
        <v>853</v>
      </c>
      <c r="D24" s="667">
        <v>0.16</v>
      </c>
      <c r="E24" s="206"/>
      <c r="F24" s="252"/>
      <c r="G24" s="206"/>
      <c r="H24" s="206"/>
      <c r="I24" s="206"/>
      <c r="J24" s="665" t="s">
        <v>854</v>
      </c>
      <c r="K24" s="666">
        <v>5.0E-4</v>
      </c>
      <c r="L24" s="666">
        <v>0.0014</v>
      </c>
      <c r="M24" s="666">
        <v>0.0023</v>
      </c>
      <c r="N24" s="666">
        <v>0.0035</v>
      </c>
      <c r="O24" s="666">
        <v>0.004699999999999999</v>
      </c>
      <c r="P24" s="666">
        <v>0.0062</v>
      </c>
      <c r="Q24" s="666">
        <v>0.0079</v>
      </c>
      <c r="R24" s="666">
        <v>0.009300000000000001</v>
      </c>
      <c r="S24" s="666">
        <v>0.0108</v>
      </c>
      <c r="T24" s="666">
        <v>0.0124</v>
      </c>
      <c r="U24" s="534"/>
      <c r="V24" s="534"/>
      <c r="W24" s="534"/>
    </row>
    <row r="25" ht="15.75" customHeight="1">
      <c r="A25" s="252">
        <v>0.65</v>
      </c>
      <c r="B25" s="252">
        <v>0.799999</v>
      </c>
      <c r="C25" s="252" t="s">
        <v>856</v>
      </c>
      <c r="D25" s="667">
        <v>0.126101</v>
      </c>
      <c r="E25" s="206"/>
      <c r="F25" s="206"/>
      <c r="G25" s="206"/>
      <c r="H25" s="206"/>
      <c r="I25" s="206"/>
      <c r="J25" s="665" t="s">
        <v>857</v>
      </c>
      <c r="K25" s="666">
        <v>0.0016</v>
      </c>
      <c r="L25" s="666">
        <v>0.004500000000000001</v>
      </c>
      <c r="M25" s="666">
        <v>0.007800000000000001</v>
      </c>
      <c r="N25" s="666">
        <v>0.0117</v>
      </c>
      <c r="O25" s="666">
        <v>0.0158</v>
      </c>
      <c r="P25" s="666">
        <v>0.0198</v>
      </c>
      <c r="Q25" s="666">
        <v>0.0233</v>
      </c>
      <c r="R25" s="666">
        <v>0.0267</v>
      </c>
      <c r="S25" s="666">
        <v>0.03</v>
      </c>
      <c r="T25" s="666">
        <v>0.0332</v>
      </c>
      <c r="U25" s="534"/>
      <c r="V25" s="534"/>
      <c r="W25" s="534"/>
    </row>
    <row r="26" ht="15.75" customHeight="1">
      <c r="A26" s="252">
        <v>0.8</v>
      </c>
      <c r="B26" s="252">
        <v>1.249999</v>
      </c>
      <c r="C26" s="252" t="s">
        <v>858</v>
      </c>
      <c r="D26" s="667">
        <v>0.0885</v>
      </c>
      <c r="E26" s="206"/>
      <c r="F26" s="206"/>
      <c r="G26" s="206"/>
      <c r="H26" s="206"/>
      <c r="I26" s="206"/>
      <c r="J26" s="665" t="s">
        <v>860</v>
      </c>
      <c r="K26" s="666">
        <v>0.0061</v>
      </c>
      <c r="L26" s="666">
        <v>0.0192</v>
      </c>
      <c r="M26" s="666">
        <v>0.0348</v>
      </c>
      <c r="N26" s="666">
        <v>0.0505</v>
      </c>
      <c r="O26" s="666">
        <v>0.0652</v>
      </c>
      <c r="P26" s="666">
        <v>0.0785</v>
      </c>
      <c r="Q26" s="666">
        <v>0.0901</v>
      </c>
      <c r="R26" s="666">
        <v>0.1004</v>
      </c>
      <c r="S26" s="666">
        <v>0.1097</v>
      </c>
      <c r="T26" s="666">
        <v>0.1178</v>
      </c>
      <c r="U26" s="534"/>
      <c r="V26" s="534"/>
      <c r="W26" s="534"/>
    </row>
    <row r="27" ht="15.75" customHeight="1">
      <c r="A27" s="252">
        <v>1.25</v>
      </c>
      <c r="B27" s="252">
        <v>1.499999</v>
      </c>
      <c r="C27" s="252" t="s">
        <v>862</v>
      </c>
      <c r="D27" s="667">
        <v>0.050899</v>
      </c>
      <c r="E27" s="206"/>
      <c r="F27" s="206"/>
      <c r="G27" s="206"/>
      <c r="H27" s="206"/>
      <c r="I27" s="206"/>
      <c r="J27" s="665" t="s">
        <v>863</v>
      </c>
      <c r="K27" s="666">
        <v>0.0333</v>
      </c>
      <c r="L27" s="666">
        <v>0.0771</v>
      </c>
      <c r="M27" s="666">
        <v>0.1155</v>
      </c>
      <c r="N27" s="666">
        <v>0.1458</v>
      </c>
      <c r="O27" s="666">
        <v>0.1693</v>
      </c>
      <c r="P27" s="666">
        <v>0.1883</v>
      </c>
      <c r="Q27" s="666">
        <v>0.2036</v>
      </c>
      <c r="R27" s="666">
        <v>0.216</v>
      </c>
      <c r="S27" s="666">
        <v>0.227</v>
      </c>
      <c r="T27" s="666">
        <v>0.2374</v>
      </c>
      <c r="U27" s="534"/>
      <c r="V27" s="534"/>
      <c r="W27" s="534"/>
    </row>
    <row r="28" ht="15.75" customHeight="1">
      <c r="A28" s="252">
        <v>1.5</v>
      </c>
      <c r="B28" s="252">
        <v>1.749999</v>
      </c>
      <c r="C28" s="252" t="s">
        <v>864</v>
      </c>
      <c r="D28" s="667">
        <v>0.032098</v>
      </c>
      <c r="E28" s="206"/>
      <c r="F28" s="206"/>
      <c r="G28" s="206"/>
      <c r="H28" s="206"/>
      <c r="I28" s="206"/>
      <c r="J28" s="665" t="s">
        <v>865</v>
      </c>
      <c r="K28" s="666">
        <v>0.2708</v>
      </c>
      <c r="L28" s="666">
        <v>0.3664</v>
      </c>
      <c r="M28" s="666">
        <v>0.4141</v>
      </c>
      <c r="N28" s="666">
        <v>0.441</v>
      </c>
      <c r="O28" s="666">
        <v>0.4619</v>
      </c>
      <c r="P28" s="666">
        <v>0.4709</v>
      </c>
      <c r="Q28" s="666">
        <v>0.4826</v>
      </c>
      <c r="R28" s="666">
        <v>0.4905</v>
      </c>
      <c r="S28" s="666">
        <v>0.4976</v>
      </c>
      <c r="T28" s="666">
        <v>0.5038</v>
      </c>
      <c r="U28" s="534"/>
      <c r="V28" s="534"/>
      <c r="W28" s="534"/>
    </row>
    <row r="29" ht="15.75" customHeight="1">
      <c r="A29" s="252">
        <v>1.75</v>
      </c>
      <c r="B29" s="252">
        <v>1.999999</v>
      </c>
      <c r="C29" s="252" t="s">
        <v>867</v>
      </c>
      <c r="D29" s="667">
        <v>0.027531</v>
      </c>
      <c r="E29" s="206"/>
      <c r="F29" s="206"/>
      <c r="G29" s="206"/>
      <c r="H29" s="206"/>
      <c r="I29" s="206"/>
      <c r="J29" s="206"/>
      <c r="K29" s="206"/>
      <c r="L29" s="206"/>
      <c r="M29" s="206"/>
      <c r="N29" s="206"/>
      <c r="O29" s="206"/>
      <c r="P29" s="206"/>
      <c r="Q29" s="206"/>
      <c r="R29" s="206"/>
      <c r="S29" s="206"/>
      <c r="T29" s="206"/>
      <c r="U29" s="534"/>
      <c r="V29" s="534"/>
      <c r="W29" s="534"/>
    </row>
    <row r="30" ht="15.75" customHeight="1">
      <c r="A30" s="252">
        <v>2.0</v>
      </c>
      <c r="B30" s="252">
        <v>2.2499999</v>
      </c>
      <c r="C30" s="252" t="s">
        <v>869</v>
      </c>
      <c r="D30" s="667">
        <v>0.018395</v>
      </c>
      <c r="E30" s="206"/>
      <c r="F30" s="206"/>
      <c r="G30" s="206"/>
      <c r="H30" s="206"/>
      <c r="I30" s="206"/>
      <c r="J30" s="206"/>
      <c r="K30" s="206"/>
      <c r="L30" s="206"/>
      <c r="M30" s="206"/>
      <c r="N30" s="206"/>
      <c r="O30" s="206"/>
      <c r="P30" s="206"/>
      <c r="Q30" s="206"/>
      <c r="R30" s="206"/>
      <c r="S30" s="206"/>
      <c r="T30" s="206"/>
      <c r="U30" s="534"/>
      <c r="V30" s="534"/>
      <c r="W30" s="534"/>
    </row>
    <row r="31" ht="15.75" customHeight="1">
      <c r="A31" s="252">
        <v>2.25</v>
      </c>
      <c r="B31" s="252">
        <v>2.49999</v>
      </c>
      <c r="C31" s="252" t="s">
        <v>871</v>
      </c>
      <c r="D31" s="667">
        <v>0.013828</v>
      </c>
      <c r="E31" s="206"/>
      <c r="F31" s="206"/>
      <c r="G31" s="206"/>
      <c r="H31" s="206"/>
      <c r="I31" s="206"/>
      <c r="J31" s="206"/>
      <c r="K31" s="206"/>
      <c r="L31" s="206"/>
      <c r="M31" s="206"/>
      <c r="N31" s="206"/>
      <c r="O31" s="206"/>
      <c r="P31" s="206"/>
      <c r="Q31" s="206"/>
      <c r="R31" s="206"/>
      <c r="S31" s="206"/>
      <c r="T31" s="206"/>
      <c r="U31" s="534"/>
      <c r="V31" s="534"/>
      <c r="W31" s="534"/>
    </row>
    <row r="32" ht="15.75" customHeight="1">
      <c r="A32" s="252">
        <v>2.5</v>
      </c>
      <c r="B32" s="252">
        <v>2.999999</v>
      </c>
      <c r="C32" s="252" t="s">
        <v>874</v>
      </c>
      <c r="D32" s="667">
        <v>0.011113</v>
      </c>
      <c r="E32" s="206"/>
      <c r="F32" s="206"/>
      <c r="G32" s="206"/>
      <c r="H32" s="206"/>
      <c r="I32" s="206"/>
      <c r="J32" s="206"/>
      <c r="K32" s="206"/>
      <c r="L32" s="206"/>
      <c r="M32" s="206"/>
      <c r="N32" s="206"/>
      <c r="O32" s="206"/>
      <c r="P32" s="206"/>
      <c r="Q32" s="206"/>
      <c r="R32" s="206"/>
      <c r="S32" s="206"/>
      <c r="T32" s="206"/>
      <c r="U32" s="534"/>
      <c r="V32" s="534"/>
      <c r="W32" s="534"/>
    </row>
    <row r="33" ht="15.75" customHeight="1">
      <c r="A33" s="252">
        <v>3.0</v>
      </c>
      <c r="B33" s="252">
        <v>4.249999</v>
      </c>
      <c r="C33" s="252" t="s">
        <v>875</v>
      </c>
      <c r="D33" s="667">
        <v>0.008872</v>
      </c>
      <c r="E33" s="206"/>
      <c r="F33" s="206"/>
      <c r="G33" s="206"/>
      <c r="H33" s="206"/>
      <c r="I33" s="206"/>
      <c r="J33" s="206"/>
      <c r="K33" s="206"/>
      <c r="L33" s="206"/>
      <c r="M33" s="206"/>
      <c r="N33" s="206"/>
      <c r="O33" s="206"/>
      <c r="P33" s="206"/>
      <c r="Q33" s="206"/>
      <c r="R33" s="206"/>
      <c r="S33" s="206"/>
      <c r="T33" s="206"/>
      <c r="U33" s="534"/>
      <c r="V33" s="534"/>
      <c r="W33" s="534"/>
    </row>
    <row r="34" ht="15.75" customHeight="1">
      <c r="A34" s="252">
        <v>4.25</v>
      </c>
      <c r="B34" s="252">
        <v>5.499999</v>
      </c>
      <c r="C34" s="252" t="s">
        <v>876</v>
      </c>
      <c r="D34" s="667">
        <v>0.007751000000000001</v>
      </c>
      <c r="E34" s="206"/>
      <c r="F34" s="206"/>
      <c r="G34" s="206"/>
      <c r="H34" s="206"/>
      <c r="I34" s="206"/>
      <c r="J34" s="206"/>
      <c r="K34" s="206"/>
      <c r="L34" s="206"/>
      <c r="M34" s="206"/>
      <c r="N34" s="206"/>
      <c r="O34" s="206"/>
      <c r="P34" s="206"/>
      <c r="Q34" s="206"/>
      <c r="R34" s="206"/>
      <c r="S34" s="206"/>
      <c r="T34" s="206"/>
      <c r="U34" s="534"/>
      <c r="V34" s="534"/>
      <c r="W34" s="534"/>
    </row>
    <row r="35" ht="15.75" customHeight="1">
      <c r="A35" s="252">
        <v>5.5</v>
      </c>
      <c r="B35" s="252">
        <v>6.499999</v>
      </c>
      <c r="C35" s="252" t="s">
        <v>878</v>
      </c>
      <c r="D35" s="667">
        <v>0.007003000000000001</v>
      </c>
      <c r="E35" s="206"/>
      <c r="F35" s="206"/>
      <c r="G35" s="206"/>
      <c r="H35" s="206"/>
      <c r="I35" s="206"/>
      <c r="J35" s="206"/>
      <c r="K35" s="206"/>
      <c r="L35" s="206"/>
      <c r="M35" s="206"/>
      <c r="N35" s="206"/>
      <c r="O35" s="206"/>
      <c r="P35" s="206"/>
      <c r="Q35" s="206"/>
      <c r="R35" s="206"/>
      <c r="S35" s="206"/>
      <c r="T35" s="206"/>
      <c r="U35" s="534"/>
      <c r="V35" s="534"/>
      <c r="W35" s="534"/>
    </row>
    <row r="36" ht="15.75" customHeight="1">
      <c r="A36" s="252">
        <v>6.5</v>
      </c>
      <c r="B36" s="252">
        <v>8.499999</v>
      </c>
      <c r="C36" s="252" t="s">
        <v>879</v>
      </c>
      <c r="D36" s="667">
        <v>0.005506</v>
      </c>
      <c r="E36" s="206"/>
      <c r="F36" s="206"/>
      <c r="G36" s="206"/>
      <c r="H36" s="206"/>
      <c r="I36" s="206"/>
      <c r="J36" s="206"/>
      <c r="K36" s="206"/>
      <c r="L36" s="206"/>
      <c r="M36" s="206"/>
      <c r="N36" s="206"/>
      <c r="O36" s="206"/>
      <c r="P36" s="206"/>
      <c r="Q36" s="206"/>
      <c r="R36" s="206"/>
      <c r="S36" s="206"/>
      <c r="T36" s="206"/>
      <c r="U36" s="534"/>
      <c r="V36" s="534"/>
      <c r="W36" s="534"/>
    </row>
    <row r="37" ht="15.75" customHeight="1">
      <c r="A37" s="280">
        <v>8.5</v>
      </c>
      <c r="B37" s="252">
        <v>100000.0</v>
      </c>
      <c r="C37" s="252" t="s">
        <v>880</v>
      </c>
      <c r="D37" s="667">
        <v>0.004</v>
      </c>
      <c r="E37" s="206"/>
      <c r="F37" s="206"/>
      <c r="G37" s="206"/>
      <c r="H37" s="206"/>
      <c r="I37" s="206"/>
      <c r="J37" s="206"/>
      <c r="K37" s="206"/>
      <c r="L37" s="206"/>
      <c r="M37" s="206"/>
      <c r="N37" s="206"/>
      <c r="O37" s="206"/>
      <c r="P37" s="206"/>
      <c r="Q37" s="206"/>
      <c r="R37" s="206"/>
      <c r="S37" s="206"/>
      <c r="T37" s="206"/>
      <c r="U37" s="534"/>
      <c r="V37" s="534"/>
      <c r="W37" s="534"/>
    </row>
    <row r="38" ht="15.75" customHeight="1">
      <c r="A38" s="206"/>
      <c r="B38" s="206"/>
      <c r="C38" s="206"/>
      <c r="D38" s="206"/>
      <c r="E38" s="206"/>
      <c r="F38" s="206"/>
      <c r="G38" s="206"/>
      <c r="H38" s="206"/>
      <c r="I38" s="206"/>
      <c r="J38" s="206"/>
      <c r="K38" s="206"/>
      <c r="L38" s="206"/>
      <c r="M38" s="206"/>
      <c r="N38" s="206"/>
      <c r="O38" s="206"/>
      <c r="P38" s="206"/>
      <c r="Q38" s="206"/>
      <c r="R38" s="206"/>
      <c r="S38" s="206"/>
      <c r="T38" s="206"/>
      <c r="U38" s="534"/>
      <c r="V38" s="534"/>
      <c r="W38" s="534"/>
    </row>
    <row r="39" ht="15.75" customHeight="1">
      <c r="A39" s="209" t="s">
        <v>881</v>
      </c>
      <c r="B39" s="206"/>
      <c r="C39" s="206"/>
      <c r="D39" s="206"/>
      <c r="E39" s="206"/>
      <c r="F39" s="206"/>
      <c r="G39" s="206"/>
      <c r="H39" s="206"/>
      <c r="I39" s="206"/>
      <c r="J39" s="206"/>
      <c r="K39" s="206"/>
      <c r="L39" s="206"/>
      <c r="M39" s="206"/>
      <c r="N39" s="206"/>
      <c r="O39" s="206"/>
      <c r="P39" s="206"/>
      <c r="Q39" s="206"/>
      <c r="R39" s="206"/>
      <c r="S39" s="206"/>
      <c r="T39" s="206"/>
      <c r="U39" s="534"/>
      <c r="V39" s="534"/>
      <c r="W39" s="534"/>
    </row>
    <row r="40" ht="15.75" customHeight="1">
      <c r="A40" s="261" t="s">
        <v>841</v>
      </c>
      <c r="B40" s="496"/>
      <c r="C40" s="252"/>
      <c r="D40" s="252"/>
      <c r="E40" s="206"/>
      <c r="F40" s="206"/>
      <c r="G40" s="206"/>
      <c r="H40" s="206"/>
      <c r="I40" s="206"/>
      <c r="J40" s="206"/>
      <c r="K40" s="206"/>
      <c r="L40" s="206"/>
      <c r="M40" s="206"/>
      <c r="N40" s="206"/>
      <c r="O40" s="206"/>
      <c r="P40" s="206"/>
      <c r="Q40" s="206"/>
      <c r="R40" s="206"/>
      <c r="S40" s="206"/>
      <c r="T40" s="206"/>
      <c r="U40" s="534"/>
      <c r="V40" s="534"/>
      <c r="W40" s="534"/>
    </row>
    <row r="41" ht="15.75" customHeight="1">
      <c r="A41" s="252" t="s">
        <v>883</v>
      </c>
      <c r="B41" s="252" t="s">
        <v>845</v>
      </c>
      <c r="C41" s="252" t="s">
        <v>846</v>
      </c>
      <c r="D41" s="252" t="s">
        <v>847</v>
      </c>
      <c r="E41" s="206"/>
      <c r="F41" s="206"/>
      <c r="G41" s="206"/>
      <c r="H41" s="206"/>
      <c r="I41" s="206"/>
      <c r="J41" s="206"/>
      <c r="K41" s="206"/>
      <c r="L41" s="206"/>
      <c r="M41" s="206"/>
      <c r="N41" s="206"/>
      <c r="O41" s="206"/>
      <c r="P41" s="206"/>
      <c r="Q41" s="206"/>
      <c r="R41" s="206"/>
      <c r="S41" s="206"/>
      <c r="T41" s="206"/>
      <c r="U41" s="534"/>
      <c r="V41" s="534"/>
      <c r="W41" s="534"/>
    </row>
    <row r="42" ht="15.75" customHeight="1">
      <c r="A42" s="252">
        <v>-100000.0</v>
      </c>
      <c r="B42" s="252">
        <v>0.499999</v>
      </c>
      <c r="C42" s="252" t="s">
        <v>851</v>
      </c>
      <c r="D42" s="667">
        <v>0.19</v>
      </c>
      <c r="E42" s="206"/>
      <c r="F42" s="206"/>
      <c r="G42" s="225" t="s">
        <v>846</v>
      </c>
      <c r="H42" s="225" t="s">
        <v>847</v>
      </c>
      <c r="I42" s="206"/>
      <c r="J42" s="206"/>
      <c r="K42" s="206"/>
      <c r="L42" s="225"/>
      <c r="M42" s="225"/>
      <c r="N42" s="206"/>
      <c r="O42" s="206"/>
      <c r="P42" s="206"/>
      <c r="Q42" s="206"/>
      <c r="R42" s="206"/>
      <c r="S42" s="206"/>
      <c r="T42" s="206"/>
      <c r="U42" s="534"/>
      <c r="V42" s="534"/>
      <c r="W42" s="534"/>
    </row>
    <row r="43" ht="15.75" customHeight="1">
      <c r="A43" s="252">
        <v>0.5</v>
      </c>
      <c r="B43" s="252">
        <v>0.799999</v>
      </c>
      <c r="C43" s="252" t="s">
        <v>853</v>
      </c>
      <c r="D43" s="667">
        <v>0.16</v>
      </c>
      <c r="E43" s="206"/>
      <c r="F43" s="206"/>
      <c r="G43" s="252" t="s">
        <v>878</v>
      </c>
      <c r="H43" s="667">
        <v>0.007003000000000001</v>
      </c>
      <c r="I43" s="206"/>
      <c r="J43" s="206"/>
      <c r="K43" s="206"/>
      <c r="L43" s="252"/>
      <c r="M43" s="667"/>
      <c r="N43" s="206"/>
      <c r="O43" s="206"/>
      <c r="P43" s="206"/>
      <c r="Q43" s="206"/>
      <c r="R43" s="206"/>
      <c r="S43" s="206"/>
      <c r="T43" s="206"/>
      <c r="U43" s="534"/>
      <c r="V43" s="534"/>
      <c r="W43" s="534"/>
    </row>
    <row r="44" ht="15.75" customHeight="1">
      <c r="A44" s="252">
        <v>0.8</v>
      </c>
      <c r="B44" s="252">
        <v>1.249999</v>
      </c>
      <c r="C44" s="252" t="s">
        <v>856</v>
      </c>
      <c r="D44" s="667">
        <v>0.126101</v>
      </c>
      <c r="E44" s="206"/>
      <c r="F44" s="206"/>
      <c r="G44" s="252" t="s">
        <v>876</v>
      </c>
      <c r="H44" s="667">
        <v>0.007751000000000001</v>
      </c>
      <c r="I44" s="206"/>
      <c r="J44" s="206"/>
      <c r="K44" s="206"/>
      <c r="L44" s="252"/>
      <c r="M44" s="667"/>
      <c r="N44" s="206"/>
      <c r="O44" s="206"/>
      <c r="P44" s="206"/>
      <c r="Q44" s="206"/>
      <c r="R44" s="206"/>
      <c r="S44" s="206"/>
      <c r="T44" s="206"/>
      <c r="U44" s="534"/>
      <c r="V44" s="534"/>
      <c r="W44" s="534"/>
    </row>
    <row r="45" ht="15.75" customHeight="1">
      <c r="A45" s="252">
        <v>1.25</v>
      </c>
      <c r="B45" s="252">
        <v>1.499999</v>
      </c>
      <c r="C45" s="252" t="s">
        <v>858</v>
      </c>
      <c r="D45" s="667">
        <v>0.0885</v>
      </c>
      <c r="E45" s="206"/>
      <c r="F45" s="206"/>
      <c r="G45" s="252" t="s">
        <v>875</v>
      </c>
      <c r="H45" s="667">
        <v>0.008872</v>
      </c>
      <c r="I45" s="206"/>
      <c r="J45" s="206"/>
      <c r="K45" s="206"/>
      <c r="L45" s="252"/>
      <c r="M45" s="667"/>
      <c r="N45" s="206"/>
      <c r="O45" s="206"/>
      <c r="P45" s="206"/>
      <c r="Q45" s="206"/>
      <c r="R45" s="206"/>
      <c r="S45" s="206"/>
      <c r="T45" s="206"/>
      <c r="U45" s="534"/>
      <c r="V45" s="534"/>
      <c r="W45" s="534"/>
    </row>
    <row r="46" ht="15.75" customHeight="1">
      <c r="A46" s="252">
        <v>1.5</v>
      </c>
      <c r="B46" s="252">
        <v>1.999999</v>
      </c>
      <c r="C46" s="252" t="s">
        <v>862</v>
      </c>
      <c r="D46" s="667">
        <v>0.050899</v>
      </c>
      <c r="E46" s="206"/>
      <c r="F46" s="206"/>
      <c r="G46" s="252" t="s">
        <v>879</v>
      </c>
      <c r="H46" s="667">
        <v>0.005506</v>
      </c>
      <c r="I46" s="206"/>
      <c r="J46" s="206"/>
      <c r="K46" s="206"/>
      <c r="L46" s="252"/>
      <c r="M46" s="667"/>
      <c r="N46" s="206"/>
      <c r="O46" s="206"/>
      <c r="P46" s="206"/>
      <c r="Q46" s="206"/>
      <c r="R46" s="206"/>
      <c r="S46" s="206"/>
      <c r="T46" s="206"/>
      <c r="U46" s="534"/>
      <c r="V46" s="534"/>
      <c r="W46" s="534"/>
    </row>
    <row r="47" ht="15.75" customHeight="1">
      <c r="A47" s="252">
        <v>2.0</v>
      </c>
      <c r="B47" s="252">
        <v>2.499999</v>
      </c>
      <c r="C47" s="252" t="s">
        <v>864</v>
      </c>
      <c r="D47" s="667">
        <v>0.032098</v>
      </c>
      <c r="E47" s="206"/>
      <c r="F47" s="206"/>
      <c r="G47" s="252" t="s">
        <v>880</v>
      </c>
      <c r="H47" s="667">
        <v>0.004</v>
      </c>
      <c r="I47" s="206"/>
      <c r="J47" s="206"/>
      <c r="K47" s="206"/>
      <c r="L47" s="252"/>
      <c r="M47" s="667"/>
      <c r="N47" s="206"/>
      <c r="O47" s="206"/>
      <c r="P47" s="206"/>
      <c r="Q47" s="206"/>
      <c r="R47" s="206"/>
      <c r="S47" s="206"/>
      <c r="T47" s="206"/>
      <c r="U47" s="534"/>
      <c r="V47" s="534"/>
      <c r="W47" s="534"/>
    </row>
    <row r="48" ht="15.75" customHeight="1">
      <c r="A48" s="252">
        <v>2.5</v>
      </c>
      <c r="B48" s="252">
        <v>2.999999</v>
      </c>
      <c r="C48" s="252" t="s">
        <v>867</v>
      </c>
      <c r="D48" s="667">
        <v>0.027531</v>
      </c>
      <c r="E48" s="206"/>
      <c r="F48" s="206"/>
      <c r="G48" s="252" t="s">
        <v>867</v>
      </c>
      <c r="H48" s="667">
        <v>0.027531</v>
      </c>
      <c r="I48" s="206"/>
      <c r="J48" s="206"/>
      <c r="K48" s="206"/>
      <c r="L48" s="252"/>
      <c r="M48" s="667"/>
      <c r="N48" s="206"/>
      <c r="O48" s="206"/>
      <c r="P48" s="206"/>
      <c r="Q48" s="206"/>
      <c r="R48" s="206"/>
      <c r="S48" s="206"/>
      <c r="T48" s="206"/>
      <c r="U48" s="534"/>
      <c r="V48" s="534"/>
      <c r="W48" s="534"/>
    </row>
    <row r="49" ht="15.75" customHeight="1">
      <c r="A49" s="252">
        <v>3.0</v>
      </c>
      <c r="B49" s="252">
        <v>3.499999</v>
      </c>
      <c r="C49" s="252" t="s">
        <v>869</v>
      </c>
      <c r="D49" s="667">
        <v>0.018395</v>
      </c>
      <c r="E49" s="206"/>
      <c r="F49" s="206"/>
      <c r="G49" s="252" t="s">
        <v>864</v>
      </c>
      <c r="H49" s="667">
        <v>0.032098</v>
      </c>
      <c r="I49" s="206"/>
      <c r="J49" s="206"/>
      <c r="K49" s="206"/>
      <c r="L49" s="252"/>
      <c r="M49" s="667"/>
      <c r="N49" s="206"/>
      <c r="O49" s="206"/>
      <c r="P49" s="206"/>
      <c r="Q49" s="206"/>
      <c r="R49" s="206"/>
      <c r="S49" s="206"/>
      <c r="T49" s="206"/>
      <c r="U49" s="534"/>
      <c r="V49" s="534"/>
      <c r="W49" s="534"/>
    </row>
    <row r="50" ht="15.75" customHeight="1">
      <c r="A50" s="252">
        <v>3.5</v>
      </c>
      <c r="B50" s="252">
        <v>3.9999999</v>
      </c>
      <c r="C50" s="252" t="s">
        <v>871</v>
      </c>
      <c r="D50" s="667">
        <v>0.013828</v>
      </c>
      <c r="E50" s="206"/>
      <c r="F50" s="206"/>
      <c r="G50" s="252" t="s">
        <v>862</v>
      </c>
      <c r="H50" s="667">
        <v>0.050899</v>
      </c>
      <c r="I50" s="206"/>
      <c r="J50" s="206"/>
      <c r="K50" s="206"/>
      <c r="L50" s="252"/>
      <c r="M50" s="667"/>
      <c r="N50" s="206"/>
      <c r="O50" s="206"/>
      <c r="P50" s="206"/>
      <c r="Q50" s="206"/>
      <c r="R50" s="206"/>
      <c r="S50" s="206"/>
      <c r="T50" s="206"/>
      <c r="U50" s="534"/>
      <c r="V50" s="534"/>
      <c r="W50" s="534"/>
    </row>
    <row r="51" ht="15.75" customHeight="1">
      <c r="A51" s="252">
        <v>4.0</v>
      </c>
      <c r="B51" s="252">
        <v>4.499999</v>
      </c>
      <c r="C51" s="252" t="s">
        <v>874</v>
      </c>
      <c r="D51" s="667">
        <v>0.011113</v>
      </c>
      <c r="E51" s="206"/>
      <c r="F51" s="206"/>
      <c r="G51" s="252" t="s">
        <v>871</v>
      </c>
      <c r="H51" s="667">
        <v>0.013828</v>
      </c>
      <c r="I51" s="206"/>
      <c r="J51" s="206"/>
      <c r="K51" s="206"/>
      <c r="L51" s="252"/>
      <c r="M51" s="667"/>
      <c r="N51" s="206"/>
      <c r="O51" s="206"/>
      <c r="P51" s="206"/>
      <c r="Q51" s="206"/>
      <c r="R51" s="206"/>
      <c r="S51" s="206"/>
      <c r="T51" s="206"/>
      <c r="U51" s="534"/>
      <c r="V51" s="534"/>
      <c r="W51" s="534"/>
    </row>
    <row r="52" ht="15.75" customHeight="1">
      <c r="A52" s="252">
        <v>4.5</v>
      </c>
      <c r="B52" s="252">
        <v>5.999999</v>
      </c>
      <c r="C52" s="252" t="s">
        <v>875</v>
      </c>
      <c r="D52" s="667">
        <v>0.008872</v>
      </c>
      <c r="E52" s="206"/>
      <c r="F52" s="206"/>
      <c r="G52" s="252" t="s">
        <v>869</v>
      </c>
      <c r="H52" s="667">
        <v>0.018395</v>
      </c>
      <c r="I52" s="206"/>
      <c r="J52" s="206"/>
      <c r="K52" s="206"/>
      <c r="L52" s="252"/>
      <c r="M52" s="667"/>
      <c r="N52" s="206"/>
      <c r="O52" s="206"/>
      <c r="P52" s="206"/>
      <c r="Q52" s="206"/>
      <c r="R52" s="206"/>
      <c r="S52" s="206"/>
      <c r="T52" s="206"/>
      <c r="U52" s="534"/>
      <c r="V52" s="534"/>
      <c r="W52" s="534"/>
    </row>
    <row r="53" ht="15.75" customHeight="1">
      <c r="A53" s="252">
        <v>6.0</v>
      </c>
      <c r="B53" s="252">
        <v>7.499999</v>
      </c>
      <c r="C53" s="252" t="s">
        <v>876</v>
      </c>
      <c r="D53" s="667">
        <v>0.007751000000000001</v>
      </c>
      <c r="E53" s="206"/>
      <c r="F53" s="206"/>
      <c r="G53" s="252" t="s">
        <v>874</v>
      </c>
      <c r="H53" s="667">
        <v>0.011113</v>
      </c>
      <c r="I53" s="206"/>
      <c r="J53" s="206"/>
      <c r="K53" s="206"/>
      <c r="L53" s="252"/>
      <c r="M53" s="667"/>
      <c r="N53" s="206"/>
      <c r="O53" s="206"/>
      <c r="P53" s="206"/>
      <c r="Q53" s="206"/>
      <c r="R53" s="206"/>
      <c r="S53" s="206"/>
      <c r="T53" s="206"/>
      <c r="U53" s="534"/>
      <c r="V53" s="534"/>
      <c r="W53" s="534"/>
    </row>
    <row r="54" ht="15.75" customHeight="1">
      <c r="A54" s="252">
        <v>7.5</v>
      </c>
      <c r="B54" s="252">
        <v>9.499999</v>
      </c>
      <c r="C54" s="252" t="s">
        <v>878</v>
      </c>
      <c r="D54" s="667">
        <v>0.007003000000000001</v>
      </c>
      <c r="E54" s="206"/>
      <c r="F54" s="206"/>
      <c r="G54" s="252" t="s">
        <v>853</v>
      </c>
      <c r="H54" s="667">
        <v>0.16</v>
      </c>
      <c r="I54" s="206"/>
      <c r="J54" s="206"/>
      <c r="K54" s="206"/>
      <c r="L54" s="252"/>
      <c r="M54" s="667"/>
      <c r="N54" s="206"/>
      <c r="O54" s="206"/>
      <c r="P54" s="206"/>
      <c r="Q54" s="206"/>
      <c r="R54" s="206"/>
      <c r="S54" s="206"/>
      <c r="T54" s="206"/>
      <c r="U54" s="534"/>
      <c r="V54" s="534"/>
      <c r="W54" s="534"/>
    </row>
    <row r="55" ht="15.75" customHeight="1">
      <c r="A55" s="252">
        <v>9.5</v>
      </c>
      <c r="B55" s="252">
        <v>12.499999</v>
      </c>
      <c r="C55" s="252" t="s">
        <v>879</v>
      </c>
      <c r="D55" s="667">
        <v>0.005506</v>
      </c>
      <c r="E55" s="206"/>
      <c r="F55" s="206"/>
      <c r="G55" s="252" t="s">
        <v>856</v>
      </c>
      <c r="H55" s="667">
        <v>0.126101</v>
      </c>
      <c r="I55" s="206"/>
      <c r="J55" s="206"/>
      <c r="K55" s="206"/>
      <c r="L55" s="252"/>
      <c r="M55" s="667"/>
      <c r="N55" s="206"/>
      <c r="O55" s="206"/>
      <c r="P55" s="206"/>
      <c r="Q55" s="206"/>
      <c r="R55" s="206"/>
      <c r="S55" s="206"/>
      <c r="T55" s="206"/>
      <c r="U55" s="534"/>
      <c r="V55" s="534"/>
      <c r="W55" s="534"/>
    </row>
    <row r="56" ht="15.75" customHeight="1">
      <c r="A56" s="252">
        <v>12.5</v>
      </c>
      <c r="B56" s="252">
        <v>100000.0</v>
      </c>
      <c r="C56" s="252" t="s">
        <v>880</v>
      </c>
      <c r="D56" s="667">
        <v>0.004</v>
      </c>
      <c r="E56" s="206"/>
      <c r="F56" s="206"/>
      <c r="G56" s="252" t="s">
        <v>858</v>
      </c>
      <c r="H56" s="667">
        <v>0.0885</v>
      </c>
      <c r="I56" s="206"/>
      <c r="J56" s="206"/>
      <c r="K56" s="206"/>
      <c r="L56" s="252"/>
      <c r="M56" s="667"/>
      <c r="N56" s="206"/>
      <c r="O56" s="206"/>
      <c r="P56" s="206"/>
      <c r="Q56" s="206"/>
      <c r="R56" s="206"/>
      <c r="S56" s="206"/>
      <c r="T56" s="206"/>
      <c r="U56" s="534"/>
      <c r="V56" s="534"/>
      <c r="W56" s="534"/>
    </row>
    <row r="57" ht="15.75" customHeight="1">
      <c r="A57" s="206"/>
      <c r="B57" s="206"/>
      <c r="C57" s="206"/>
      <c r="D57" s="206"/>
      <c r="E57" s="206"/>
      <c r="F57" s="206"/>
      <c r="G57" s="252" t="s">
        <v>851</v>
      </c>
      <c r="H57" s="667">
        <v>0.19</v>
      </c>
      <c r="I57" s="206"/>
      <c r="J57" s="206"/>
      <c r="K57" s="206"/>
      <c r="L57" s="252"/>
      <c r="M57" s="667"/>
      <c r="N57" s="206"/>
      <c r="O57" s="206"/>
      <c r="P57" s="206"/>
      <c r="Q57" s="206"/>
      <c r="R57" s="206"/>
      <c r="S57" s="206"/>
      <c r="T57" s="206"/>
      <c r="U57" s="534"/>
      <c r="V57" s="534"/>
      <c r="W57" s="534"/>
    </row>
    <row r="58" ht="15.75" customHeight="1">
      <c r="A58" s="206"/>
      <c r="B58" s="206"/>
      <c r="C58" s="206"/>
      <c r="D58" s="206"/>
      <c r="E58" s="206"/>
      <c r="F58" s="206"/>
      <c r="G58" s="206"/>
      <c r="H58" s="206"/>
      <c r="I58" s="206"/>
      <c r="J58" s="206"/>
      <c r="K58" s="206"/>
      <c r="L58" s="206"/>
      <c r="M58" s="206"/>
      <c r="N58" s="206"/>
      <c r="O58" s="206"/>
      <c r="P58" s="206"/>
      <c r="Q58" s="206"/>
      <c r="R58" s="206"/>
      <c r="S58" s="206"/>
      <c r="T58" s="206"/>
      <c r="U58" s="534"/>
      <c r="V58" s="534"/>
      <c r="W58" s="534"/>
    </row>
    <row r="59" ht="15.75" customHeight="1">
      <c r="A59" s="206"/>
      <c r="B59" s="206"/>
      <c r="C59" s="206"/>
      <c r="D59" s="206"/>
      <c r="E59" s="206"/>
      <c r="F59" s="206"/>
      <c r="G59" s="206"/>
      <c r="H59" s="206"/>
      <c r="I59" s="206"/>
      <c r="J59" s="206"/>
      <c r="K59" s="206"/>
      <c r="L59" s="206"/>
      <c r="M59" s="206"/>
      <c r="N59" s="206"/>
      <c r="O59" s="206"/>
      <c r="P59" s="206"/>
      <c r="Q59" s="206"/>
      <c r="R59" s="206"/>
      <c r="S59" s="206"/>
      <c r="T59" s="206"/>
      <c r="U59" s="534"/>
      <c r="V59" s="534"/>
      <c r="W59" s="534"/>
    </row>
    <row r="60" ht="15.75" customHeight="1">
      <c r="A60" s="206"/>
      <c r="B60" s="206"/>
      <c r="C60" s="206"/>
      <c r="D60" s="206"/>
      <c r="E60" s="206"/>
      <c r="F60" s="206"/>
      <c r="G60" s="206"/>
      <c r="H60" s="206"/>
      <c r="I60" s="206"/>
      <c r="J60" s="206"/>
      <c r="K60" s="206"/>
      <c r="L60" s="206"/>
      <c r="M60" s="206"/>
      <c r="N60" s="206"/>
      <c r="O60" s="206"/>
      <c r="P60" s="206"/>
      <c r="Q60" s="206"/>
      <c r="R60" s="206"/>
      <c r="S60" s="206"/>
      <c r="T60" s="206"/>
      <c r="U60" s="534"/>
      <c r="V60" s="534"/>
      <c r="W60" s="534"/>
    </row>
    <row r="61" ht="15.75" customHeight="1">
      <c r="A61" s="206"/>
      <c r="B61" s="206"/>
      <c r="C61" s="206"/>
      <c r="D61" s="206"/>
      <c r="E61" s="206"/>
      <c r="F61" s="206"/>
      <c r="G61" s="206"/>
      <c r="H61" s="206"/>
      <c r="I61" s="206"/>
      <c r="J61" s="206"/>
      <c r="K61" s="206"/>
      <c r="L61" s="206"/>
      <c r="M61" s="206"/>
      <c r="N61" s="206"/>
      <c r="O61" s="206"/>
      <c r="P61" s="206"/>
      <c r="Q61" s="206"/>
      <c r="R61" s="206"/>
      <c r="S61" s="206"/>
      <c r="T61" s="206"/>
      <c r="U61" s="534"/>
      <c r="V61" s="534"/>
      <c r="W61" s="534"/>
    </row>
    <row r="62" ht="15.75" customHeight="1">
      <c r="A62" s="206"/>
      <c r="B62" s="206"/>
      <c r="C62" s="206"/>
      <c r="D62" s="206"/>
      <c r="E62" s="206"/>
      <c r="F62" s="206"/>
      <c r="G62" s="206"/>
      <c r="H62" s="206"/>
      <c r="I62" s="206"/>
      <c r="J62" s="206"/>
      <c r="K62" s="206"/>
      <c r="L62" s="206"/>
      <c r="M62" s="206"/>
      <c r="N62" s="206"/>
      <c r="O62" s="206"/>
      <c r="P62" s="206"/>
      <c r="Q62" s="206"/>
      <c r="R62" s="206"/>
      <c r="S62" s="206"/>
      <c r="T62" s="206"/>
      <c r="U62" s="9"/>
      <c r="V62" s="9"/>
      <c r="W62" s="9"/>
    </row>
    <row r="63" ht="15.75" customHeight="1">
      <c r="A63" s="206"/>
      <c r="B63" s="206"/>
      <c r="C63" s="206"/>
      <c r="D63" s="206"/>
      <c r="E63" s="206"/>
      <c r="F63" s="206"/>
      <c r="G63" s="206"/>
      <c r="H63" s="206"/>
      <c r="I63" s="206"/>
      <c r="J63" s="206"/>
      <c r="K63" s="206"/>
      <c r="L63" s="206"/>
      <c r="M63" s="206"/>
      <c r="N63" s="206"/>
      <c r="O63" s="206"/>
      <c r="P63" s="206"/>
      <c r="Q63" s="206"/>
      <c r="R63" s="206"/>
      <c r="S63" s="206"/>
      <c r="T63" s="206"/>
      <c r="U63" s="9"/>
      <c r="V63" s="9"/>
      <c r="W63" s="9"/>
    </row>
    <row r="64" ht="15.75" customHeight="1">
      <c r="A64" s="206"/>
      <c r="B64" s="206"/>
      <c r="C64" s="206"/>
      <c r="D64" s="206"/>
      <c r="E64" s="206"/>
      <c r="F64" s="206"/>
      <c r="G64" s="206"/>
      <c r="H64" s="206"/>
      <c r="I64" s="206"/>
      <c r="J64" s="206"/>
      <c r="K64" s="206"/>
      <c r="L64" s="206"/>
      <c r="M64" s="206"/>
      <c r="N64" s="206"/>
      <c r="O64" s="206"/>
      <c r="P64" s="206"/>
      <c r="Q64" s="206"/>
      <c r="R64" s="206"/>
      <c r="S64" s="206"/>
      <c r="T64" s="206"/>
      <c r="U64" s="9"/>
      <c r="V64" s="9"/>
      <c r="W64" s="9"/>
    </row>
    <row r="65" ht="15.75" customHeight="1">
      <c r="A65" s="206"/>
      <c r="B65" s="206"/>
      <c r="C65" s="206"/>
      <c r="D65" s="206"/>
      <c r="E65" s="206"/>
      <c r="F65" s="206"/>
      <c r="G65" s="206"/>
      <c r="H65" s="206"/>
      <c r="I65" s="206"/>
      <c r="J65" s="206"/>
      <c r="K65" s="206"/>
      <c r="L65" s="206"/>
      <c r="M65" s="206"/>
      <c r="N65" s="206"/>
      <c r="O65" s="206"/>
      <c r="P65" s="206"/>
      <c r="Q65" s="206"/>
      <c r="R65" s="206"/>
      <c r="S65" s="206"/>
      <c r="T65" s="206"/>
      <c r="U65" s="9"/>
      <c r="V65" s="9"/>
      <c r="W65" s="9"/>
    </row>
    <row r="66" ht="15.75" customHeight="1">
      <c r="A66" s="206"/>
      <c r="B66" s="206"/>
      <c r="C66" s="206"/>
      <c r="D66" s="206"/>
      <c r="E66" s="206"/>
      <c r="F66" s="206"/>
      <c r="G66" s="206"/>
      <c r="H66" s="206"/>
      <c r="I66" s="206"/>
      <c r="J66" s="206"/>
      <c r="K66" s="206"/>
      <c r="L66" s="206"/>
      <c r="M66" s="206"/>
      <c r="N66" s="206"/>
      <c r="O66" s="206"/>
      <c r="P66" s="206"/>
      <c r="Q66" s="206"/>
      <c r="R66" s="206"/>
      <c r="S66" s="206"/>
      <c r="T66" s="206"/>
      <c r="U66" s="9"/>
      <c r="V66" s="9"/>
      <c r="W66" s="9"/>
    </row>
    <row r="67" ht="15.75" customHeight="1">
      <c r="A67" s="206"/>
      <c r="B67" s="206"/>
      <c r="C67" s="206"/>
      <c r="D67" s="206"/>
      <c r="E67" s="206"/>
      <c r="F67" s="206"/>
      <c r="G67" s="206"/>
      <c r="H67" s="206"/>
      <c r="I67" s="206"/>
      <c r="J67" s="206"/>
      <c r="K67" s="206"/>
      <c r="L67" s="206"/>
      <c r="M67" s="206"/>
      <c r="N67" s="206"/>
      <c r="O67" s="206"/>
      <c r="P67" s="206"/>
      <c r="Q67" s="206"/>
      <c r="R67" s="206"/>
      <c r="S67" s="206"/>
      <c r="T67" s="206"/>
      <c r="U67" s="9"/>
      <c r="V67" s="9"/>
      <c r="W67" s="9"/>
    </row>
    <row r="68" ht="15.75" customHeight="1">
      <c r="A68" s="206"/>
      <c r="B68" s="206"/>
      <c r="C68" s="206"/>
      <c r="D68" s="206"/>
      <c r="E68" s="206"/>
      <c r="F68" s="206"/>
      <c r="G68" s="206"/>
      <c r="H68" s="206"/>
      <c r="I68" s="206"/>
      <c r="J68" s="206"/>
      <c r="K68" s="206"/>
      <c r="L68" s="206"/>
      <c r="M68" s="206"/>
      <c r="N68" s="206"/>
      <c r="O68" s="206"/>
      <c r="P68" s="206"/>
      <c r="Q68" s="206"/>
      <c r="R68" s="206"/>
      <c r="S68" s="206"/>
      <c r="T68" s="206"/>
      <c r="U68" s="9"/>
      <c r="V68" s="9"/>
      <c r="W68" s="9"/>
    </row>
    <row r="69" ht="15.75" customHeight="1">
      <c r="A69" s="206"/>
      <c r="B69" s="206"/>
      <c r="C69" s="206"/>
      <c r="D69" s="206"/>
      <c r="E69" s="206"/>
      <c r="F69" s="206"/>
      <c r="G69" s="206"/>
      <c r="H69" s="206"/>
      <c r="I69" s="206"/>
      <c r="J69" s="206"/>
      <c r="K69" s="206"/>
      <c r="L69" s="206"/>
      <c r="M69" s="206"/>
      <c r="N69" s="206"/>
      <c r="O69" s="206"/>
      <c r="P69" s="206"/>
      <c r="Q69" s="206"/>
      <c r="R69" s="206"/>
      <c r="S69" s="206"/>
      <c r="T69" s="206"/>
      <c r="U69" s="9"/>
      <c r="V69" s="9"/>
      <c r="W69" s="9"/>
    </row>
    <row r="70" ht="15.75" customHeight="1">
      <c r="A70" s="206"/>
      <c r="B70" s="206"/>
      <c r="C70" s="206"/>
      <c r="D70" s="206"/>
      <c r="E70" s="206"/>
      <c r="F70" s="206"/>
      <c r="G70" s="206"/>
      <c r="H70" s="206"/>
      <c r="I70" s="206"/>
      <c r="J70" s="206"/>
      <c r="K70" s="206"/>
      <c r="L70" s="206"/>
      <c r="M70" s="206"/>
      <c r="N70" s="206"/>
      <c r="O70" s="206"/>
      <c r="P70" s="206"/>
      <c r="Q70" s="206"/>
      <c r="R70" s="206"/>
      <c r="S70" s="206"/>
      <c r="T70" s="206"/>
      <c r="U70" s="9"/>
      <c r="V70" s="9"/>
      <c r="W70" s="9"/>
    </row>
    <row r="71" ht="15.75" customHeight="1">
      <c r="A71" s="206"/>
      <c r="B71" s="206"/>
      <c r="C71" s="206"/>
      <c r="D71" s="206"/>
      <c r="E71" s="206"/>
      <c r="F71" s="206"/>
      <c r="G71" s="206"/>
      <c r="H71" s="206"/>
      <c r="I71" s="206"/>
      <c r="J71" s="206"/>
      <c r="K71" s="206"/>
      <c r="L71" s="206"/>
      <c r="M71" s="206"/>
      <c r="N71" s="206"/>
      <c r="O71" s="206"/>
      <c r="P71" s="206"/>
      <c r="Q71" s="206"/>
      <c r="R71" s="206"/>
      <c r="S71" s="206"/>
      <c r="T71" s="206"/>
      <c r="U71" s="9"/>
      <c r="V71" s="9"/>
      <c r="W71" s="9"/>
    </row>
    <row r="72" ht="15.75" customHeight="1">
      <c r="A72" s="206"/>
      <c r="B72" s="206"/>
      <c r="C72" s="206"/>
      <c r="D72" s="206"/>
      <c r="E72" s="206"/>
      <c r="F72" s="206"/>
      <c r="G72" s="206"/>
      <c r="H72" s="206"/>
      <c r="I72" s="206"/>
      <c r="J72" s="206"/>
      <c r="K72" s="206"/>
      <c r="L72" s="206"/>
      <c r="M72" s="206"/>
      <c r="N72" s="206"/>
      <c r="O72" s="206"/>
      <c r="P72" s="206"/>
      <c r="Q72" s="206"/>
      <c r="R72" s="206"/>
      <c r="S72" s="206"/>
      <c r="T72" s="206"/>
      <c r="U72" s="9"/>
      <c r="V72" s="9"/>
      <c r="W72" s="9"/>
    </row>
    <row r="73" ht="15.75" customHeight="1">
      <c r="A73" s="77"/>
      <c r="B73" s="77"/>
      <c r="C73" s="77"/>
      <c r="D73" s="77"/>
      <c r="E73" s="77"/>
      <c r="F73" s="77"/>
      <c r="G73" s="77"/>
      <c r="H73" s="77"/>
      <c r="I73" s="77"/>
      <c r="J73" s="77"/>
      <c r="K73" s="77"/>
      <c r="L73" s="77"/>
      <c r="M73" s="77"/>
      <c r="N73" s="77"/>
      <c r="O73" s="77"/>
      <c r="P73" s="77"/>
      <c r="Q73" s="77"/>
      <c r="R73" s="77"/>
      <c r="S73" s="77"/>
      <c r="T73" s="77"/>
      <c r="U73" s="77"/>
      <c r="V73" s="77"/>
      <c r="W73" s="77"/>
    </row>
    <row r="74" ht="15.75" customHeight="1">
      <c r="A74" s="77"/>
      <c r="B74" s="77"/>
      <c r="C74" s="77"/>
      <c r="D74" s="77"/>
      <c r="E74" s="77"/>
      <c r="F74" s="77"/>
      <c r="G74" s="77"/>
      <c r="H74" s="77"/>
      <c r="I74" s="77"/>
      <c r="J74" s="77"/>
      <c r="K74" s="77"/>
      <c r="L74" s="77"/>
      <c r="M74" s="77"/>
      <c r="N74" s="77"/>
      <c r="O74" s="77"/>
      <c r="P74" s="77"/>
      <c r="Q74" s="77"/>
      <c r="R74" s="77"/>
      <c r="S74" s="77"/>
      <c r="T74" s="77"/>
      <c r="U74" s="77"/>
      <c r="V74" s="77"/>
      <c r="W74" s="77"/>
    </row>
    <row r="75" ht="15.75" customHeight="1">
      <c r="A75" s="77"/>
      <c r="B75" s="77"/>
      <c r="C75" s="77"/>
      <c r="D75" s="77"/>
      <c r="E75" s="77"/>
      <c r="F75" s="77"/>
      <c r="G75" s="77"/>
      <c r="H75" s="77"/>
      <c r="I75" s="77"/>
      <c r="J75" s="77"/>
      <c r="K75" s="77"/>
      <c r="L75" s="77"/>
      <c r="M75" s="77"/>
      <c r="N75" s="77"/>
      <c r="O75" s="77"/>
      <c r="P75" s="77"/>
      <c r="Q75" s="77"/>
      <c r="R75" s="77"/>
      <c r="S75" s="77"/>
      <c r="T75" s="77"/>
      <c r="U75" s="77"/>
      <c r="V75" s="77"/>
      <c r="W75" s="77"/>
    </row>
    <row r="76" ht="15.75" customHeight="1">
      <c r="A76" s="77"/>
      <c r="B76" s="77"/>
      <c r="C76" s="77"/>
      <c r="D76" s="77"/>
      <c r="E76" s="77"/>
      <c r="F76" s="77"/>
      <c r="G76" s="77"/>
      <c r="H76" s="77"/>
      <c r="I76" s="77"/>
      <c r="J76" s="77"/>
      <c r="K76" s="77"/>
      <c r="L76" s="77"/>
      <c r="M76" s="77"/>
      <c r="N76" s="77"/>
      <c r="O76" s="77"/>
      <c r="P76" s="77"/>
      <c r="Q76" s="77"/>
      <c r="R76" s="77"/>
      <c r="S76" s="77"/>
      <c r="T76" s="77"/>
      <c r="U76" s="77"/>
      <c r="V76" s="77"/>
      <c r="W76" s="77"/>
    </row>
    <row r="77" ht="15.75" customHeight="1">
      <c r="A77" s="77"/>
      <c r="B77" s="77"/>
      <c r="C77" s="77"/>
      <c r="D77" s="77"/>
      <c r="E77" s="77"/>
      <c r="F77" s="77"/>
      <c r="G77" s="77"/>
      <c r="H77" s="77"/>
      <c r="I77" s="77"/>
      <c r="J77" s="77"/>
      <c r="K77" s="77"/>
      <c r="L77" s="77"/>
      <c r="M77" s="77"/>
      <c r="N77" s="77"/>
      <c r="O77" s="77"/>
      <c r="P77" s="77"/>
      <c r="Q77" s="77"/>
      <c r="R77" s="77"/>
      <c r="S77" s="77"/>
      <c r="T77" s="77"/>
      <c r="U77" s="77"/>
      <c r="V77" s="77"/>
      <c r="W77" s="77"/>
    </row>
    <row r="78" ht="15.75" customHeight="1">
      <c r="A78" s="77"/>
      <c r="B78" s="77"/>
      <c r="C78" s="77"/>
      <c r="D78" s="77"/>
      <c r="E78" s="77"/>
      <c r="F78" s="77"/>
      <c r="G78" s="77"/>
      <c r="H78" s="77"/>
      <c r="I78" s="77"/>
      <c r="J78" s="77"/>
      <c r="K78" s="77"/>
      <c r="L78" s="77"/>
      <c r="M78" s="77"/>
      <c r="N78" s="77"/>
      <c r="O78" s="77"/>
      <c r="P78" s="77"/>
      <c r="Q78" s="77"/>
      <c r="R78" s="77"/>
      <c r="S78" s="77"/>
      <c r="T78" s="77"/>
      <c r="U78" s="77"/>
      <c r="V78" s="77"/>
      <c r="W78" s="77"/>
    </row>
    <row r="79" ht="15.75" customHeight="1">
      <c r="A79" s="77"/>
      <c r="B79" s="77"/>
      <c r="C79" s="77"/>
      <c r="D79" s="77"/>
      <c r="E79" s="77"/>
      <c r="F79" s="77"/>
      <c r="G79" s="77"/>
      <c r="H79" s="77"/>
      <c r="I79" s="77"/>
      <c r="J79" s="77"/>
      <c r="K79" s="77"/>
      <c r="L79" s="77"/>
      <c r="M79" s="77"/>
      <c r="N79" s="77"/>
      <c r="O79" s="77"/>
      <c r="P79" s="77"/>
      <c r="Q79" s="77"/>
      <c r="R79" s="77"/>
      <c r="S79" s="77"/>
      <c r="T79" s="77"/>
      <c r="U79" s="77"/>
      <c r="V79" s="77"/>
      <c r="W79" s="77"/>
    </row>
    <row r="80" ht="15.75" customHeight="1">
      <c r="A80" s="77"/>
      <c r="B80" s="77"/>
      <c r="C80" s="77"/>
      <c r="D80" s="77"/>
      <c r="E80" s="77"/>
      <c r="F80" s="77"/>
      <c r="G80" s="77"/>
      <c r="H80" s="77"/>
      <c r="I80" s="77"/>
      <c r="J80" s="77"/>
      <c r="K80" s="77"/>
      <c r="L80" s="77"/>
      <c r="M80" s="77"/>
      <c r="N80" s="77"/>
      <c r="O80" s="77"/>
      <c r="P80" s="77"/>
      <c r="Q80" s="77"/>
      <c r="R80" s="77"/>
      <c r="S80" s="77"/>
      <c r="T80" s="77"/>
      <c r="U80" s="77"/>
      <c r="V80" s="77"/>
      <c r="W80" s="77"/>
    </row>
    <row r="81" ht="15.75" customHeight="1">
      <c r="A81" s="77"/>
      <c r="B81" s="77"/>
      <c r="C81" s="77"/>
      <c r="D81" s="77"/>
      <c r="E81" s="77"/>
      <c r="F81" s="77"/>
      <c r="G81" s="77"/>
      <c r="H81" s="77"/>
      <c r="I81" s="77"/>
      <c r="J81" s="77"/>
      <c r="K81" s="77"/>
      <c r="L81" s="77"/>
      <c r="M81" s="77"/>
      <c r="N81" s="77"/>
      <c r="O81" s="77"/>
      <c r="P81" s="77"/>
      <c r="Q81" s="77"/>
      <c r="R81" s="77"/>
      <c r="S81" s="77"/>
      <c r="T81" s="77"/>
      <c r="U81" s="77"/>
      <c r="V81" s="77"/>
      <c r="W81" s="77"/>
    </row>
    <row r="82" ht="15.75" customHeight="1">
      <c r="A82" s="77"/>
      <c r="B82" s="77"/>
      <c r="C82" s="77"/>
      <c r="D82" s="77"/>
      <c r="E82" s="77"/>
      <c r="F82" s="77"/>
      <c r="G82" s="77"/>
      <c r="H82" s="77"/>
      <c r="I82" s="77"/>
      <c r="J82" s="77"/>
      <c r="K82" s="77"/>
      <c r="L82" s="77"/>
      <c r="M82" s="77"/>
      <c r="N82" s="77"/>
      <c r="O82" s="77"/>
      <c r="P82" s="77"/>
      <c r="Q82" s="77"/>
      <c r="R82" s="77"/>
      <c r="S82" s="77"/>
      <c r="T82" s="77"/>
      <c r="U82" s="77"/>
      <c r="V82" s="77"/>
      <c r="W82" s="77"/>
    </row>
    <row r="83" ht="15.75" customHeight="1">
      <c r="A83" s="77"/>
      <c r="B83" s="77"/>
      <c r="C83" s="77"/>
      <c r="D83" s="77"/>
      <c r="E83" s="77"/>
      <c r="F83" s="77"/>
      <c r="G83" s="77"/>
      <c r="H83" s="77"/>
      <c r="I83" s="77"/>
      <c r="J83" s="77"/>
      <c r="K83" s="77"/>
      <c r="L83" s="77"/>
      <c r="M83" s="77"/>
      <c r="N83" s="77"/>
      <c r="O83" s="77"/>
      <c r="P83" s="77"/>
      <c r="Q83" s="77"/>
      <c r="R83" s="77"/>
      <c r="S83" s="77"/>
      <c r="T83" s="77"/>
      <c r="U83" s="77"/>
      <c r="V83" s="77"/>
      <c r="W83" s="77"/>
    </row>
    <row r="84" ht="15.75" customHeight="1">
      <c r="A84" s="77"/>
      <c r="B84" s="77"/>
      <c r="C84" s="77"/>
      <c r="D84" s="77"/>
      <c r="E84" s="77"/>
      <c r="F84" s="77"/>
      <c r="G84" s="77"/>
      <c r="H84" s="77"/>
      <c r="I84" s="77"/>
      <c r="J84" s="77"/>
      <c r="K84" s="77"/>
      <c r="L84" s="77"/>
      <c r="M84" s="77"/>
      <c r="N84" s="77"/>
      <c r="O84" s="77"/>
      <c r="P84" s="77"/>
      <c r="Q84" s="77"/>
      <c r="R84" s="77"/>
      <c r="S84" s="77"/>
      <c r="T84" s="77"/>
      <c r="U84" s="77"/>
      <c r="V84" s="77"/>
      <c r="W84" s="77"/>
    </row>
    <row r="85" ht="15.75" customHeight="1">
      <c r="A85" s="77"/>
      <c r="B85" s="77"/>
      <c r="C85" s="77"/>
      <c r="D85" s="77"/>
      <c r="E85" s="77"/>
      <c r="F85" s="77"/>
      <c r="G85" s="77"/>
      <c r="H85" s="77"/>
      <c r="I85" s="77"/>
      <c r="J85" s="77"/>
      <c r="K85" s="77"/>
      <c r="L85" s="77"/>
      <c r="M85" s="77"/>
      <c r="N85" s="77"/>
      <c r="O85" s="77"/>
      <c r="P85" s="77"/>
      <c r="Q85" s="77"/>
      <c r="R85" s="77"/>
      <c r="S85" s="77"/>
      <c r="T85" s="77"/>
      <c r="U85" s="77"/>
      <c r="V85" s="77"/>
      <c r="W85" s="77"/>
    </row>
    <row r="86" ht="15.75" customHeight="1">
      <c r="A86" s="77"/>
      <c r="B86" s="77"/>
      <c r="C86" s="77"/>
      <c r="D86" s="77"/>
      <c r="E86" s="77"/>
      <c r="F86" s="77"/>
      <c r="G86" s="77"/>
      <c r="H86" s="77"/>
      <c r="I86" s="77"/>
      <c r="J86" s="77"/>
      <c r="K86" s="77"/>
      <c r="L86" s="77"/>
      <c r="M86" s="77"/>
      <c r="N86" s="77"/>
      <c r="O86" s="77"/>
      <c r="P86" s="77"/>
      <c r="Q86" s="77"/>
      <c r="R86" s="77"/>
      <c r="S86" s="77"/>
      <c r="T86" s="77"/>
      <c r="U86" s="77"/>
      <c r="V86" s="77"/>
      <c r="W86" s="77"/>
    </row>
    <row r="87" ht="15.75" customHeight="1">
      <c r="A87" s="77"/>
      <c r="B87" s="77"/>
      <c r="C87" s="77"/>
      <c r="D87" s="77"/>
      <c r="E87" s="77"/>
      <c r="F87" s="77"/>
      <c r="G87" s="77"/>
      <c r="H87" s="77"/>
      <c r="I87" s="77"/>
      <c r="J87" s="77"/>
      <c r="K87" s="77"/>
      <c r="L87" s="77"/>
      <c r="M87" s="77"/>
      <c r="N87" s="77"/>
      <c r="O87" s="77"/>
      <c r="P87" s="77"/>
      <c r="Q87" s="77"/>
      <c r="R87" s="77"/>
      <c r="S87" s="77"/>
      <c r="T87" s="77"/>
      <c r="U87" s="77"/>
      <c r="V87" s="77"/>
      <c r="W87" s="77"/>
    </row>
    <row r="88" ht="15.75" customHeight="1">
      <c r="A88" s="77"/>
      <c r="B88" s="77"/>
      <c r="C88" s="77"/>
      <c r="D88" s="77"/>
      <c r="E88" s="77"/>
      <c r="F88" s="77"/>
      <c r="G88" s="77"/>
      <c r="H88" s="77"/>
      <c r="I88" s="77"/>
      <c r="J88" s="77"/>
      <c r="K88" s="77"/>
      <c r="L88" s="77"/>
      <c r="M88" s="77"/>
      <c r="N88" s="77"/>
      <c r="O88" s="77"/>
      <c r="P88" s="77"/>
      <c r="Q88" s="77"/>
      <c r="R88" s="77"/>
      <c r="S88" s="77"/>
      <c r="T88" s="77"/>
      <c r="U88" s="77"/>
      <c r="V88" s="77"/>
      <c r="W88" s="77"/>
    </row>
    <row r="89" ht="15.75" customHeight="1">
      <c r="A89" s="77"/>
      <c r="B89" s="77"/>
      <c r="C89" s="77"/>
      <c r="D89" s="77"/>
      <c r="E89" s="77"/>
      <c r="F89" s="77"/>
      <c r="G89" s="77"/>
      <c r="H89" s="77"/>
      <c r="I89" s="77"/>
      <c r="J89" s="77"/>
      <c r="K89" s="77"/>
      <c r="L89" s="77"/>
      <c r="M89" s="77"/>
      <c r="N89" s="77"/>
      <c r="O89" s="77"/>
      <c r="P89" s="77"/>
      <c r="Q89" s="77"/>
      <c r="R89" s="77"/>
      <c r="S89" s="77"/>
      <c r="T89" s="77"/>
      <c r="U89" s="77"/>
      <c r="V89" s="77"/>
      <c r="W89" s="77"/>
    </row>
    <row r="90" ht="15.75" customHeight="1">
      <c r="A90" s="77"/>
      <c r="B90" s="77"/>
      <c r="C90" s="77"/>
      <c r="D90" s="77"/>
      <c r="E90" s="77"/>
      <c r="F90" s="77"/>
      <c r="G90" s="77"/>
      <c r="H90" s="77"/>
      <c r="I90" s="77"/>
      <c r="J90" s="77"/>
      <c r="K90" s="77"/>
      <c r="L90" s="77"/>
      <c r="M90" s="77"/>
      <c r="N90" s="77"/>
      <c r="O90" s="77"/>
      <c r="P90" s="77"/>
      <c r="Q90" s="77"/>
      <c r="R90" s="77"/>
      <c r="S90" s="77"/>
      <c r="T90" s="77"/>
      <c r="U90" s="77"/>
      <c r="V90" s="77"/>
      <c r="W90" s="77"/>
    </row>
    <row r="91" ht="15.75" customHeight="1">
      <c r="A91" s="77"/>
      <c r="B91" s="77"/>
      <c r="C91" s="77"/>
      <c r="D91" s="77"/>
      <c r="E91" s="77"/>
      <c r="F91" s="77"/>
      <c r="G91" s="77"/>
      <c r="H91" s="77"/>
      <c r="I91" s="77"/>
      <c r="J91" s="77"/>
      <c r="K91" s="77"/>
      <c r="L91" s="77"/>
      <c r="M91" s="77"/>
      <c r="N91" s="77"/>
      <c r="O91" s="77"/>
      <c r="P91" s="77"/>
      <c r="Q91" s="77"/>
      <c r="R91" s="77"/>
      <c r="S91" s="77"/>
      <c r="T91" s="77"/>
      <c r="U91" s="77"/>
      <c r="V91" s="77"/>
      <c r="W91" s="77"/>
    </row>
    <row r="92" ht="15.75" customHeight="1">
      <c r="A92" s="77"/>
      <c r="B92" s="77"/>
      <c r="C92" s="77"/>
      <c r="D92" s="77"/>
      <c r="E92" s="77"/>
      <c r="F92" s="77"/>
      <c r="G92" s="77"/>
      <c r="H92" s="77"/>
      <c r="I92" s="77"/>
      <c r="J92" s="77"/>
      <c r="K92" s="77"/>
      <c r="L92" s="77"/>
      <c r="M92" s="77"/>
      <c r="N92" s="77"/>
      <c r="O92" s="77"/>
      <c r="P92" s="77"/>
      <c r="Q92" s="77"/>
      <c r="R92" s="77"/>
      <c r="S92" s="77"/>
      <c r="T92" s="77"/>
      <c r="U92" s="77"/>
      <c r="V92" s="77"/>
      <c r="W92" s="77"/>
    </row>
    <row r="93" ht="15.75" customHeight="1">
      <c r="A93" s="77"/>
      <c r="B93" s="77"/>
      <c r="C93" s="77"/>
      <c r="D93" s="77"/>
      <c r="E93" s="77"/>
      <c r="F93" s="77"/>
      <c r="G93" s="77"/>
      <c r="H93" s="77"/>
      <c r="I93" s="77"/>
      <c r="J93" s="77"/>
      <c r="K93" s="77"/>
      <c r="L93" s="77"/>
      <c r="M93" s="77"/>
      <c r="N93" s="77"/>
      <c r="O93" s="77"/>
      <c r="P93" s="77"/>
      <c r="Q93" s="77"/>
      <c r="R93" s="77"/>
      <c r="S93" s="77"/>
      <c r="T93" s="77"/>
      <c r="U93" s="77"/>
      <c r="V93" s="77"/>
      <c r="W93" s="77"/>
    </row>
    <row r="94" ht="15.75" customHeight="1">
      <c r="A94" s="77"/>
      <c r="B94" s="77"/>
      <c r="C94" s="77"/>
      <c r="D94" s="77"/>
      <c r="E94" s="77"/>
      <c r="F94" s="77"/>
      <c r="G94" s="77"/>
      <c r="H94" s="77"/>
      <c r="I94" s="77"/>
      <c r="J94" s="77"/>
      <c r="K94" s="77"/>
      <c r="L94" s="77"/>
      <c r="M94" s="77"/>
      <c r="N94" s="77"/>
      <c r="O94" s="77"/>
      <c r="P94" s="77"/>
      <c r="Q94" s="77"/>
      <c r="R94" s="77"/>
      <c r="S94" s="77"/>
      <c r="T94" s="77"/>
      <c r="U94" s="77"/>
      <c r="V94" s="77"/>
      <c r="W94" s="77"/>
    </row>
    <row r="95" ht="15.75" customHeight="1">
      <c r="A95" s="77"/>
      <c r="B95" s="77"/>
      <c r="C95" s="77"/>
      <c r="D95" s="77"/>
      <c r="E95" s="77"/>
      <c r="F95" s="77"/>
      <c r="G95" s="77"/>
      <c r="H95" s="77"/>
      <c r="I95" s="77"/>
      <c r="J95" s="77"/>
      <c r="K95" s="77"/>
      <c r="L95" s="77"/>
      <c r="M95" s="77"/>
      <c r="N95" s="77"/>
      <c r="O95" s="77"/>
      <c r="P95" s="77"/>
      <c r="Q95" s="77"/>
      <c r="R95" s="77"/>
      <c r="S95" s="77"/>
      <c r="T95" s="77"/>
      <c r="U95" s="77"/>
      <c r="V95" s="77"/>
      <c r="W95" s="77"/>
    </row>
    <row r="96" ht="15.75" customHeight="1">
      <c r="A96" s="77"/>
      <c r="B96" s="77"/>
      <c r="C96" s="77"/>
      <c r="D96" s="77"/>
      <c r="E96" s="77"/>
      <c r="F96" s="77"/>
      <c r="G96" s="77"/>
      <c r="H96" s="77"/>
      <c r="I96" s="77"/>
      <c r="J96" s="77"/>
      <c r="K96" s="77"/>
      <c r="L96" s="77"/>
      <c r="M96" s="77"/>
      <c r="N96" s="77"/>
      <c r="O96" s="77"/>
      <c r="P96" s="77"/>
      <c r="Q96" s="77"/>
      <c r="R96" s="77"/>
      <c r="S96" s="77"/>
      <c r="T96" s="77"/>
      <c r="U96" s="77"/>
      <c r="V96" s="77"/>
      <c r="W96" s="77"/>
    </row>
    <row r="97" ht="15.75" customHeight="1">
      <c r="A97" s="77"/>
      <c r="B97" s="77"/>
      <c r="C97" s="77"/>
      <c r="D97" s="77"/>
      <c r="E97" s="77"/>
      <c r="F97" s="77"/>
      <c r="G97" s="77"/>
      <c r="H97" s="77"/>
      <c r="I97" s="77"/>
      <c r="J97" s="77"/>
      <c r="K97" s="77"/>
      <c r="L97" s="77"/>
      <c r="M97" s="77"/>
      <c r="N97" s="77"/>
      <c r="O97" s="77"/>
      <c r="P97" s="77"/>
      <c r="Q97" s="77"/>
      <c r="R97" s="77"/>
      <c r="S97" s="77"/>
      <c r="T97" s="77"/>
      <c r="U97" s="77"/>
      <c r="V97" s="77"/>
      <c r="W97" s="77"/>
    </row>
    <row r="98" ht="15.75" customHeight="1">
      <c r="A98" s="77"/>
      <c r="B98" s="77"/>
      <c r="C98" s="77"/>
      <c r="D98" s="77"/>
      <c r="E98" s="77"/>
      <c r="F98" s="77"/>
      <c r="G98" s="77"/>
      <c r="H98" s="77"/>
      <c r="I98" s="77"/>
      <c r="J98" s="77"/>
      <c r="K98" s="77"/>
      <c r="L98" s="77"/>
      <c r="M98" s="77"/>
      <c r="N98" s="77"/>
      <c r="O98" s="77"/>
      <c r="P98" s="77"/>
      <c r="Q98" s="77"/>
      <c r="R98" s="77"/>
      <c r="S98" s="77"/>
      <c r="T98" s="77"/>
      <c r="U98" s="77"/>
      <c r="V98" s="77"/>
      <c r="W98" s="77"/>
    </row>
    <row r="99" ht="15.75" customHeight="1">
      <c r="A99" s="77"/>
      <c r="B99" s="77"/>
      <c r="C99" s="77"/>
      <c r="D99" s="77"/>
      <c r="E99" s="77"/>
      <c r="F99" s="77"/>
      <c r="G99" s="77"/>
      <c r="H99" s="77"/>
      <c r="I99" s="77"/>
      <c r="J99" s="77"/>
      <c r="K99" s="77"/>
      <c r="L99" s="77"/>
      <c r="M99" s="77"/>
      <c r="N99" s="77"/>
      <c r="O99" s="77"/>
      <c r="P99" s="77"/>
      <c r="Q99" s="77"/>
      <c r="R99" s="77"/>
      <c r="S99" s="77"/>
      <c r="T99" s="77"/>
      <c r="U99" s="77"/>
      <c r="V99" s="77"/>
      <c r="W99" s="77"/>
    </row>
    <row r="100" ht="15.7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L3"/>
    <mergeCell ref="J20:T20"/>
    <mergeCell ref="A21:B21"/>
    <mergeCell ref="A40:B40"/>
  </mergeCells>
  <printOptions/>
  <pageMargins bottom="1.0" footer="0.0" header="0.0" left="0.75" right="0.75" top="1.0"/>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3.5"/>
    <col customWidth="1" min="3" max="3" width="8.5"/>
    <col customWidth="1" min="4" max="4" width="10.63"/>
    <col customWidth="1" min="5" max="6" width="8.63"/>
    <col customWidth="1" min="7" max="10" width="8.5"/>
    <col customWidth="1" min="11" max="26" width="11.25"/>
  </cols>
  <sheetData>
    <row r="1" ht="37.5" customHeight="1">
      <c r="A1" s="2" t="str">
        <f>'Input sheet'!A1</f>
        <v>Novo Nordisk (NYSE:NVO)</v>
      </c>
      <c r="B1" s="2"/>
      <c r="C1" s="2" t="s">
        <v>57</v>
      </c>
      <c r="D1" s="2">
        <f>'Input sheet'!D1</f>
        <v>39.4</v>
      </c>
      <c r="E1" s="7"/>
      <c r="F1" s="7"/>
      <c r="G1" s="7"/>
      <c r="H1" s="7"/>
      <c r="I1" s="7"/>
      <c r="J1" s="7"/>
    </row>
    <row r="2" ht="12.75" customHeight="1">
      <c r="A2" s="664" t="s">
        <v>843</v>
      </c>
    </row>
    <row r="3" ht="12.75" customHeight="1">
      <c r="A3" s="534" t="s">
        <v>849</v>
      </c>
      <c r="B3" s="534"/>
      <c r="C3" s="534"/>
      <c r="D3" s="534"/>
      <c r="E3" s="534"/>
      <c r="F3" s="534"/>
      <c r="G3" s="534"/>
      <c r="H3" s="534"/>
      <c r="I3" s="534"/>
      <c r="J3" s="534"/>
    </row>
    <row r="4" ht="12.75" customHeight="1">
      <c r="A4" s="534" t="s">
        <v>850</v>
      </c>
      <c r="B4" s="534"/>
      <c r="C4" s="534"/>
      <c r="D4" s="534"/>
      <c r="E4" s="534"/>
      <c r="F4" s="534"/>
      <c r="G4" s="534"/>
      <c r="H4" s="534"/>
      <c r="I4" s="534"/>
      <c r="J4" s="534"/>
    </row>
    <row r="5" ht="12.75" customHeight="1">
      <c r="A5" s="534"/>
      <c r="B5" s="534"/>
      <c r="C5" s="534"/>
      <c r="D5" s="534"/>
      <c r="E5" s="534"/>
      <c r="F5" s="534"/>
      <c r="G5" s="534"/>
      <c r="H5" s="534"/>
      <c r="I5" s="534"/>
      <c r="J5" s="534"/>
    </row>
    <row r="6" ht="12.75" customHeight="1">
      <c r="A6" s="668" t="s">
        <v>759</v>
      </c>
      <c r="B6" s="534"/>
      <c r="C6" s="534"/>
      <c r="D6" s="534"/>
      <c r="E6" s="534"/>
      <c r="F6" s="534"/>
      <c r="G6" s="534"/>
      <c r="H6" s="534"/>
      <c r="I6" s="534"/>
      <c r="J6" s="534"/>
    </row>
    <row r="7" ht="12.75" customHeight="1">
      <c r="A7" s="534" t="s">
        <v>855</v>
      </c>
      <c r="B7" s="534"/>
      <c r="C7" s="534"/>
      <c r="D7" s="534"/>
      <c r="E7" s="534"/>
      <c r="F7" s="669">
        <v>10</v>
      </c>
      <c r="G7" s="534" t="s">
        <v>859</v>
      </c>
      <c r="H7" s="534"/>
      <c r="I7" s="534"/>
      <c r="J7" s="534"/>
    </row>
    <row r="8" ht="12.75" customHeight="1">
      <c r="A8" s="534" t="s">
        <v>861</v>
      </c>
      <c r="B8" s="534"/>
      <c r="C8" s="534"/>
      <c r="D8" s="534"/>
      <c r="E8" s="534"/>
      <c r="F8" s="670">
        <f>'Income Statement'!L10</f>
        <v>8084.7</v>
      </c>
      <c r="G8" s="534" t="s">
        <v>866</v>
      </c>
      <c r="H8" s="534"/>
      <c r="I8" s="534"/>
      <c r="J8" s="534"/>
    </row>
    <row r="9" ht="12.75" customHeight="1">
      <c r="A9" s="534" t="s">
        <v>868</v>
      </c>
      <c r="B9" s="534"/>
      <c r="C9" s="534"/>
      <c r="D9" s="534"/>
      <c r="E9" s="534"/>
      <c r="F9" s="534"/>
      <c r="G9" s="534"/>
      <c r="H9" s="534"/>
      <c r="I9" s="534"/>
      <c r="J9" s="534"/>
    </row>
    <row r="10" ht="12.75" customHeight="1">
      <c r="A10" s="534" t="s">
        <v>870</v>
      </c>
      <c r="B10" s="534"/>
      <c r="C10" s="534"/>
      <c r="D10" s="534"/>
      <c r="E10" s="534"/>
      <c r="F10" s="534"/>
      <c r="G10" s="534"/>
      <c r="H10" s="534"/>
      <c r="I10" s="534"/>
      <c r="J10" s="534"/>
    </row>
    <row r="11" ht="12.75" customHeight="1">
      <c r="A11" s="671" t="s">
        <v>872</v>
      </c>
      <c r="B11" s="671" t="s">
        <v>873</v>
      </c>
      <c r="C11" s="672"/>
      <c r="D11" s="672"/>
      <c r="E11" s="672"/>
      <c r="F11" s="672"/>
      <c r="G11" s="672"/>
      <c r="H11" s="672"/>
      <c r="I11" s="672"/>
      <c r="J11" s="673"/>
    </row>
    <row r="12" ht="12.75" customHeight="1">
      <c r="A12" s="674">
        <v>-1.0</v>
      </c>
      <c r="B12" s="675">
        <f>'Income Statement'!K10</f>
        <v>7863.6</v>
      </c>
      <c r="C12" s="672" t="s">
        <v>877</v>
      </c>
      <c r="D12" s="672"/>
      <c r="E12" s="672"/>
      <c r="F12" s="672"/>
      <c r="G12" s="672"/>
      <c r="H12" s="672"/>
      <c r="I12" s="672"/>
      <c r="J12" s="673"/>
    </row>
    <row r="13" ht="12.75" customHeight="1">
      <c r="A13" s="674">
        <f t="shared" ref="A13:A21" si="1">IF((0-A12)&lt;$F$7,IF(A12&gt;-1,,A12-1),)</f>
        <v>-2.0</v>
      </c>
      <c r="B13" s="675">
        <f>'Income Statement'!J10</f>
        <v>6972.6</v>
      </c>
      <c r="C13" s="672" t="s">
        <v>882</v>
      </c>
      <c r="D13" s="672"/>
      <c r="E13" s="672"/>
      <c r="F13" s="672"/>
      <c r="G13" s="672"/>
      <c r="H13" s="672"/>
      <c r="I13" s="672"/>
      <c r="J13" s="673"/>
    </row>
    <row r="14" ht="12.75" customHeight="1">
      <c r="A14" s="674">
        <f t="shared" si="1"/>
        <v>-3.0</v>
      </c>
      <c r="B14" s="675">
        <f>'Income Statement'!I10</f>
        <v>4707.0</v>
      </c>
      <c r="C14" s="672"/>
      <c r="D14" s="672"/>
      <c r="E14" s="672"/>
      <c r="F14" s="672"/>
      <c r="G14" s="672"/>
      <c r="H14" s="672"/>
      <c r="I14" s="672"/>
      <c r="J14" s="673"/>
    </row>
    <row r="15" ht="12.75" customHeight="1">
      <c r="A15" s="674">
        <f t="shared" si="1"/>
        <v>-4.0</v>
      </c>
      <c r="B15" s="675">
        <f>'Income Statement'!H10</f>
        <v>3396.1</v>
      </c>
      <c r="C15" s="672"/>
      <c r="D15" s="672"/>
      <c r="E15" s="672"/>
      <c r="F15" s="672"/>
      <c r="G15" s="672"/>
      <c r="H15" s="672"/>
      <c r="I15" s="672"/>
      <c r="J15" s="673"/>
    </row>
    <row r="16" ht="12.75" customHeight="1">
      <c r="A16" s="674">
        <f t="shared" si="1"/>
        <v>-5.0</v>
      </c>
      <c r="B16" s="675">
        <f>'Income Statement'!G10</f>
        <v>2824.7</v>
      </c>
      <c r="C16" s="672"/>
      <c r="D16" s="672"/>
      <c r="E16" s="672"/>
      <c r="F16" s="672"/>
      <c r="G16" s="672"/>
      <c r="H16" s="672"/>
      <c r="I16" s="672"/>
      <c r="J16" s="673"/>
    </row>
    <row r="17" ht="12.75" customHeight="1">
      <c r="A17" s="674">
        <f t="shared" si="1"/>
        <v>-6.0</v>
      </c>
      <c r="B17" s="675">
        <f>'Income Statement'!F10</f>
        <v>2365.5</v>
      </c>
      <c r="C17" s="672"/>
      <c r="D17" s="672"/>
      <c r="E17" s="672"/>
      <c r="F17" s="672"/>
      <c r="G17" s="672"/>
      <c r="H17" s="672"/>
      <c r="I17" s="672"/>
      <c r="J17" s="673"/>
    </row>
    <row r="18" ht="12.75" customHeight="1">
      <c r="A18" s="674">
        <f t="shared" si="1"/>
        <v>-7.0</v>
      </c>
      <c r="B18" s="675">
        <f>'Income Statement'!E10</f>
        <v>2131.9</v>
      </c>
      <c r="C18" s="672"/>
      <c r="D18" s="672"/>
      <c r="E18" s="672"/>
      <c r="F18" s="672"/>
      <c r="G18" s="672"/>
      <c r="H18" s="672"/>
      <c r="I18" s="672"/>
      <c r="J18" s="673"/>
    </row>
    <row r="19" ht="12.75" customHeight="1">
      <c r="A19" s="674">
        <f t="shared" si="1"/>
        <v>-8.0</v>
      </c>
      <c r="B19" s="675">
        <f>'Income Statement'!D10</f>
        <v>2343.6</v>
      </c>
      <c r="C19" s="672"/>
      <c r="D19" s="672"/>
      <c r="E19" s="672"/>
      <c r="F19" s="672"/>
      <c r="G19" s="672"/>
      <c r="H19" s="672"/>
      <c r="I19" s="672"/>
      <c r="J19" s="673"/>
    </row>
    <row r="20" ht="12.75" customHeight="1">
      <c r="A20" s="674">
        <f t="shared" si="1"/>
        <v>-9.0</v>
      </c>
      <c r="B20" s="675">
        <f>'Income Statement'!C10</f>
        <v>2123.9</v>
      </c>
      <c r="C20" s="672"/>
      <c r="D20" s="672"/>
      <c r="E20" s="672"/>
      <c r="F20" s="672"/>
      <c r="G20" s="672"/>
      <c r="H20" s="672"/>
      <c r="I20" s="672"/>
      <c r="J20" s="673"/>
    </row>
    <row r="21" ht="12.75" customHeight="1">
      <c r="A21" s="674">
        <f t="shared" si="1"/>
        <v>-10.0</v>
      </c>
      <c r="B21" s="675">
        <f>'Income Statement'!B10</f>
        <v>2164.0</v>
      </c>
      <c r="C21" s="672"/>
      <c r="D21" s="672"/>
      <c r="E21" s="672"/>
      <c r="F21" s="672"/>
      <c r="G21" s="672"/>
      <c r="H21" s="672"/>
      <c r="I21" s="672"/>
      <c r="J21" s="673"/>
    </row>
    <row r="22" ht="12.75" customHeight="1">
      <c r="A22" s="672"/>
      <c r="B22" s="672"/>
      <c r="C22" s="672"/>
      <c r="D22" s="672"/>
      <c r="E22" s="672"/>
      <c r="F22" s="672"/>
      <c r="G22" s="672"/>
      <c r="H22" s="672"/>
      <c r="I22" s="672"/>
      <c r="J22" s="673"/>
    </row>
    <row r="23" ht="12.75" customHeight="1">
      <c r="A23" s="676" t="s">
        <v>830</v>
      </c>
      <c r="B23" s="672"/>
      <c r="C23" s="672"/>
      <c r="D23" s="672"/>
      <c r="E23" s="672"/>
      <c r="F23" s="672"/>
      <c r="G23" s="672"/>
      <c r="H23" s="672"/>
      <c r="I23" s="672"/>
      <c r="J23" s="673"/>
    </row>
    <row r="24" ht="12.75" customHeight="1">
      <c r="A24" s="677" t="s">
        <v>872</v>
      </c>
      <c r="B24" s="677" t="s">
        <v>884</v>
      </c>
      <c r="C24" s="678" t="s">
        <v>885</v>
      </c>
      <c r="D24" s="496"/>
      <c r="E24" s="672" t="s">
        <v>886</v>
      </c>
      <c r="F24" s="672"/>
      <c r="G24" s="672"/>
      <c r="H24" s="672"/>
      <c r="I24" s="672"/>
      <c r="J24" s="673"/>
    </row>
    <row r="25" ht="12.75" customHeight="1">
      <c r="A25" s="677" t="s">
        <v>887</v>
      </c>
      <c r="B25" s="677">
        <f>F8</f>
        <v>8084.7</v>
      </c>
      <c r="C25" s="677">
        <f>1</f>
        <v>1.0</v>
      </c>
      <c r="D25" s="677">
        <f t="shared" ref="D25:D35" si="3">B25*C25</f>
        <v>8084.7</v>
      </c>
      <c r="E25" s="672"/>
      <c r="F25" s="672"/>
      <c r="G25" s="672"/>
      <c r="H25" s="672"/>
      <c r="I25" s="672"/>
      <c r="J25" s="673"/>
    </row>
    <row r="26" ht="12.75" customHeight="1">
      <c r="A26" s="674">
        <f t="shared" ref="A26:B26" si="2">A12</f>
        <v>-1.0</v>
      </c>
      <c r="B26" s="677">
        <f t="shared" si="2"/>
        <v>7863.6</v>
      </c>
      <c r="C26" s="677">
        <f t="shared" ref="C26:C35" si="5">IF(A26&lt;0,($F$7+A26)/$F$7,0)</f>
        <v>0.9</v>
      </c>
      <c r="D26" s="677">
        <f t="shared" si="3"/>
        <v>7077.24</v>
      </c>
      <c r="E26" s="288">
        <f t="shared" ref="E26:E35" si="6">IF(A26&lt;0,B26/$F$7,0)</f>
        <v>786.36</v>
      </c>
      <c r="F26" s="672"/>
      <c r="G26" s="672"/>
      <c r="H26" s="672"/>
      <c r="I26" s="672"/>
      <c r="J26" s="673"/>
    </row>
    <row r="27" ht="12.75" customHeight="1">
      <c r="A27" s="674">
        <f t="shared" ref="A27:B27" si="4">A13</f>
        <v>-2.0</v>
      </c>
      <c r="B27" s="677">
        <f t="shared" si="4"/>
        <v>6972.6</v>
      </c>
      <c r="C27" s="677">
        <f t="shared" si="5"/>
        <v>0.8</v>
      </c>
      <c r="D27" s="677">
        <f t="shared" si="3"/>
        <v>5578.08</v>
      </c>
      <c r="E27" s="288">
        <f t="shared" si="6"/>
        <v>697.26</v>
      </c>
      <c r="F27" s="672"/>
      <c r="G27" s="672"/>
      <c r="H27" s="672"/>
      <c r="I27" s="672"/>
      <c r="J27" s="673"/>
    </row>
    <row r="28" ht="12.75" customHeight="1">
      <c r="A28" s="674">
        <f t="shared" ref="A28:B28" si="7">A14</f>
        <v>-3.0</v>
      </c>
      <c r="B28" s="677">
        <f t="shared" si="7"/>
        <v>4707.0</v>
      </c>
      <c r="C28" s="677">
        <f t="shared" si="5"/>
        <v>0.7</v>
      </c>
      <c r="D28" s="677">
        <f t="shared" si="3"/>
        <v>3294.9</v>
      </c>
      <c r="E28" s="288">
        <f t="shared" si="6"/>
        <v>470.7</v>
      </c>
      <c r="F28" s="672"/>
      <c r="G28" s="672"/>
      <c r="H28" s="672"/>
      <c r="I28" s="672"/>
      <c r="J28" s="673"/>
    </row>
    <row r="29" ht="12.75" customHeight="1">
      <c r="A29" s="674">
        <f t="shared" ref="A29:B29" si="8">A15</f>
        <v>-4.0</v>
      </c>
      <c r="B29" s="677">
        <f t="shared" si="8"/>
        <v>3396.1</v>
      </c>
      <c r="C29" s="677">
        <f t="shared" si="5"/>
        <v>0.6</v>
      </c>
      <c r="D29" s="677">
        <f t="shared" si="3"/>
        <v>2037.66</v>
      </c>
      <c r="E29" s="288">
        <f t="shared" si="6"/>
        <v>339.61</v>
      </c>
      <c r="F29" s="672"/>
      <c r="G29" s="672"/>
      <c r="H29" s="672"/>
      <c r="I29" s="672"/>
      <c r="J29" s="673"/>
    </row>
    <row r="30" ht="12.75" customHeight="1">
      <c r="A30" s="674">
        <f t="shared" ref="A30:B30" si="9">A16</f>
        <v>-5.0</v>
      </c>
      <c r="B30" s="677">
        <f t="shared" si="9"/>
        <v>2824.7</v>
      </c>
      <c r="C30" s="677">
        <f t="shared" si="5"/>
        <v>0.5</v>
      </c>
      <c r="D30" s="677">
        <f t="shared" si="3"/>
        <v>1412.35</v>
      </c>
      <c r="E30" s="288">
        <f t="shared" si="6"/>
        <v>282.47</v>
      </c>
      <c r="F30" s="672"/>
      <c r="G30" s="672"/>
      <c r="H30" s="672"/>
      <c r="I30" s="672"/>
      <c r="J30" s="673"/>
    </row>
    <row r="31" ht="12.75" customHeight="1">
      <c r="A31" s="674">
        <f t="shared" ref="A31:B31" si="10">A17</f>
        <v>-6.0</v>
      </c>
      <c r="B31" s="677">
        <f t="shared" si="10"/>
        <v>2365.5</v>
      </c>
      <c r="C31" s="677">
        <f t="shared" si="5"/>
        <v>0.4</v>
      </c>
      <c r="D31" s="677">
        <f t="shared" si="3"/>
        <v>946.2</v>
      </c>
      <c r="E31" s="288">
        <f t="shared" si="6"/>
        <v>236.55</v>
      </c>
      <c r="F31" s="672"/>
      <c r="G31" s="672"/>
      <c r="H31" s="672"/>
      <c r="I31" s="672"/>
      <c r="J31" s="673"/>
    </row>
    <row r="32" ht="12.75" customHeight="1">
      <c r="A32" s="674">
        <f t="shared" ref="A32:B32" si="11">A18</f>
        <v>-7.0</v>
      </c>
      <c r="B32" s="677">
        <f t="shared" si="11"/>
        <v>2131.9</v>
      </c>
      <c r="C32" s="677">
        <f t="shared" si="5"/>
        <v>0.3</v>
      </c>
      <c r="D32" s="677">
        <f t="shared" si="3"/>
        <v>639.57</v>
      </c>
      <c r="E32" s="288">
        <f t="shared" si="6"/>
        <v>213.19</v>
      </c>
      <c r="F32" s="672"/>
      <c r="G32" s="672"/>
      <c r="H32" s="672"/>
      <c r="I32" s="672"/>
      <c r="J32" s="673"/>
    </row>
    <row r="33" ht="12.75" customHeight="1">
      <c r="A33" s="674">
        <f t="shared" ref="A33:B33" si="12">A19</f>
        <v>-8.0</v>
      </c>
      <c r="B33" s="677">
        <f t="shared" si="12"/>
        <v>2343.6</v>
      </c>
      <c r="C33" s="677">
        <f t="shared" si="5"/>
        <v>0.2</v>
      </c>
      <c r="D33" s="677">
        <f t="shared" si="3"/>
        <v>468.72</v>
      </c>
      <c r="E33" s="288">
        <f t="shared" si="6"/>
        <v>234.36</v>
      </c>
      <c r="F33" s="672"/>
      <c r="G33" s="672"/>
      <c r="H33" s="672"/>
      <c r="I33" s="672"/>
      <c r="J33" s="673"/>
    </row>
    <row r="34" ht="12.75" customHeight="1">
      <c r="A34" s="674">
        <f t="shared" ref="A34:B34" si="13">A20</f>
        <v>-9.0</v>
      </c>
      <c r="B34" s="677">
        <f t="shared" si="13"/>
        <v>2123.9</v>
      </c>
      <c r="C34" s="677">
        <f t="shared" si="5"/>
        <v>0.1</v>
      </c>
      <c r="D34" s="677">
        <f t="shared" si="3"/>
        <v>212.39</v>
      </c>
      <c r="E34" s="288">
        <f t="shared" si="6"/>
        <v>212.39</v>
      </c>
      <c r="F34" s="672"/>
      <c r="G34" s="672"/>
      <c r="H34" s="672"/>
      <c r="I34" s="672"/>
      <c r="J34" s="673"/>
    </row>
    <row r="35" ht="15.75" customHeight="1">
      <c r="A35" s="674">
        <f t="shared" ref="A35:B35" si="14">A21</f>
        <v>-10.0</v>
      </c>
      <c r="B35" s="677">
        <f t="shared" si="14"/>
        <v>2164.0</v>
      </c>
      <c r="C35" s="677">
        <f t="shared" si="5"/>
        <v>0.0</v>
      </c>
      <c r="D35" s="671">
        <f t="shared" si="3"/>
        <v>0.0</v>
      </c>
      <c r="E35" s="683">
        <f t="shared" si="6"/>
        <v>216.4</v>
      </c>
      <c r="F35" s="672"/>
      <c r="G35" s="672"/>
      <c r="H35" s="672"/>
      <c r="I35" s="672"/>
      <c r="J35" s="673"/>
    </row>
    <row r="36" ht="12.75" customHeight="1">
      <c r="A36" s="534" t="s">
        <v>898</v>
      </c>
      <c r="B36" s="534"/>
      <c r="C36" s="534"/>
      <c r="D36" s="685">
        <f>SUM(D25:D35)</f>
        <v>29751.81</v>
      </c>
      <c r="E36" s="685">
        <f>SUM(E26:E35)</f>
        <v>3689.29</v>
      </c>
      <c r="F36" s="534"/>
      <c r="G36" s="534"/>
      <c r="H36" s="534"/>
      <c r="I36" s="534"/>
      <c r="J36" s="534"/>
    </row>
    <row r="37" ht="12.75" customHeight="1">
      <c r="A37" s="314"/>
      <c r="B37" s="314"/>
      <c r="C37" s="314"/>
      <c r="D37" s="687"/>
      <c r="E37" s="687"/>
      <c r="F37" s="314"/>
      <c r="G37" s="314"/>
      <c r="H37" s="314"/>
      <c r="I37" s="314"/>
      <c r="J37" s="314"/>
    </row>
    <row r="38" ht="12.75" customHeight="1">
      <c r="A38" s="534" t="s">
        <v>903</v>
      </c>
      <c r="B38" s="534"/>
      <c r="C38" s="534"/>
      <c r="D38" s="685">
        <f>E36</f>
        <v>3689.29</v>
      </c>
      <c r="E38" s="684"/>
      <c r="F38" s="534"/>
      <c r="G38" s="534"/>
      <c r="H38" s="534"/>
      <c r="I38" s="534"/>
      <c r="J38" s="534"/>
    </row>
    <row r="39" ht="12.75" customHeight="1">
      <c r="A39" s="534"/>
      <c r="B39" s="534"/>
      <c r="C39" s="534"/>
      <c r="D39" s="534"/>
      <c r="E39" s="534"/>
      <c r="F39" s="534"/>
      <c r="G39" s="534"/>
      <c r="H39" s="534"/>
      <c r="I39" s="534"/>
      <c r="J39" s="534"/>
    </row>
    <row r="40" ht="12.75" customHeight="1">
      <c r="A40" s="534" t="s">
        <v>905</v>
      </c>
      <c r="B40" s="534"/>
      <c r="C40" s="534"/>
      <c r="D40" s="689">
        <f>F8-D38</f>
        <v>4395.41</v>
      </c>
      <c r="E40" s="534" t="s">
        <v>906</v>
      </c>
      <c r="F40" s="534"/>
      <c r="G40" s="534"/>
      <c r="H40" s="534"/>
      <c r="I40" s="534"/>
      <c r="J40" s="534"/>
    </row>
    <row r="41" ht="12.75" customHeight="1">
      <c r="A41" s="314" t="s">
        <v>907</v>
      </c>
      <c r="B41" s="314"/>
      <c r="C41" s="314"/>
      <c r="D41" s="690">
        <f>D40*'Input sheet'!B25</f>
        <v>966.9902</v>
      </c>
      <c r="E41" s="534"/>
      <c r="F41" s="314"/>
      <c r="G41" s="314"/>
      <c r="H41" s="314"/>
      <c r="I41" s="314"/>
      <c r="J41" s="314"/>
    </row>
    <row r="42" ht="12.75" customHeight="1">
      <c r="A42" s="314"/>
      <c r="B42" s="314"/>
      <c r="C42" s="314"/>
      <c r="D42" s="314"/>
      <c r="E42" s="314"/>
      <c r="F42" s="314"/>
      <c r="G42" s="314"/>
      <c r="H42" s="314"/>
      <c r="I42" s="314"/>
      <c r="J42" s="314"/>
    </row>
    <row r="43" ht="12.75" customHeight="1">
      <c r="A43" s="314" t="s">
        <v>908</v>
      </c>
      <c r="B43" s="314"/>
      <c r="C43" s="314"/>
      <c r="D43" s="314"/>
      <c r="E43" s="314"/>
      <c r="F43" s="314"/>
      <c r="G43" s="314"/>
      <c r="H43" s="314"/>
      <c r="I43" s="314"/>
      <c r="J43" s="314"/>
    </row>
    <row r="44" ht="12.75" customHeight="1">
      <c r="A44" s="691" t="s">
        <v>909</v>
      </c>
      <c r="B44" s="693" t="s">
        <v>910</v>
      </c>
      <c r="C44" s="314"/>
      <c r="D44" s="314"/>
      <c r="E44" s="314"/>
      <c r="F44" s="314"/>
      <c r="G44" s="314"/>
      <c r="H44" s="314"/>
      <c r="I44" s="314"/>
      <c r="J44" s="314"/>
    </row>
    <row r="45" ht="12.75" customHeight="1">
      <c r="A45" s="695" t="s">
        <v>911</v>
      </c>
      <c r="B45" s="696">
        <v>2.0</v>
      </c>
      <c r="C45" s="314"/>
      <c r="D45" s="314"/>
      <c r="E45" s="314"/>
      <c r="F45" s="314"/>
      <c r="G45" s="314"/>
      <c r="H45" s="314"/>
      <c r="I45" s="314"/>
      <c r="J45" s="314"/>
    </row>
    <row r="46" ht="12.75" customHeight="1">
      <c r="A46" s="695" t="s">
        <v>914</v>
      </c>
      <c r="B46" s="696">
        <v>10.0</v>
      </c>
      <c r="C46" s="314"/>
      <c r="D46" s="314"/>
      <c r="E46" s="314"/>
      <c r="F46" s="314"/>
      <c r="G46" s="314"/>
      <c r="H46" s="314"/>
      <c r="I46" s="314"/>
      <c r="J46" s="314"/>
    </row>
    <row r="47" ht="12.75" customHeight="1">
      <c r="A47" s="695" t="s">
        <v>916</v>
      </c>
      <c r="B47" s="696">
        <v>10.0</v>
      </c>
      <c r="C47" s="314"/>
      <c r="D47" s="314"/>
      <c r="E47" s="314"/>
      <c r="F47" s="314"/>
      <c r="G47" s="314"/>
      <c r="H47" s="314"/>
      <c r="I47" s="314"/>
      <c r="J47" s="314"/>
    </row>
    <row r="48" ht="12.75" customHeight="1">
      <c r="A48" s="695" t="s">
        <v>917</v>
      </c>
      <c r="B48" s="696">
        <v>5.0</v>
      </c>
      <c r="C48" s="314"/>
      <c r="D48" s="314"/>
      <c r="E48" s="314"/>
      <c r="F48" s="314"/>
      <c r="G48" s="314"/>
      <c r="H48" s="314"/>
      <c r="I48" s="314"/>
      <c r="J48" s="314"/>
    </row>
    <row r="49" ht="12.75" customHeight="1">
      <c r="A49" s="695" t="s">
        <v>920</v>
      </c>
      <c r="B49" s="696">
        <v>3.0</v>
      </c>
      <c r="C49" s="314"/>
      <c r="D49" s="314"/>
      <c r="E49" s="314"/>
      <c r="F49" s="314"/>
      <c r="G49" s="314"/>
      <c r="H49" s="314"/>
      <c r="I49" s="314"/>
      <c r="J49" s="314"/>
    </row>
    <row r="50" ht="12.75" customHeight="1">
      <c r="A50" s="695" t="s">
        <v>923</v>
      </c>
      <c r="B50" s="696">
        <v>10.0</v>
      </c>
      <c r="C50" s="314"/>
      <c r="D50" s="314"/>
      <c r="E50" s="314"/>
      <c r="F50" s="314"/>
      <c r="G50" s="314"/>
      <c r="H50" s="314"/>
      <c r="I50" s="314"/>
      <c r="J50" s="314"/>
    </row>
    <row r="51" ht="12.75" customHeight="1">
      <c r="A51" s="695" t="s">
        <v>926</v>
      </c>
      <c r="B51" s="696">
        <v>5.0</v>
      </c>
      <c r="C51" s="314"/>
      <c r="D51" s="314"/>
      <c r="E51" s="314"/>
      <c r="F51" s="314"/>
      <c r="G51" s="314"/>
      <c r="H51" s="314"/>
      <c r="I51" s="314"/>
      <c r="J51" s="314"/>
    </row>
    <row r="52" ht="12.75" customHeight="1">
      <c r="A52" s="695" t="s">
        <v>930</v>
      </c>
      <c r="B52" s="696">
        <v>5.0</v>
      </c>
      <c r="C52" s="314"/>
      <c r="D52" s="314"/>
      <c r="E52" s="314"/>
      <c r="F52" s="314"/>
      <c r="G52" s="314"/>
      <c r="H52" s="314"/>
      <c r="I52" s="314"/>
      <c r="J52" s="314"/>
    </row>
    <row r="53" ht="12.75" customHeight="1">
      <c r="A53" s="695" t="s">
        <v>934</v>
      </c>
      <c r="B53" s="696">
        <v>2.0</v>
      </c>
      <c r="C53" s="314"/>
      <c r="D53" s="314"/>
      <c r="E53" s="314"/>
      <c r="F53" s="314"/>
      <c r="G53" s="314"/>
      <c r="H53" s="314"/>
      <c r="I53" s="314"/>
      <c r="J53" s="314"/>
    </row>
    <row r="54" ht="12.75" customHeight="1">
      <c r="A54" s="695" t="s">
        <v>937</v>
      </c>
      <c r="B54" s="696">
        <v>2.0</v>
      </c>
      <c r="C54" s="314"/>
      <c r="D54" s="314"/>
      <c r="E54" s="314"/>
      <c r="F54" s="314"/>
      <c r="G54" s="314"/>
      <c r="H54" s="314"/>
      <c r="I54" s="314"/>
      <c r="J54" s="314"/>
    </row>
    <row r="55" ht="12.75" customHeight="1">
      <c r="A55" s="695" t="s">
        <v>940</v>
      </c>
      <c r="B55" s="696">
        <v>2.0</v>
      </c>
      <c r="C55" s="314"/>
      <c r="D55" s="314"/>
      <c r="E55" s="314"/>
      <c r="F55" s="314"/>
      <c r="G55" s="314"/>
      <c r="H55" s="314"/>
      <c r="I55" s="314"/>
      <c r="J55" s="314"/>
    </row>
    <row r="56" ht="12.75" customHeight="1">
      <c r="A56" s="695" t="s">
        <v>941</v>
      </c>
      <c r="B56" s="696">
        <v>2.0</v>
      </c>
      <c r="C56" s="314"/>
      <c r="D56" s="314"/>
      <c r="E56" s="314"/>
      <c r="F56" s="314"/>
      <c r="G56" s="314"/>
      <c r="H56" s="314"/>
      <c r="I56" s="314"/>
      <c r="J56" s="314"/>
    </row>
    <row r="57" ht="12.75" customHeight="1">
      <c r="A57" s="695" t="s">
        <v>942</v>
      </c>
      <c r="B57" s="696">
        <v>3.0</v>
      </c>
      <c r="C57" s="314"/>
      <c r="D57" s="314"/>
      <c r="E57" s="314"/>
      <c r="F57" s="314"/>
      <c r="G57" s="314"/>
      <c r="H57" s="314"/>
      <c r="I57" s="314"/>
      <c r="J57" s="314"/>
    </row>
    <row r="58" ht="12.75" customHeight="1">
      <c r="A58" s="695" t="s">
        <v>943</v>
      </c>
      <c r="B58" s="696">
        <v>3.0</v>
      </c>
      <c r="C58" s="314"/>
      <c r="D58" s="314"/>
      <c r="E58" s="314"/>
      <c r="F58" s="314"/>
      <c r="G58" s="314"/>
      <c r="H58" s="314"/>
      <c r="I58" s="314"/>
      <c r="J58" s="314"/>
    </row>
    <row r="59" ht="12.75" customHeight="1">
      <c r="A59" s="695" t="s">
        <v>945</v>
      </c>
      <c r="B59" s="696">
        <v>5.0</v>
      </c>
      <c r="C59" s="314"/>
      <c r="D59" s="314"/>
      <c r="E59" s="314"/>
      <c r="F59" s="314"/>
      <c r="G59" s="314"/>
      <c r="H59" s="314"/>
      <c r="I59" s="314"/>
      <c r="J59" s="314"/>
    </row>
    <row r="60" ht="12.75" customHeight="1">
      <c r="A60" s="695" t="s">
        <v>947</v>
      </c>
      <c r="B60" s="696">
        <v>10.0</v>
      </c>
      <c r="C60" s="314"/>
      <c r="D60" s="314"/>
      <c r="E60" s="314"/>
      <c r="F60" s="314"/>
      <c r="G60" s="314"/>
      <c r="H60" s="314"/>
      <c r="I60" s="314"/>
      <c r="J60" s="314"/>
    </row>
    <row r="61" ht="12.75" customHeight="1">
      <c r="A61" s="695" t="s">
        <v>948</v>
      </c>
      <c r="B61" s="696">
        <v>10.0</v>
      </c>
      <c r="C61" s="314"/>
      <c r="D61" s="314"/>
      <c r="E61" s="314"/>
      <c r="F61" s="314"/>
      <c r="G61" s="314"/>
      <c r="H61" s="314"/>
      <c r="I61" s="314"/>
      <c r="J61" s="314"/>
    </row>
    <row r="62" ht="12.75" customHeight="1">
      <c r="A62" s="695" t="s">
        <v>950</v>
      </c>
      <c r="B62" s="696">
        <v>10.0</v>
      </c>
      <c r="C62" s="314"/>
      <c r="D62" s="314"/>
      <c r="E62" s="314"/>
      <c r="F62" s="314"/>
      <c r="G62" s="314"/>
      <c r="H62" s="314"/>
      <c r="I62" s="314"/>
      <c r="J62" s="314"/>
    </row>
    <row r="63" ht="12.75" customHeight="1">
      <c r="A63" s="695" t="s">
        <v>951</v>
      </c>
      <c r="B63" s="696">
        <v>10.0</v>
      </c>
      <c r="C63" s="314"/>
      <c r="D63" s="314"/>
      <c r="E63" s="314"/>
      <c r="F63" s="314"/>
      <c r="G63" s="314"/>
      <c r="H63" s="314"/>
      <c r="I63" s="314"/>
      <c r="J63" s="314"/>
    </row>
    <row r="64" ht="12.75" customHeight="1">
      <c r="A64" s="695" t="s">
        <v>953</v>
      </c>
      <c r="B64" s="696">
        <v>10.0</v>
      </c>
      <c r="C64" s="314"/>
      <c r="D64" s="314"/>
      <c r="E64" s="314"/>
      <c r="F64" s="314"/>
      <c r="G64" s="314"/>
      <c r="H64" s="314"/>
      <c r="I64" s="314"/>
      <c r="J64" s="314"/>
    </row>
    <row r="65" ht="12.75" customHeight="1">
      <c r="A65" s="695" t="s">
        <v>954</v>
      </c>
      <c r="B65" s="696">
        <v>10.0</v>
      </c>
      <c r="C65" s="314"/>
      <c r="D65" s="314"/>
      <c r="E65" s="314"/>
      <c r="F65" s="314"/>
      <c r="G65" s="314"/>
      <c r="H65" s="314"/>
      <c r="I65" s="314"/>
      <c r="J65" s="314"/>
    </row>
    <row r="66" ht="12.75" customHeight="1">
      <c r="A66" s="695" t="s">
        <v>955</v>
      </c>
      <c r="B66" s="696">
        <v>5.0</v>
      </c>
      <c r="C66" s="314"/>
      <c r="D66" s="314"/>
      <c r="E66" s="314"/>
      <c r="F66" s="314"/>
      <c r="G66" s="314"/>
      <c r="H66" s="314"/>
      <c r="I66" s="314"/>
      <c r="J66" s="314"/>
    </row>
    <row r="67" ht="12.75" customHeight="1">
      <c r="A67" s="695" t="s">
        <v>956</v>
      </c>
      <c r="B67" s="696">
        <v>5.0</v>
      </c>
      <c r="C67" s="314"/>
      <c r="D67" s="314"/>
      <c r="E67" s="314"/>
      <c r="F67" s="314"/>
      <c r="G67" s="314"/>
      <c r="H67" s="314"/>
      <c r="I67" s="314"/>
      <c r="J67" s="314"/>
    </row>
    <row r="68" ht="12.75" customHeight="1">
      <c r="A68" s="695" t="s">
        <v>957</v>
      </c>
      <c r="B68" s="696">
        <v>3.0</v>
      </c>
      <c r="C68" s="314"/>
      <c r="D68" s="314"/>
      <c r="E68" s="314"/>
      <c r="F68" s="314"/>
      <c r="G68" s="314"/>
      <c r="H68" s="314"/>
      <c r="I68" s="314"/>
      <c r="J68" s="314"/>
    </row>
    <row r="69" ht="12.75" customHeight="1">
      <c r="A69" s="695" t="s">
        <v>958</v>
      </c>
      <c r="B69" s="696">
        <v>5.0</v>
      </c>
      <c r="C69" s="314"/>
      <c r="D69" s="314"/>
      <c r="E69" s="314"/>
      <c r="F69" s="314"/>
      <c r="G69" s="314"/>
      <c r="H69" s="314"/>
      <c r="I69" s="314"/>
      <c r="J69" s="314"/>
    </row>
    <row r="70" ht="12.75" customHeight="1">
      <c r="A70" s="695" t="s">
        <v>961</v>
      </c>
      <c r="B70" s="696">
        <v>5.0</v>
      </c>
      <c r="C70" s="314"/>
      <c r="D70" s="314"/>
      <c r="E70" s="314"/>
      <c r="F70" s="314"/>
      <c r="G70" s="314"/>
      <c r="H70" s="314"/>
      <c r="I70" s="314"/>
      <c r="J70" s="314"/>
    </row>
    <row r="71" ht="12.75" customHeight="1">
      <c r="A71" s="695" t="s">
        <v>962</v>
      </c>
      <c r="B71" s="696">
        <v>10.0</v>
      </c>
      <c r="C71" s="314"/>
      <c r="D71" s="314"/>
      <c r="E71" s="314"/>
      <c r="F71" s="314"/>
      <c r="G71" s="314"/>
      <c r="H71" s="314"/>
      <c r="I71" s="314"/>
      <c r="J71" s="314"/>
    </row>
    <row r="72" ht="12.75" customHeight="1">
      <c r="A72" s="695" t="s">
        <v>964</v>
      </c>
      <c r="B72" s="696">
        <v>3.0</v>
      </c>
      <c r="C72" s="314"/>
      <c r="D72" s="314"/>
      <c r="E72" s="314"/>
      <c r="F72" s="314"/>
      <c r="G72" s="314"/>
      <c r="H72" s="314"/>
      <c r="I72" s="314"/>
      <c r="J72" s="314"/>
    </row>
    <row r="73" ht="12.75" customHeight="1">
      <c r="A73" s="695" t="s">
        <v>965</v>
      </c>
      <c r="B73" s="696">
        <v>3.0</v>
      </c>
      <c r="C73" s="314"/>
      <c r="D73" s="314"/>
      <c r="E73" s="314"/>
      <c r="F73" s="314"/>
      <c r="G73" s="314"/>
      <c r="H73" s="314"/>
      <c r="I73" s="314"/>
      <c r="J73" s="314"/>
    </row>
    <row r="74" ht="12.75" customHeight="1">
      <c r="A74" s="695" t="s">
        <v>966</v>
      </c>
      <c r="B74" s="696">
        <v>10.0</v>
      </c>
      <c r="C74" s="314"/>
      <c r="D74" s="314"/>
      <c r="E74" s="314"/>
      <c r="F74" s="314"/>
      <c r="G74" s="314"/>
      <c r="H74" s="314"/>
      <c r="I74" s="314"/>
      <c r="J74" s="314"/>
    </row>
    <row r="75" ht="12.75" customHeight="1">
      <c r="A75" s="695" t="s">
        <v>968</v>
      </c>
      <c r="B75" s="696">
        <v>10.0</v>
      </c>
      <c r="C75" s="314"/>
      <c r="D75" s="314"/>
      <c r="E75" s="314"/>
      <c r="F75" s="314"/>
      <c r="G75" s="314"/>
      <c r="H75" s="314"/>
      <c r="I75" s="314"/>
      <c r="J75" s="314"/>
    </row>
    <row r="76" ht="12.75" customHeight="1">
      <c r="A76" s="695" t="s">
        <v>969</v>
      </c>
      <c r="B76" s="696">
        <v>10.0</v>
      </c>
      <c r="C76" s="314"/>
      <c r="D76" s="314"/>
      <c r="E76" s="314"/>
      <c r="F76" s="314"/>
      <c r="G76" s="314"/>
      <c r="H76" s="314"/>
      <c r="I76" s="314"/>
      <c r="J76" s="314"/>
    </row>
    <row r="77" ht="12.75" customHeight="1">
      <c r="A77" s="695" t="s">
        <v>970</v>
      </c>
      <c r="B77" s="696">
        <v>10.0</v>
      </c>
      <c r="C77" s="314"/>
      <c r="D77" s="314"/>
      <c r="E77" s="314"/>
      <c r="F77" s="314"/>
      <c r="G77" s="314"/>
      <c r="H77" s="314"/>
      <c r="I77" s="314"/>
      <c r="J77" s="314"/>
    </row>
    <row r="78" ht="12.75" customHeight="1">
      <c r="A78" s="695" t="s">
        <v>971</v>
      </c>
      <c r="B78" s="696">
        <v>5.0</v>
      </c>
      <c r="C78" s="314"/>
      <c r="D78" s="314"/>
      <c r="E78" s="314"/>
      <c r="F78" s="314"/>
      <c r="G78" s="314"/>
      <c r="H78" s="314"/>
      <c r="I78" s="314"/>
      <c r="J78" s="314"/>
    </row>
    <row r="79" ht="12.75" customHeight="1">
      <c r="A79" s="695" t="s">
        <v>972</v>
      </c>
      <c r="B79" s="696">
        <v>3.0</v>
      </c>
      <c r="C79" s="314"/>
      <c r="D79" s="314"/>
      <c r="E79" s="314"/>
      <c r="F79" s="314"/>
      <c r="G79" s="314"/>
      <c r="H79" s="314"/>
      <c r="I79" s="314"/>
      <c r="J79" s="314"/>
    </row>
    <row r="80" ht="12.75" customHeight="1">
      <c r="A80" s="695" t="s">
        <v>973</v>
      </c>
      <c r="B80" s="696">
        <v>5.0</v>
      </c>
      <c r="C80" s="314"/>
      <c r="D80" s="314"/>
      <c r="E80" s="314"/>
      <c r="F80" s="314"/>
      <c r="G80" s="314"/>
      <c r="H80" s="314"/>
      <c r="I80" s="314"/>
      <c r="J80" s="314"/>
    </row>
    <row r="81" ht="12.75" customHeight="1">
      <c r="A81" s="695" t="s">
        <v>974</v>
      </c>
      <c r="B81" s="696">
        <v>2.0</v>
      </c>
      <c r="C81" s="314"/>
      <c r="D81" s="314"/>
      <c r="E81" s="314"/>
      <c r="F81" s="314"/>
      <c r="G81" s="314"/>
      <c r="H81" s="314"/>
      <c r="I81" s="314"/>
      <c r="J81" s="314"/>
    </row>
    <row r="82" ht="12.75" customHeight="1">
      <c r="A82" s="695" t="s">
        <v>975</v>
      </c>
      <c r="B82" s="696">
        <v>3.0</v>
      </c>
      <c r="C82" s="314"/>
      <c r="D82" s="314"/>
      <c r="E82" s="314"/>
      <c r="F82" s="314"/>
      <c r="G82" s="314"/>
      <c r="H82" s="314"/>
      <c r="I82" s="314"/>
      <c r="J82" s="314"/>
    </row>
    <row r="83" ht="12.75" customHeight="1">
      <c r="A83" s="695" t="s">
        <v>977</v>
      </c>
      <c r="B83" s="696">
        <v>3.0</v>
      </c>
      <c r="C83" s="314"/>
      <c r="D83" s="314"/>
      <c r="E83" s="314"/>
      <c r="F83" s="314"/>
      <c r="G83" s="314"/>
      <c r="H83" s="314"/>
      <c r="I83" s="314"/>
      <c r="J83" s="314"/>
    </row>
    <row r="84" ht="12.75" customHeight="1">
      <c r="A84" s="695" t="s">
        <v>978</v>
      </c>
      <c r="B84" s="696">
        <v>5.0</v>
      </c>
      <c r="C84" s="314"/>
      <c r="D84" s="314"/>
      <c r="E84" s="314"/>
      <c r="F84" s="314"/>
      <c r="G84" s="314"/>
      <c r="H84" s="314"/>
      <c r="I84" s="314"/>
      <c r="J84" s="314"/>
    </row>
    <row r="85" ht="12.75" customHeight="1">
      <c r="A85" s="695" t="s">
        <v>979</v>
      </c>
      <c r="B85" s="696">
        <v>10.0</v>
      </c>
      <c r="C85" s="314"/>
      <c r="D85" s="314"/>
      <c r="E85" s="314"/>
      <c r="F85" s="314"/>
      <c r="G85" s="314"/>
      <c r="H85" s="314"/>
      <c r="I85" s="314"/>
      <c r="J85" s="314"/>
    </row>
    <row r="86" ht="12.75" customHeight="1">
      <c r="A86" s="695" t="s">
        <v>981</v>
      </c>
      <c r="B86" s="696">
        <v>3.0</v>
      </c>
      <c r="C86" s="314"/>
      <c r="D86" s="314"/>
      <c r="E86" s="314"/>
      <c r="F86" s="314"/>
      <c r="G86" s="314"/>
      <c r="H86" s="314"/>
      <c r="I86" s="314"/>
      <c r="J86" s="314"/>
    </row>
    <row r="87" ht="12.75" customHeight="1">
      <c r="A87" s="695" t="s">
        <v>982</v>
      </c>
      <c r="B87" s="696">
        <v>5.0</v>
      </c>
      <c r="C87" s="314"/>
      <c r="D87" s="314"/>
      <c r="E87" s="314"/>
      <c r="F87" s="314"/>
      <c r="G87" s="314"/>
      <c r="H87" s="314"/>
      <c r="I87" s="314"/>
      <c r="J87" s="314"/>
    </row>
    <row r="88" ht="12.75" customHeight="1">
      <c r="A88" s="695" t="s">
        <v>984</v>
      </c>
      <c r="B88" s="696">
        <v>2.0</v>
      </c>
      <c r="C88" s="314"/>
      <c r="D88" s="314"/>
      <c r="E88" s="314"/>
      <c r="F88" s="314"/>
      <c r="G88" s="314"/>
      <c r="H88" s="314"/>
      <c r="I88" s="314"/>
      <c r="J88" s="314"/>
    </row>
    <row r="89" ht="12.75" customHeight="1">
      <c r="A89" s="695" t="s">
        <v>985</v>
      </c>
      <c r="B89" s="696">
        <v>3.0</v>
      </c>
      <c r="C89" s="314"/>
      <c r="D89" s="314"/>
      <c r="E89" s="314"/>
      <c r="F89" s="314"/>
      <c r="G89" s="314"/>
      <c r="H89" s="314"/>
      <c r="I89" s="314"/>
      <c r="J89" s="314"/>
    </row>
    <row r="90" ht="12.75" customHeight="1">
      <c r="A90" s="695" t="s">
        <v>986</v>
      </c>
      <c r="B90" s="696">
        <v>5.0</v>
      </c>
      <c r="C90" s="314"/>
      <c r="D90" s="314"/>
      <c r="E90" s="314"/>
      <c r="F90" s="314"/>
      <c r="G90" s="314"/>
      <c r="H90" s="314"/>
      <c r="I90" s="314"/>
      <c r="J90" s="314"/>
    </row>
    <row r="91" ht="12.75" customHeight="1">
      <c r="A91" s="695" t="s">
        <v>989</v>
      </c>
      <c r="B91" s="696">
        <v>5.0</v>
      </c>
      <c r="C91" s="314"/>
      <c r="D91" s="314"/>
      <c r="E91" s="314"/>
      <c r="F91" s="314"/>
      <c r="G91" s="314"/>
      <c r="H91" s="314"/>
      <c r="I91" s="314"/>
      <c r="J91" s="314"/>
    </row>
    <row r="92" ht="12.75" customHeight="1">
      <c r="A92" s="695" t="s">
        <v>993</v>
      </c>
      <c r="B92" s="696">
        <v>3.0</v>
      </c>
      <c r="C92" s="314"/>
      <c r="D92" s="314"/>
      <c r="E92" s="314"/>
      <c r="F92" s="314"/>
      <c r="G92" s="314"/>
      <c r="H92" s="314"/>
      <c r="I92" s="314"/>
      <c r="J92" s="314"/>
    </row>
    <row r="93" ht="12.75" customHeight="1">
      <c r="A93" s="695" t="s">
        <v>994</v>
      </c>
      <c r="B93" s="696">
        <v>3.0</v>
      </c>
      <c r="C93" s="314"/>
      <c r="D93" s="314"/>
      <c r="E93" s="314"/>
      <c r="F93" s="314"/>
      <c r="G93" s="314"/>
      <c r="H93" s="314"/>
      <c r="I93" s="314"/>
      <c r="J93" s="314"/>
    </row>
    <row r="94" ht="12.75" customHeight="1">
      <c r="A94" s="695" t="s">
        <v>995</v>
      </c>
      <c r="B94" s="696">
        <v>3.0</v>
      </c>
      <c r="C94" s="314"/>
      <c r="D94" s="314"/>
      <c r="E94" s="314"/>
      <c r="F94" s="314"/>
      <c r="G94" s="314"/>
      <c r="H94" s="314"/>
      <c r="I94" s="314"/>
      <c r="J94" s="314"/>
    </row>
    <row r="95" ht="12.75" customHeight="1">
      <c r="A95" s="695" t="s">
        <v>996</v>
      </c>
      <c r="B95" s="696">
        <v>3.0</v>
      </c>
      <c r="C95" s="314"/>
      <c r="D95" s="314"/>
      <c r="E95" s="314"/>
      <c r="F95" s="314"/>
      <c r="G95" s="314"/>
      <c r="H95" s="314"/>
      <c r="I95" s="314"/>
      <c r="J95" s="314"/>
    </row>
    <row r="96" ht="12.75" customHeight="1">
      <c r="A96" s="695" t="s">
        <v>997</v>
      </c>
      <c r="B96" s="696">
        <v>3.0</v>
      </c>
      <c r="C96" s="314"/>
      <c r="D96" s="314"/>
      <c r="E96" s="314"/>
      <c r="F96" s="314"/>
      <c r="G96" s="314"/>
      <c r="H96" s="314"/>
      <c r="I96" s="314"/>
      <c r="J96" s="314"/>
    </row>
    <row r="97" ht="12.75" customHeight="1">
      <c r="A97" s="695" t="s">
        <v>999</v>
      </c>
      <c r="B97" s="696">
        <v>3.0</v>
      </c>
      <c r="C97" s="314"/>
      <c r="D97" s="314"/>
      <c r="E97" s="314"/>
      <c r="F97" s="314"/>
      <c r="G97" s="314"/>
      <c r="H97" s="314"/>
      <c r="I97" s="314"/>
      <c r="J97" s="314"/>
    </row>
    <row r="98" ht="12.75" customHeight="1">
      <c r="A98" s="695" t="s">
        <v>1000</v>
      </c>
      <c r="B98" s="696">
        <v>3.0</v>
      </c>
      <c r="C98" s="314"/>
      <c r="D98" s="314"/>
      <c r="E98" s="314"/>
      <c r="F98" s="314"/>
      <c r="G98" s="314"/>
      <c r="H98" s="314"/>
      <c r="I98" s="314"/>
      <c r="J98" s="314"/>
    </row>
    <row r="99" ht="12.75" customHeight="1">
      <c r="A99" s="695" t="s">
        <v>1001</v>
      </c>
      <c r="B99" s="696">
        <v>3.0</v>
      </c>
      <c r="C99" s="314"/>
      <c r="D99" s="314"/>
      <c r="E99" s="314"/>
      <c r="F99" s="314"/>
      <c r="G99" s="314"/>
      <c r="H99" s="314"/>
      <c r="I99" s="314"/>
      <c r="J99" s="314"/>
    </row>
    <row r="100" ht="12.75" customHeight="1">
      <c r="A100" s="695" t="s">
        <v>1003</v>
      </c>
      <c r="B100" s="696">
        <v>3.0</v>
      </c>
      <c r="C100" s="314"/>
      <c r="D100" s="314"/>
      <c r="E100" s="314"/>
      <c r="F100" s="314"/>
      <c r="G100" s="314"/>
      <c r="H100" s="314"/>
      <c r="I100" s="314"/>
      <c r="J100" s="314"/>
    </row>
    <row r="101" ht="12.75" customHeight="1">
      <c r="A101" s="695" t="s">
        <v>1004</v>
      </c>
      <c r="B101" s="696">
        <v>3.0</v>
      </c>
      <c r="C101" s="314"/>
      <c r="D101" s="314"/>
      <c r="E101" s="314"/>
      <c r="F101" s="314"/>
      <c r="G101" s="314"/>
      <c r="H101" s="314"/>
      <c r="I101" s="314"/>
      <c r="J101" s="314"/>
    </row>
    <row r="102" ht="12.75" customHeight="1">
      <c r="A102" s="695" t="s">
        <v>1005</v>
      </c>
      <c r="B102" s="696">
        <v>10.0</v>
      </c>
      <c r="C102" s="314"/>
      <c r="D102" s="314"/>
      <c r="E102" s="314"/>
      <c r="F102" s="314"/>
      <c r="G102" s="314"/>
      <c r="H102" s="314"/>
      <c r="I102" s="314"/>
      <c r="J102" s="314"/>
    </row>
    <row r="103" ht="12.75" customHeight="1">
      <c r="A103" s="695" t="s">
        <v>1007</v>
      </c>
      <c r="B103" s="696">
        <v>5.0</v>
      </c>
      <c r="C103" s="314"/>
      <c r="D103" s="314"/>
      <c r="E103" s="314"/>
      <c r="F103" s="314"/>
      <c r="G103" s="314"/>
      <c r="H103" s="314"/>
      <c r="I103" s="314"/>
      <c r="J103" s="314"/>
    </row>
    <row r="104" ht="12.75" customHeight="1">
      <c r="A104" s="695" t="s">
        <v>1008</v>
      </c>
      <c r="B104" s="696">
        <v>10.0</v>
      </c>
      <c r="C104" s="314"/>
      <c r="D104" s="314"/>
      <c r="E104" s="314"/>
      <c r="F104" s="314"/>
      <c r="G104" s="314"/>
      <c r="H104" s="314"/>
      <c r="I104" s="314"/>
      <c r="J104" s="314"/>
    </row>
    <row r="105" ht="12.75" customHeight="1">
      <c r="A105" s="695" t="s">
        <v>1011</v>
      </c>
      <c r="B105" s="696">
        <v>3.0</v>
      </c>
      <c r="C105" s="314"/>
      <c r="D105" s="314"/>
      <c r="E105" s="314"/>
      <c r="F105" s="314"/>
      <c r="G105" s="314"/>
      <c r="H105" s="314"/>
      <c r="I105" s="314"/>
      <c r="J105" s="314"/>
    </row>
    <row r="106" ht="12.75" customHeight="1">
      <c r="A106" s="695" t="s">
        <v>1013</v>
      </c>
      <c r="B106" s="696">
        <v>5.0</v>
      </c>
      <c r="C106" s="314"/>
      <c r="D106" s="314"/>
      <c r="E106" s="314"/>
      <c r="F106" s="314"/>
      <c r="G106" s="314"/>
      <c r="H106" s="314"/>
      <c r="I106" s="314"/>
      <c r="J106" s="314"/>
    </row>
    <row r="107" ht="12.75" customHeight="1">
      <c r="A107" s="695" t="s">
        <v>1014</v>
      </c>
      <c r="B107" s="696">
        <v>10.0</v>
      </c>
      <c r="C107" s="314"/>
      <c r="D107" s="314"/>
      <c r="E107" s="314"/>
      <c r="F107" s="314"/>
      <c r="G107" s="314"/>
      <c r="H107" s="314"/>
      <c r="I107" s="314"/>
      <c r="J107" s="314"/>
    </row>
    <row r="108" ht="12.75" customHeight="1">
      <c r="A108" s="695" t="s">
        <v>1016</v>
      </c>
      <c r="B108" s="696">
        <v>5.0</v>
      </c>
      <c r="C108" s="314"/>
      <c r="D108" s="314"/>
      <c r="E108" s="314"/>
      <c r="F108" s="314"/>
      <c r="G108" s="314"/>
      <c r="H108" s="314"/>
      <c r="I108" s="314"/>
      <c r="J108" s="314"/>
    </row>
    <row r="109" ht="12.75" customHeight="1">
      <c r="A109" s="695" t="s">
        <v>1018</v>
      </c>
      <c r="B109" s="696">
        <v>10.0</v>
      </c>
      <c r="C109" s="314"/>
      <c r="D109" s="314"/>
      <c r="E109" s="314"/>
      <c r="F109" s="314"/>
      <c r="G109" s="314"/>
      <c r="H109" s="314"/>
      <c r="I109" s="314"/>
      <c r="J109" s="314"/>
    </row>
    <row r="110" ht="12.75" customHeight="1">
      <c r="A110" s="695" t="s">
        <v>1024</v>
      </c>
      <c r="B110" s="696">
        <v>10.0</v>
      </c>
      <c r="C110" s="314"/>
      <c r="D110" s="314"/>
      <c r="E110" s="314"/>
      <c r="F110" s="314"/>
      <c r="G110" s="314"/>
      <c r="H110" s="314"/>
      <c r="I110" s="314"/>
      <c r="J110" s="314"/>
    </row>
    <row r="111" ht="12.75" customHeight="1">
      <c r="A111" s="695" t="s">
        <v>1030</v>
      </c>
      <c r="B111" s="696">
        <v>3.0</v>
      </c>
      <c r="C111" s="314"/>
      <c r="D111" s="314"/>
      <c r="E111" s="314"/>
      <c r="F111" s="314"/>
      <c r="G111" s="314"/>
      <c r="H111" s="314"/>
      <c r="I111" s="314"/>
      <c r="J111" s="314"/>
    </row>
    <row r="112" ht="12.75" customHeight="1">
      <c r="A112" s="695" t="s">
        <v>1035</v>
      </c>
      <c r="B112" s="696">
        <v>5.0</v>
      </c>
      <c r="C112" s="314"/>
      <c r="D112" s="314"/>
      <c r="E112" s="314"/>
      <c r="F112" s="314"/>
      <c r="G112" s="314"/>
      <c r="H112" s="314"/>
      <c r="I112" s="314"/>
      <c r="J112" s="314"/>
    </row>
    <row r="113" ht="12.75" customHeight="1">
      <c r="A113" s="695" t="s">
        <v>1038</v>
      </c>
      <c r="B113" s="696">
        <v>5.0</v>
      </c>
      <c r="C113" s="314"/>
      <c r="D113" s="314"/>
      <c r="E113" s="314"/>
      <c r="F113" s="314"/>
      <c r="G113" s="314"/>
      <c r="H113" s="314"/>
      <c r="I113" s="314"/>
      <c r="J113" s="314"/>
    </row>
    <row r="114" ht="12.75" customHeight="1">
      <c r="A114" s="695" t="s">
        <v>1040</v>
      </c>
      <c r="B114" s="696">
        <v>5.0</v>
      </c>
      <c r="C114" s="314"/>
      <c r="D114" s="314"/>
      <c r="E114" s="314"/>
      <c r="F114" s="314"/>
      <c r="G114" s="314"/>
      <c r="H114" s="314"/>
      <c r="I114" s="314"/>
      <c r="J114" s="314"/>
    </row>
    <row r="115" ht="12.75" customHeight="1">
      <c r="A115" s="695" t="s">
        <v>1042</v>
      </c>
      <c r="B115" s="696">
        <v>10.0</v>
      </c>
      <c r="C115" s="314"/>
      <c r="D115" s="314"/>
      <c r="E115" s="314"/>
      <c r="F115" s="314"/>
      <c r="G115" s="314"/>
      <c r="H115" s="314"/>
      <c r="I115" s="314"/>
      <c r="J115" s="314"/>
    </row>
    <row r="116" ht="12.75" customHeight="1">
      <c r="A116" s="695" t="s">
        <v>1043</v>
      </c>
      <c r="B116" s="696">
        <v>5.0</v>
      </c>
      <c r="C116" s="314"/>
      <c r="D116" s="314"/>
      <c r="E116" s="314"/>
      <c r="F116" s="314"/>
      <c r="G116" s="314"/>
      <c r="H116" s="314"/>
      <c r="I116" s="314"/>
      <c r="J116" s="314"/>
    </row>
    <row r="117" ht="12.75" customHeight="1">
      <c r="A117" s="695" t="s">
        <v>1047</v>
      </c>
      <c r="B117" s="696">
        <v>5.0</v>
      </c>
      <c r="C117" s="314"/>
      <c r="D117" s="314"/>
      <c r="E117" s="314"/>
      <c r="F117" s="314"/>
      <c r="G117" s="314"/>
      <c r="H117" s="314"/>
      <c r="I117" s="314"/>
      <c r="J117" s="314"/>
    </row>
    <row r="118" ht="12.75" customHeight="1">
      <c r="A118" s="695" t="s">
        <v>1053</v>
      </c>
      <c r="B118" s="696">
        <v>5.0</v>
      </c>
      <c r="C118" s="314"/>
      <c r="D118" s="314"/>
      <c r="E118" s="314"/>
      <c r="F118" s="314"/>
      <c r="G118" s="314"/>
      <c r="H118" s="314"/>
      <c r="I118" s="314"/>
      <c r="J118" s="314"/>
    </row>
    <row r="119" ht="12.75" customHeight="1">
      <c r="A119" s="695" t="s">
        <v>1056</v>
      </c>
      <c r="B119" s="696">
        <v>3.0</v>
      </c>
      <c r="C119" s="314"/>
      <c r="D119" s="314"/>
      <c r="E119" s="314"/>
      <c r="F119" s="314"/>
      <c r="G119" s="314"/>
      <c r="H119" s="314"/>
      <c r="I119" s="314"/>
      <c r="J119" s="314"/>
    </row>
    <row r="120" ht="12.75" customHeight="1">
      <c r="A120" s="695" t="s">
        <v>1057</v>
      </c>
      <c r="B120" s="696">
        <v>3.0</v>
      </c>
      <c r="C120" s="314"/>
      <c r="D120" s="314"/>
      <c r="E120" s="314"/>
      <c r="F120" s="314"/>
      <c r="G120" s="314"/>
      <c r="H120" s="314"/>
      <c r="I120" s="314"/>
      <c r="J120" s="314"/>
    </row>
    <row r="121" ht="12.75" customHeight="1">
      <c r="A121" s="695" t="s">
        <v>1058</v>
      </c>
      <c r="B121" s="696">
        <v>5.0</v>
      </c>
      <c r="C121" s="314"/>
      <c r="D121" s="314"/>
      <c r="E121" s="314"/>
      <c r="F121" s="314"/>
      <c r="G121" s="314"/>
      <c r="H121" s="314"/>
      <c r="I121" s="314"/>
      <c r="J121" s="314"/>
    </row>
    <row r="122" ht="12.75" customHeight="1">
      <c r="A122" s="695" t="s">
        <v>1059</v>
      </c>
      <c r="B122" s="696">
        <v>5.0</v>
      </c>
      <c r="C122" s="314"/>
      <c r="D122" s="314"/>
      <c r="E122" s="314"/>
      <c r="F122" s="314"/>
      <c r="G122" s="314"/>
      <c r="H122" s="314"/>
      <c r="I122" s="314"/>
      <c r="J122" s="314"/>
    </row>
    <row r="123" ht="12.75" customHeight="1">
      <c r="A123" s="695" t="s">
        <v>1060</v>
      </c>
      <c r="B123" s="696">
        <v>2.0</v>
      </c>
      <c r="C123" s="314"/>
      <c r="D123" s="314"/>
      <c r="E123" s="314"/>
      <c r="F123" s="314"/>
      <c r="G123" s="314"/>
      <c r="H123" s="314"/>
      <c r="I123" s="314"/>
      <c r="J123" s="314"/>
    </row>
    <row r="124" ht="12.75" customHeight="1">
      <c r="A124" s="695" t="s">
        <v>1061</v>
      </c>
      <c r="B124" s="696">
        <v>2.0</v>
      </c>
      <c r="C124" s="314"/>
      <c r="D124" s="314"/>
      <c r="E124" s="314"/>
      <c r="F124" s="314"/>
      <c r="G124" s="314"/>
      <c r="H124" s="314"/>
      <c r="I124" s="314"/>
      <c r="J124" s="314"/>
    </row>
    <row r="125" ht="12.75" customHeight="1">
      <c r="A125" s="695" t="s">
        <v>1062</v>
      </c>
      <c r="B125" s="696">
        <v>2.0</v>
      </c>
      <c r="C125" s="314"/>
      <c r="D125" s="314"/>
      <c r="E125" s="314"/>
      <c r="F125" s="314"/>
      <c r="G125" s="314"/>
      <c r="H125" s="314"/>
      <c r="I125" s="314"/>
      <c r="J125" s="314"/>
    </row>
    <row r="126" ht="12.75" customHeight="1">
      <c r="A126" s="695" t="s">
        <v>1064</v>
      </c>
      <c r="B126" s="696">
        <v>2.0</v>
      </c>
      <c r="C126" s="314"/>
      <c r="D126" s="314"/>
      <c r="E126" s="314"/>
      <c r="F126" s="314"/>
      <c r="G126" s="314"/>
      <c r="H126" s="314"/>
      <c r="I126" s="314"/>
      <c r="J126" s="314"/>
    </row>
    <row r="127" ht="12.75" customHeight="1">
      <c r="A127" s="695" t="s">
        <v>1065</v>
      </c>
      <c r="B127" s="696">
        <v>2.0</v>
      </c>
      <c r="C127" s="314"/>
      <c r="D127" s="314"/>
      <c r="E127" s="314"/>
      <c r="F127" s="314"/>
      <c r="G127" s="314"/>
      <c r="H127" s="314"/>
      <c r="I127" s="314"/>
      <c r="J127" s="314"/>
    </row>
    <row r="128" ht="12.75" customHeight="1">
      <c r="A128" s="695" t="s">
        <v>1066</v>
      </c>
      <c r="B128" s="696">
        <v>5.0</v>
      </c>
      <c r="C128" s="314"/>
      <c r="D128" s="314"/>
      <c r="E128" s="314"/>
      <c r="F128" s="314"/>
      <c r="G128" s="314"/>
      <c r="H128" s="314"/>
      <c r="I128" s="314"/>
      <c r="J128" s="314"/>
    </row>
    <row r="129" ht="12.75" customHeight="1">
      <c r="A129" s="695" t="s">
        <v>1067</v>
      </c>
      <c r="B129" s="696">
        <v>5.0</v>
      </c>
      <c r="C129" s="314"/>
      <c r="D129" s="314"/>
      <c r="E129" s="314"/>
      <c r="F129" s="314"/>
      <c r="G129" s="314"/>
      <c r="H129" s="314"/>
      <c r="I129" s="314"/>
      <c r="J129" s="314"/>
    </row>
    <row r="130" ht="12.75" customHeight="1">
      <c r="A130" s="695" t="s">
        <v>1068</v>
      </c>
      <c r="B130" s="696">
        <v>3.0</v>
      </c>
      <c r="C130" s="314"/>
      <c r="D130" s="314"/>
      <c r="E130" s="314"/>
      <c r="F130" s="314"/>
      <c r="G130" s="314"/>
      <c r="H130" s="314"/>
      <c r="I130" s="314"/>
      <c r="J130" s="314"/>
    </row>
    <row r="131" ht="12.75" customHeight="1">
      <c r="A131" s="695" t="s">
        <v>1069</v>
      </c>
      <c r="B131" s="696">
        <v>5.0</v>
      </c>
      <c r="C131" s="314"/>
      <c r="D131" s="314"/>
      <c r="E131" s="314"/>
      <c r="F131" s="314"/>
      <c r="G131" s="314"/>
      <c r="H131" s="314"/>
      <c r="I131" s="314"/>
      <c r="J131" s="314"/>
    </row>
    <row r="132" ht="12.75" customHeight="1">
      <c r="A132" s="695" t="s">
        <v>1071</v>
      </c>
      <c r="B132" s="696">
        <v>5.0</v>
      </c>
      <c r="C132" s="314"/>
      <c r="D132" s="314"/>
      <c r="E132" s="314"/>
      <c r="F132" s="314"/>
      <c r="G132" s="314"/>
      <c r="H132" s="314"/>
      <c r="I132" s="314"/>
      <c r="J132" s="314"/>
    </row>
    <row r="133" ht="12.75" customHeight="1">
      <c r="A133" s="695" t="s">
        <v>1074</v>
      </c>
      <c r="B133" s="696">
        <v>10.0</v>
      </c>
      <c r="C133" s="314"/>
      <c r="D133" s="314"/>
      <c r="E133" s="314"/>
      <c r="F133" s="314"/>
      <c r="G133" s="314"/>
      <c r="H133" s="314"/>
      <c r="I133" s="314"/>
      <c r="J133" s="314"/>
    </row>
    <row r="134" ht="12.75" customHeight="1">
      <c r="A134" s="695" t="s">
        <v>1076</v>
      </c>
      <c r="B134" s="696">
        <v>5.0</v>
      </c>
      <c r="C134" s="314"/>
      <c r="D134" s="314"/>
      <c r="E134" s="314"/>
      <c r="F134" s="314"/>
      <c r="G134" s="314"/>
      <c r="H134" s="314"/>
      <c r="I134" s="314"/>
      <c r="J134" s="314"/>
    </row>
    <row r="135" ht="12.75" customHeight="1">
      <c r="A135" s="695" t="s">
        <v>1078</v>
      </c>
      <c r="B135" s="696">
        <v>5.0</v>
      </c>
      <c r="C135" s="314"/>
      <c r="D135" s="314"/>
      <c r="E135" s="314"/>
      <c r="F135" s="314"/>
      <c r="G135" s="314"/>
      <c r="H135" s="314"/>
      <c r="I135" s="314"/>
      <c r="J135" s="314"/>
    </row>
    <row r="136" ht="12.75" customHeight="1">
      <c r="A136" s="695" t="s">
        <v>1080</v>
      </c>
      <c r="B136" s="696">
        <v>2.0</v>
      </c>
      <c r="C136" s="314"/>
      <c r="D136" s="314"/>
      <c r="E136" s="314"/>
      <c r="F136" s="314"/>
      <c r="G136" s="314"/>
      <c r="H136" s="314"/>
      <c r="I136" s="314"/>
      <c r="J136" s="314"/>
    </row>
    <row r="137" ht="12.75" customHeight="1">
      <c r="A137" s="695" t="s">
        <v>1081</v>
      </c>
      <c r="B137" s="696">
        <v>5.0</v>
      </c>
      <c r="C137" s="314"/>
      <c r="D137" s="314"/>
      <c r="E137" s="314"/>
      <c r="F137" s="314"/>
      <c r="G137" s="314"/>
      <c r="H137" s="314"/>
      <c r="I137" s="314"/>
      <c r="J137" s="314"/>
    </row>
    <row r="138" ht="12.75" customHeight="1">
      <c r="A138" s="695" t="s">
        <v>1082</v>
      </c>
      <c r="B138" s="696">
        <v>5.0</v>
      </c>
      <c r="C138" s="314"/>
      <c r="D138" s="314"/>
      <c r="E138" s="314"/>
      <c r="F138" s="314"/>
      <c r="G138" s="314"/>
      <c r="H138" s="314"/>
      <c r="I138" s="314"/>
      <c r="J138" s="314"/>
    </row>
    <row r="139" ht="12.75" customHeight="1">
      <c r="A139" s="695" t="s">
        <v>1083</v>
      </c>
      <c r="B139" s="696">
        <v>3.0</v>
      </c>
      <c r="C139" s="314"/>
      <c r="D139" s="314"/>
      <c r="E139" s="314"/>
      <c r="F139" s="314"/>
      <c r="G139" s="314"/>
      <c r="H139" s="314"/>
      <c r="I139" s="314"/>
      <c r="J139" s="314"/>
    </row>
    <row r="140" ht="12.75" customHeight="1">
      <c r="A140" s="695" t="s">
        <v>1084</v>
      </c>
      <c r="B140" s="696">
        <v>5.0</v>
      </c>
      <c r="C140" s="314"/>
      <c r="D140" s="314"/>
      <c r="E140" s="314"/>
      <c r="F140" s="314"/>
      <c r="G140" s="314"/>
      <c r="H140" s="314"/>
      <c r="I140" s="314"/>
      <c r="J140" s="314"/>
    </row>
    <row r="141" ht="12.75" customHeight="1">
      <c r="A141" s="695" t="s">
        <v>1085</v>
      </c>
      <c r="B141" s="696">
        <v>10.0</v>
      </c>
      <c r="C141" s="314"/>
      <c r="D141" s="314"/>
      <c r="E141" s="314"/>
      <c r="F141" s="314"/>
      <c r="G141" s="314"/>
      <c r="H141" s="314"/>
      <c r="I141" s="314"/>
      <c r="J141" s="314"/>
    </row>
    <row r="142" ht="12.75" customHeight="1">
      <c r="A142" s="744" t="s">
        <v>1087</v>
      </c>
      <c r="B142" s="745">
        <v>10.0</v>
      </c>
      <c r="C142" s="314"/>
      <c r="D142" s="314"/>
      <c r="E142" s="314"/>
      <c r="F142" s="314"/>
      <c r="G142" s="314"/>
      <c r="H142" s="314"/>
      <c r="I142" s="314"/>
      <c r="J142" s="314"/>
    </row>
    <row r="143" ht="12.75" customHeight="1">
      <c r="A143" s="314"/>
      <c r="B143" s="314"/>
      <c r="C143" s="314"/>
      <c r="D143" s="314"/>
      <c r="E143" s="314"/>
      <c r="F143" s="314"/>
      <c r="G143" s="314"/>
      <c r="H143" s="314"/>
      <c r="I143" s="314"/>
      <c r="J143" s="314"/>
    </row>
    <row r="144" ht="12.75" customHeight="1">
      <c r="A144" s="314"/>
      <c r="B144" s="314"/>
      <c r="C144" s="314"/>
      <c r="D144" s="314"/>
      <c r="E144" s="314"/>
      <c r="F144" s="314"/>
      <c r="G144" s="314"/>
      <c r="H144" s="314"/>
      <c r="I144" s="314"/>
      <c r="J144" s="314"/>
    </row>
    <row r="145" ht="12.75" customHeight="1">
      <c r="A145" s="314"/>
      <c r="B145" s="314"/>
      <c r="C145" s="314"/>
      <c r="D145" s="314"/>
      <c r="E145" s="314"/>
      <c r="F145" s="314"/>
      <c r="G145" s="314"/>
      <c r="H145" s="314"/>
      <c r="I145" s="314"/>
      <c r="J145" s="314"/>
    </row>
    <row r="146" ht="12.75" customHeight="1">
      <c r="A146" s="314"/>
      <c r="B146" s="314"/>
      <c r="C146" s="314"/>
      <c r="D146" s="314"/>
      <c r="E146" s="314"/>
      <c r="F146" s="314"/>
      <c r="G146" s="314"/>
      <c r="H146" s="314"/>
      <c r="I146" s="314"/>
      <c r="J146" s="314"/>
    </row>
    <row r="147" ht="12.75" customHeight="1">
      <c r="A147" s="314"/>
      <c r="B147" s="314"/>
      <c r="C147" s="314"/>
      <c r="D147" s="314"/>
      <c r="E147" s="314"/>
      <c r="F147" s="314"/>
      <c r="G147" s="314"/>
      <c r="H147" s="314"/>
      <c r="I147" s="314"/>
      <c r="J147" s="314"/>
    </row>
    <row r="148" ht="12.75" customHeight="1">
      <c r="A148" s="314"/>
      <c r="B148" s="314"/>
      <c r="C148" s="314"/>
      <c r="D148" s="314"/>
      <c r="E148" s="314"/>
      <c r="F148" s="314"/>
      <c r="G148" s="314"/>
      <c r="H148" s="314"/>
      <c r="I148" s="314"/>
      <c r="J148" s="314"/>
    </row>
    <row r="149" ht="12.75" customHeight="1">
      <c r="A149" s="314"/>
      <c r="B149" s="314"/>
      <c r="C149" s="314"/>
      <c r="D149" s="314"/>
      <c r="E149" s="314"/>
      <c r="F149" s="314"/>
      <c r="G149" s="314"/>
      <c r="H149" s="314"/>
      <c r="I149" s="314"/>
      <c r="J149" s="314"/>
    </row>
    <row r="150" ht="12.75" customHeight="1">
      <c r="A150" s="314"/>
      <c r="B150" s="314"/>
      <c r="C150" s="314"/>
      <c r="D150" s="314"/>
      <c r="E150" s="314"/>
      <c r="F150" s="314"/>
      <c r="G150" s="314"/>
      <c r="H150" s="314"/>
      <c r="I150" s="314"/>
      <c r="J150" s="314"/>
    </row>
    <row r="151" ht="12.75" customHeight="1">
      <c r="A151" s="314"/>
      <c r="B151" s="314"/>
      <c r="C151" s="314"/>
      <c r="D151" s="314"/>
      <c r="E151" s="314"/>
      <c r="F151" s="314"/>
      <c r="G151" s="314"/>
      <c r="H151" s="314"/>
      <c r="I151" s="314"/>
      <c r="J151" s="314"/>
    </row>
    <row r="152" ht="12.75" customHeight="1">
      <c r="A152" s="314"/>
      <c r="B152" s="314"/>
      <c r="C152" s="314"/>
      <c r="D152" s="314"/>
      <c r="E152" s="314"/>
      <c r="F152" s="314"/>
      <c r="G152" s="314"/>
      <c r="H152" s="314"/>
      <c r="I152" s="314"/>
      <c r="J152" s="314"/>
    </row>
    <row r="153" ht="12.75" customHeight="1">
      <c r="A153" s="314"/>
      <c r="B153" s="314"/>
      <c r="C153" s="314"/>
      <c r="D153" s="314"/>
      <c r="E153" s="314"/>
      <c r="F153" s="314"/>
      <c r="G153" s="314"/>
      <c r="H153" s="314"/>
      <c r="I153" s="314"/>
      <c r="J153" s="314"/>
    </row>
    <row r="154" ht="12.75" customHeight="1">
      <c r="A154" s="314"/>
      <c r="B154" s="314"/>
      <c r="C154" s="314"/>
      <c r="D154" s="314"/>
      <c r="E154" s="314"/>
      <c r="F154" s="314"/>
      <c r="G154" s="314"/>
      <c r="H154" s="314"/>
      <c r="I154" s="314"/>
      <c r="J154" s="314"/>
    </row>
    <row r="155" ht="12.75" customHeight="1">
      <c r="A155" s="314"/>
      <c r="B155" s="314"/>
      <c r="C155" s="314"/>
      <c r="D155" s="314"/>
      <c r="E155" s="314"/>
      <c r="F155" s="314"/>
      <c r="G155" s="314"/>
      <c r="H155" s="314"/>
      <c r="I155" s="314"/>
      <c r="J155" s="314"/>
    </row>
    <row r="156" ht="12.75" customHeight="1">
      <c r="A156" s="314"/>
      <c r="B156" s="314"/>
      <c r="C156" s="314"/>
      <c r="D156" s="314"/>
      <c r="E156" s="314"/>
      <c r="F156" s="314"/>
      <c r="G156" s="314"/>
      <c r="H156" s="314"/>
      <c r="I156" s="314"/>
      <c r="J156" s="314"/>
    </row>
    <row r="157" ht="12.75" customHeight="1">
      <c r="A157" s="314"/>
      <c r="B157" s="314"/>
      <c r="C157" s="314"/>
      <c r="D157" s="314"/>
      <c r="E157" s="314"/>
      <c r="F157" s="314"/>
      <c r="G157" s="314"/>
      <c r="H157" s="314"/>
      <c r="I157" s="314"/>
      <c r="J157" s="314"/>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J2"/>
    <mergeCell ref="C24:D24"/>
  </mergeCells>
  <conditionalFormatting sqref="B12:B21">
    <cfRule type="cellIs" dxfId="15" priority="1" stopIfTrue="1" operator="equal">
      <formula>0</formula>
    </cfRule>
  </conditionalFormatting>
  <printOptions/>
  <pageMargins bottom="1.0" footer="0.0" header="0.0" left="0.75" right="0.75" top="1.0"/>
  <pageSetup orientation="landscape"/>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2" width="8.38"/>
    <col customWidth="1" min="13" max="26" width="11.25"/>
  </cols>
  <sheetData>
    <row r="1" ht="37.5" customHeight="1">
      <c r="A1" s="33" t="s">
        <v>72</v>
      </c>
      <c r="B1" s="35">
        <f>'Input sheet'!B1</f>
        <v>0.0</v>
      </c>
      <c r="C1" s="33" t="s">
        <v>57</v>
      </c>
      <c r="D1" s="37">
        <f>'Input sheet'!D1</f>
        <v>39.4</v>
      </c>
      <c r="E1" s="7"/>
      <c r="F1" s="7"/>
      <c r="G1" s="7"/>
      <c r="H1" s="7"/>
      <c r="I1" s="7"/>
      <c r="J1" s="7"/>
      <c r="K1" s="7"/>
      <c r="L1" s="77"/>
    </row>
    <row r="2" ht="12.75" customHeight="1">
      <c r="A2" s="664" t="s">
        <v>888</v>
      </c>
      <c r="L2" s="77"/>
    </row>
    <row r="3" ht="12.75" customHeight="1">
      <c r="A3" s="664" t="s">
        <v>889</v>
      </c>
      <c r="L3" s="77"/>
    </row>
    <row r="4" ht="12.75" customHeight="1">
      <c r="A4" s="668" t="s">
        <v>759</v>
      </c>
      <c r="B4" s="668"/>
      <c r="C4" s="668"/>
      <c r="D4" s="668"/>
      <c r="E4" s="668"/>
      <c r="F4" s="668"/>
      <c r="G4" s="668"/>
      <c r="H4" s="679" t="s">
        <v>890</v>
      </c>
      <c r="I4" s="221"/>
      <c r="J4" s="221"/>
      <c r="K4" s="221"/>
      <c r="L4" s="222"/>
    </row>
    <row r="5" ht="12.75" customHeight="1">
      <c r="A5" s="534" t="s">
        <v>891</v>
      </c>
      <c r="B5" s="534"/>
      <c r="C5" s="534"/>
      <c r="D5" s="534"/>
      <c r="E5" s="670">
        <v>295.0</v>
      </c>
      <c r="F5" s="534"/>
      <c r="G5" s="534"/>
      <c r="H5" s="223"/>
      <c r="L5" s="224"/>
    </row>
    <row r="6" ht="12.75" customHeight="1">
      <c r="A6" s="517" t="s">
        <v>892</v>
      </c>
      <c r="B6" s="517"/>
      <c r="C6" s="517"/>
      <c r="D6" s="517"/>
      <c r="E6" s="517"/>
      <c r="F6" s="517"/>
      <c r="G6" s="517"/>
      <c r="H6" s="223"/>
      <c r="L6" s="224"/>
    </row>
    <row r="7" ht="12.75" customHeight="1">
      <c r="A7" s="576" t="s">
        <v>872</v>
      </c>
      <c r="B7" s="576" t="s">
        <v>893</v>
      </c>
      <c r="C7" s="534" t="s">
        <v>894</v>
      </c>
      <c r="D7" s="534"/>
      <c r="E7" s="534"/>
      <c r="F7" s="534"/>
      <c r="G7" s="534"/>
      <c r="H7" s="223"/>
      <c r="L7" s="224"/>
    </row>
    <row r="8" ht="12.75" customHeight="1">
      <c r="A8" s="576">
        <v>1.0</v>
      </c>
      <c r="B8" s="680">
        <v>287.0</v>
      </c>
      <c r="C8" s="534"/>
      <c r="D8" s="534"/>
      <c r="E8" s="534"/>
      <c r="F8" s="534"/>
      <c r="G8" s="534"/>
      <c r="H8" s="223"/>
      <c r="L8" s="224"/>
    </row>
    <row r="9" ht="12.75" customHeight="1">
      <c r="A9" s="576">
        <v>2.0</v>
      </c>
      <c r="B9" s="680">
        <v>235.0</v>
      </c>
      <c r="C9" s="534"/>
      <c r="D9" s="534"/>
      <c r="E9" s="534"/>
      <c r="F9" s="534"/>
      <c r="G9" s="534"/>
      <c r="H9" s="223"/>
      <c r="L9" s="224"/>
    </row>
    <row r="10" ht="12.75" customHeight="1">
      <c r="A10" s="576">
        <v>3.0</v>
      </c>
      <c r="B10" s="680">
        <v>194.0</v>
      </c>
      <c r="C10" s="534"/>
      <c r="D10" s="534"/>
      <c r="E10" s="534"/>
      <c r="F10" s="534"/>
      <c r="G10" s="534"/>
      <c r="H10" s="223"/>
      <c r="L10" s="224"/>
    </row>
    <row r="11" ht="12.75" customHeight="1">
      <c r="A11" s="576">
        <v>4.0</v>
      </c>
      <c r="B11" s="680">
        <v>151.0</v>
      </c>
      <c r="C11" s="534"/>
      <c r="D11" s="534"/>
      <c r="E11" s="534"/>
      <c r="F11" s="534"/>
      <c r="G11" s="534"/>
      <c r="H11" s="223"/>
      <c r="L11" s="224"/>
    </row>
    <row r="12" ht="12.75" customHeight="1">
      <c r="A12" s="576">
        <v>5.0</v>
      </c>
      <c r="B12" s="680">
        <v>98.0</v>
      </c>
      <c r="C12" s="534"/>
      <c r="D12" s="534"/>
      <c r="E12" s="534"/>
      <c r="F12" s="534"/>
      <c r="G12" s="534"/>
      <c r="H12" s="231"/>
      <c r="I12" s="232"/>
      <c r="J12" s="232"/>
      <c r="K12" s="232"/>
      <c r="L12" s="233"/>
    </row>
    <row r="13" ht="12.75" customHeight="1">
      <c r="A13" s="576" t="s">
        <v>895</v>
      </c>
      <c r="B13" s="681">
        <v>605.0</v>
      </c>
      <c r="C13" s="534"/>
      <c r="D13" s="534"/>
      <c r="E13" s="534"/>
      <c r="F13" s="534"/>
      <c r="G13" s="534"/>
      <c r="H13" s="534"/>
      <c r="I13" s="534"/>
      <c r="J13" s="534"/>
      <c r="K13" s="534"/>
      <c r="L13" s="77"/>
    </row>
    <row r="14" ht="12.75" customHeight="1">
      <c r="A14" s="534"/>
      <c r="B14" s="534"/>
      <c r="C14" s="534"/>
      <c r="D14" s="534"/>
      <c r="E14" s="534"/>
      <c r="F14" s="534"/>
      <c r="G14" s="534"/>
      <c r="H14" s="534"/>
      <c r="I14" s="534"/>
      <c r="J14" s="534"/>
      <c r="K14" s="534"/>
      <c r="L14" s="77"/>
    </row>
    <row r="15" ht="12.75" customHeight="1">
      <c r="A15" s="209" t="s">
        <v>830</v>
      </c>
      <c r="B15" s="209"/>
      <c r="C15" s="209"/>
      <c r="D15" s="209"/>
      <c r="E15" s="209"/>
      <c r="F15" s="209"/>
      <c r="G15" s="209"/>
      <c r="H15" s="209"/>
      <c r="I15" s="209"/>
      <c r="J15" s="209"/>
      <c r="K15" s="209"/>
      <c r="L15" s="77"/>
    </row>
    <row r="16" ht="12.75" customHeight="1">
      <c r="A16" s="534" t="s">
        <v>896</v>
      </c>
      <c r="B16" s="534"/>
      <c r="C16" s="682">
        <f>'Cost of capital worksheet'!B38</f>
        <v>0.055106</v>
      </c>
      <c r="D16" s="534" t="s">
        <v>897</v>
      </c>
      <c r="E16" s="534"/>
      <c r="F16" s="534"/>
      <c r="G16" s="534"/>
      <c r="H16" s="534"/>
      <c r="I16" s="534"/>
      <c r="J16" s="534"/>
      <c r="K16" s="534"/>
      <c r="L16" s="77"/>
    </row>
    <row r="17" ht="12.75" customHeight="1">
      <c r="A17" s="534"/>
      <c r="B17" s="534"/>
      <c r="C17" s="534"/>
      <c r="D17" s="534"/>
      <c r="E17" s="534"/>
      <c r="F17" s="534"/>
      <c r="G17" s="534"/>
      <c r="H17" s="534"/>
      <c r="I17" s="534"/>
      <c r="J17" s="534"/>
      <c r="K17" s="534"/>
      <c r="L17" s="77"/>
    </row>
    <row r="18" ht="12.75" customHeight="1">
      <c r="A18" s="534"/>
      <c r="B18" s="534"/>
      <c r="C18" s="534"/>
      <c r="D18" s="684"/>
      <c r="E18" s="534"/>
      <c r="F18" s="534"/>
      <c r="G18" s="534"/>
      <c r="H18" s="534"/>
      <c r="I18" s="534"/>
      <c r="J18" s="534"/>
      <c r="K18" s="534"/>
      <c r="L18" s="77"/>
    </row>
    <row r="19" ht="12.75" customHeight="1">
      <c r="A19" s="534" t="s">
        <v>899</v>
      </c>
      <c r="B19" s="534"/>
      <c r="C19" s="534"/>
      <c r="D19" s="686">
        <f>IF(B13&gt;0,ROUND(B13/AVERAGE(B8:B12),0),0)</f>
        <v>3.0</v>
      </c>
      <c r="E19" s="534" t="s">
        <v>900</v>
      </c>
      <c r="F19" s="534"/>
      <c r="G19" s="534"/>
      <c r="H19" s="534"/>
      <c r="I19" s="534"/>
      <c r="J19" s="534"/>
      <c r="K19" s="534"/>
      <c r="L19" s="77"/>
    </row>
    <row r="20" ht="12.75" customHeight="1">
      <c r="A20" s="668"/>
      <c r="B20" s="668"/>
      <c r="C20" s="668"/>
      <c r="D20" s="668"/>
      <c r="E20" s="534" t="s">
        <v>901</v>
      </c>
      <c r="F20" s="668"/>
      <c r="G20" s="668"/>
      <c r="H20" s="668"/>
      <c r="I20" s="668"/>
      <c r="J20" s="668"/>
      <c r="K20" s="668"/>
      <c r="L20" s="77"/>
    </row>
    <row r="21" ht="12.75" customHeight="1">
      <c r="A21" s="517" t="s">
        <v>902</v>
      </c>
      <c r="B21" s="517"/>
      <c r="C21" s="517"/>
      <c r="D21" s="517"/>
      <c r="E21" s="517"/>
      <c r="F21" s="517"/>
      <c r="G21" s="517"/>
      <c r="H21" s="517"/>
      <c r="I21" s="517"/>
      <c r="J21" s="517"/>
      <c r="K21" s="517"/>
      <c r="L21" s="77"/>
    </row>
    <row r="22" ht="12.75" customHeight="1">
      <c r="A22" s="576" t="s">
        <v>872</v>
      </c>
      <c r="B22" s="576" t="s">
        <v>893</v>
      </c>
      <c r="C22" s="576" t="s">
        <v>904</v>
      </c>
      <c r="D22" s="534"/>
      <c r="E22" s="534"/>
      <c r="F22" s="534"/>
      <c r="G22" s="534"/>
      <c r="H22" s="534"/>
      <c r="I22" s="534"/>
      <c r="J22" s="534"/>
      <c r="K22" s="534"/>
      <c r="L22" s="77"/>
    </row>
    <row r="23" ht="12.75" customHeight="1">
      <c r="A23" s="558">
        <f t="shared" ref="A23:B23" si="1">A8</f>
        <v>1.0</v>
      </c>
      <c r="B23" s="688">
        <f t="shared" si="1"/>
        <v>287.0</v>
      </c>
      <c r="C23" s="688">
        <f t="shared" ref="C23:C27" si="3">B23/(1+$C$16)^A23</f>
        <v>272.010584718502</v>
      </c>
      <c r="D23" s="534"/>
      <c r="E23" s="534"/>
      <c r="F23" s="534"/>
      <c r="G23" s="534"/>
      <c r="H23" s="534"/>
      <c r="I23" s="534"/>
      <c r="J23" s="534"/>
      <c r="K23" s="534"/>
      <c r="L23" s="77"/>
    </row>
    <row r="24" ht="12.75" customHeight="1">
      <c r="A24" s="558">
        <f t="shared" ref="A24:B24" si="2">A9</f>
        <v>2.0</v>
      </c>
      <c r="B24" s="688">
        <f t="shared" si="2"/>
        <v>235.0</v>
      </c>
      <c r="C24" s="688">
        <f t="shared" si="3"/>
        <v>211.093896693439</v>
      </c>
      <c r="D24" s="534"/>
      <c r="E24" s="534"/>
      <c r="F24" s="534"/>
      <c r="G24" s="534"/>
      <c r="H24" s="534"/>
      <c r="I24" s="534"/>
      <c r="J24" s="534"/>
      <c r="K24" s="534"/>
      <c r="L24" s="77"/>
    </row>
    <row r="25" ht="12.75" customHeight="1">
      <c r="A25" s="558">
        <f t="shared" ref="A25:B25" si="4">A10</f>
        <v>3.0</v>
      </c>
      <c r="B25" s="688">
        <f t="shared" si="4"/>
        <v>194.0</v>
      </c>
      <c r="C25" s="688">
        <f t="shared" si="3"/>
        <v>165.163262041624</v>
      </c>
      <c r="D25" s="534"/>
      <c r="E25" s="534"/>
      <c r="F25" s="534"/>
      <c r="G25" s="534"/>
      <c r="H25" s="534"/>
      <c r="I25" s="534"/>
      <c r="J25" s="534"/>
      <c r="K25" s="534"/>
      <c r="L25" s="77"/>
    </row>
    <row r="26" ht="12.75" customHeight="1">
      <c r="A26" s="558">
        <f t="shared" ref="A26:B26" si="5">A11</f>
        <v>4.0</v>
      </c>
      <c r="B26" s="688">
        <f t="shared" si="5"/>
        <v>151.0</v>
      </c>
      <c r="C26" s="688">
        <f t="shared" si="3"/>
        <v>121.840753579072</v>
      </c>
      <c r="D26" s="534"/>
      <c r="E26" s="534"/>
      <c r="F26" s="534"/>
      <c r="G26" s="534"/>
      <c r="H26" s="534"/>
      <c r="I26" s="534"/>
      <c r="J26" s="534"/>
      <c r="K26" s="534"/>
      <c r="L26" s="77"/>
    </row>
    <row r="27" ht="12.75" customHeight="1">
      <c r="A27" s="558">
        <f t="shared" ref="A27:B27" si="6">A12</f>
        <v>5.0</v>
      </c>
      <c r="B27" s="688">
        <f t="shared" si="6"/>
        <v>98.0</v>
      </c>
      <c r="C27" s="688">
        <f t="shared" si="3"/>
        <v>74.9455087595231</v>
      </c>
      <c r="D27" s="534"/>
      <c r="E27" s="534"/>
      <c r="F27" s="534"/>
      <c r="G27" s="534"/>
      <c r="H27" s="534"/>
      <c r="I27" s="534"/>
      <c r="J27" s="534"/>
      <c r="K27" s="534"/>
      <c r="L27" s="77"/>
    </row>
    <row r="28" ht="12.75" customHeight="1">
      <c r="A28" s="692" t="str">
        <f>A13</f>
        <v>6 and beyond</v>
      </c>
      <c r="B28" s="694">
        <f>IF(B13&gt;0,IF(D19&gt;0,B13/D19,B13),0)</f>
        <v>201.666666666667</v>
      </c>
      <c r="C28" s="694">
        <f>IF(D19&gt;0,(B28*(1-(1+C16)^(-D19))/C16)/(1+$C$16)^5,B28/(1+C16)^6)</f>
        <v>416.005592980978</v>
      </c>
      <c r="D28" s="534" t="s">
        <v>913</v>
      </c>
      <c r="E28" s="534"/>
      <c r="F28" s="534"/>
      <c r="G28" s="534"/>
      <c r="H28" s="534"/>
      <c r="I28" s="534"/>
      <c r="J28" s="534"/>
      <c r="K28" s="534"/>
      <c r="L28" s="77"/>
    </row>
    <row r="29" ht="12.75" customHeight="1">
      <c r="A29" s="697" t="s">
        <v>915</v>
      </c>
      <c r="B29" s="698"/>
      <c r="C29" s="700">
        <f>SUM(C23:C28)</f>
        <v>1261.05959877314</v>
      </c>
      <c r="D29" s="534"/>
      <c r="E29" s="534"/>
      <c r="F29" s="534"/>
      <c r="G29" s="534"/>
      <c r="H29" s="534"/>
      <c r="I29" s="534"/>
      <c r="J29" s="534"/>
      <c r="K29" s="534"/>
      <c r="L29" s="77"/>
    </row>
    <row r="30" ht="12.75" customHeight="1">
      <c r="A30" s="534"/>
      <c r="B30" s="534"/>
      <c r="C30" s="534"/>
      <c r="D30" s="534"/>
      <c r="E30" s="534"/>
      <c r="F30" s="534"/>
      <c r="G30" s="534"/>
      <c r="H30" s="534"/>
      <c r="I30" s="534"/>
      <c r="J30" s="534"/>
      <c r="K30" s="534"/>
      <c r="L30" s="77"/>
    </row>
    <row r="31" ht="12.75" customHeight="1">
      <c r="A31" s="517" t="s">
        <v>918</v>
      </c>
      <c r="B31" s="534"/>
      <c r="C31" s="534"/>
      <c r="D31" s="534"/>
      <c r="E31" s="534"/>
      <c r="F31" s="534"/>
      <c r="G31" s="534"/>
      <c r="H31" s="534"/>
      <c r="I31" s="534"/>
      <c r="J31" s="534"/>
      <c r="K31" s="534"/>
      <c r="L31" s="77"/>
    </row>
    <row r="32" ht="12.75" customHeight="1">
      <c r="A32" s="534" t="s">
        <v>919</v>
      </c>
      <c r="B32" s="534"/>
      <c r="C32" s="534"/>
      <c r="D32" s="534"/>
      <c r="E32" s="534"/>
      <c r="F32" s="694">
        <f>C29/(5+D19)</f>
        <v>157.632449846642</v>
      </c>
      <c r="G32" s="534" t="s">
        <v>922</v>
      </c>
      <c r="H32" s="534"/>
      <c r="I32" s="534"/>
      <c r="J32" s="534"/>
      <c r="K32" s="534"/>
      <c r="L32" s="77"/>
    </row>
    <row r="33" ht="12.75" customHeight="1">
      <c r="A33" s="534" t="s">
        <v>924</v>
      </c>
      <c r="B33" s="534"/>
      <c r="C33" s="534"/>
      <c r="D33" s="534"/>
      <c r="E33" s="534"/>
      <c r="F33" s="703">
        <f>E5-F32</f>
        <v>137.367550153358</v>
      </c>
      <c r="G33" s="534" t="s">
        <v>927</v>
      </c>
      <c r="H33" s="534"/>
      <c r="I33" s="534"/>
      <c r="J33" s="534"/>
      <c r="K33" s="534"/>
      <c r="L33" s="77"/>
    </row>
    <row r="34" ht="12.75" customHeight="1">
      <c r="A34" s="534" t="s">
        <v>928</v>
      </c>
      <c r="B34" s="534"/>
      <c r="C34" s="534"/>
      <c r="D34" s="534"/>
      <c r="E34" s="534"/>
      <c r="F34" s="708">
        <f>C29</f>
        <v>1261.05959877314</v>
      </c>
      <c r="G34" s="534" t="s">
        <v>938</v>
      </c>
      <c r="H34" s="534"/>
      <c r="I34" s="534"/>
      <c r="J34" s="534"/>
      <c r="K34" s="534"/>
      <c r="L34" s="77"/>
    </row>
    <row r="35" ht="12.75" customHeight="1">
      <c r="A35" s="534" t="s">
        <v>939</v>
      </c>
      <c r="B35" s="9"/>
      <c r="C35" s="9"/>
      <c r="D35" s="9"/>
      <c r="E35" s="9"/>
      <c r="F35" s="710">
        <f>C29/(5+D19)</f>
        <v>157.632449846642</v>
      </c>
      <c r="G35" s="9"/>
      <c r="H35" s="9"/>
      <c r="I35" s="9"/>
      <c r="J35" s="9"/>
      <c r="K35" s="9"/>
      <c r="L35" s="77"/>
    </row>
    <row r="36" ht="12.75" customHeight="1">
      <c r="A36" s="9"/>
      <c r="B36" s="9"/>
      <c r="C36" s="9"/>
      <c r="D36" s="9"/>
      <c r="E36" s="9"/>
      <c r="F36" s="9"/>
      <c r="G36" s="9"/>
      <c r="H36" s="9"/>
      <c r="I36" s="9"/>
      <c r="J36" s="9"/>
      <c r="K36" s="9"/>
      <c r="L36" s="77"/>
    </row>
    <row r="37" ht="12.75" customHeight="1">
      <c r="A37" s="9"/>
      <c r="B37" s="9"/>
      <c r="C37" s="9"/>
      <c r="D37" s="9"/>
      <c r="E37" s="9"/>
      <c r="F37" s="9"/>
      <c r="G37" s="9"/>
      <c r="H37" s="9"/>
      <c r="I37" s="9"/>
      <c r="J37" s="9"/>
      <c r="K37" s="9"/>
      <c r="L37" s="77"/>
    </row>
    <row r="38" ht="12.75" customHeight="1">
      <c r="A38" s="9"/>
      <c r="B38" s="9"/>
      <c r="C38" s="9"/>
      <c r="D38" s="9"/>
      <c r="E38" s="9"/>
      <c r="F38" s="9"/>
      <c r="G38" s="9"/>
      <c r="H38" s="9"/>
      <c r="I38" s="9"/>
      <c r="J38" s="9"/>
      <c r="K38" s="9"/>
      <c r="L38" s="77"/>
    </row>
    <row r="39" ht="12.75" customHeight="1">
      <c r="A39" s="9"/>
      <c r="B39" s="9"/>
      <c r="C39" s="9"/>
      <c r="D39" s="9"/>
      <c r="E39" s="9"/>
      <c r="F39" s="9"/>
      <c r="G39" s="9"/>
      <c r="H39" s="9"/>
      <c r="I39" s="9"/>
      <c r="J39" s="9"/>
      <c r="K39" s="9"/>
      <c r="L39" s="77"/>
    </row>
    <row r="40" ht="12.75" customHeight="1">
      <c r="A40" s="9"/>
      <c r="B40" s="9"/>
      <c r="C40" s="9"/>
      <c r="D40" s="9"/>
      <c r="E40" s="9"/>
      <c r="F40" s="9"/>
      <c r="G40" s="9"/>
      <c r="H40" s="9"/>
      <c r="I40" s="9"/>
      <c r="J40" s="9"/>
      <c r="K40" s="9"/>
      <c r="L40" s="77"/>
    </row>
    <row r="41" ht="12.75" customHeight="1">
      <c r="A41" s="9"/>
      <c r="B41" s="9"/>
      <c r="C41" s="9"/>
      <c r="D41" s="9"/>
      <c r="E41" s="9"/>
      <c r="F41" s="9"/>
      <c r="G41" s="9"/>
      <c r="H41" s="9"/>
      <c r="I41" s="9"/>
      <c r="J41" s="9"/>
      <c r="K41" s="9"/>
      <c r="L41" s="77"/>
    </row>
    <row r="42" ht="12.75" customHeight="1">
      <c r="A42" s="9"/>
      <c r="B42" s="9"/>
      <c r="C42" s="9"/>
      <c r="D42" s="9"/>
      <c r="E42" s="9"/>
      <c r="F42" s="9"/>
      <c r="G42" s="9"/>
      <c r="H42" s="9"/>
      <c r="I42" s="9"/>
      <c r="J42" s="9"/>
      <c r="K42" s="9"/>
      <c r="L42" s="77"/>
    </row>
    <row r="43" ht="12.75" customHeight="1">
      <c r="A43" s="9"/>
      <c r="B43" s="9"/>
      <c r="C43" s="9"/>
      <c r="D43" s="9"/>
      <c r="E43" s="9"/>
      <c r="F43" s="9"/>
      <c r="G43" s="9"/>
      <c r="H43" s="9"/>
      <c r="I43" s="9"/>
      <c r="J43" s="9"/>
      <c r="K43" s="9"/>
      <c r="L43" s="77"/>
    </row>
    <row r="44" ht="12.75" customHeight="1">
      <c r="A44" s="9"/>
      <c r="B44" s="9"/>
      <c r="C44" s="9"/>
      <c r="D44" s="9"/>
      <c r="E44" s="9"/>
      <c r="F44" s="9"/>
      <c r="G44" s="9"/>
      <c r="H44" s="9"/>
      <c r="I44" s="9"/>
      <c r="J44" s="9"/>
      <c r="K44" s="9"/>
      <c r="L44" s="77"/>
    </row>
    <row r="45" ht="12.75" customHeight="1">
      <c r="A45" s="9"/>
      <c r="B45" s="9"/>
      <c r="C45" s="9"/>
      <c r="D45" s="9"/>
      <c r="E45" s="9"/>
      <c r="F45" s="9"/>
      <c r="G45" s="9"/>
      <c r="H45" s="9"/>
      <c r="I45" s="9"/>
      <c r="J45" s="9"/>
      <c r="K45" s="9"/>
      <c r="L45" s="77"/>
    </row>
    <row r="46" ht="12.75" customHeight="1">
      <c r="A46" s="9"/>
      <c r="B46" s="9"/>
      <c r="C46" s="9"/>
      <c r="D46" s="9"/>
      <c r="E46" s="9"/>
      <c r="F46" s="9"/>
      <c r="G46" s="9"/>
      <c r="H46" s="9"/>
      <c r="I46" s="9"/>
      <c r="J46" s="9"/>
      <c r="K46" s="9"/>
      <c r="L46" s="77"/>
    </row>
    <row r="47" ht="12.75" customHeight="1">
      <c r="A47" s="9"/>
      <c r="B47" s="9"/>
      <c r="C47" s="9"/>
      <c r="D47" s="9"/>
      <c r="E47" s="9"/>
      <c r="F47" s="9"/>
      <c r="G47" s="9"/>
      <c r="H47" s="9"/>
      <c r="I47" s="9"/>
      <c r="J47" s="9"/>
      <c r="K47" s="9"/>
      <c r="L47" s="77"/>
    </row>
    <row r="48" ht="12.75" customHeight="1">
      <c r="A48" s="9"/>
      <c r="B48" s="9"/>
      <c r="C48" s="9"/>
      <c r="D48" s="9"/>
      <c r="E48" s="9"/>
      <c r="F48" s="9"/>
      <c r="G48" s="9"/>
      <c r="H48" s="9"/>
      <c r="I48" s="9"/>
      <c r="J48" s="9"/>
      <c r="K48" s="9"/>
      <c r="L48" s="77"/>
    </row>
    <row r="49" ht="12.75" customHeight="1">
      <c r="A49" s="9"/>
      <c r="B49" s="9"/>
      <c r="C49" s="9"/>
      <c r="D49" s="9"/>
      <c r="E49" s="9"/>
      <c r="F49" s="9"/>
      <c r="G49" s="9"/>
      <c r="H49" s="9"/>
      <c r="I49" s="9"/>
      <c r="J49" s="9"/>
      <c r="K49" s="9"/>
      <c r="L49" s="77"/>
    </row>
    <row r="50" ht="12.75" customHeight="1">
      <c r="A50" s="9"/>
      <c r="B50" s="9"/>
      <c r="C50" s="9"/>
      <c r="D50" s="9"/>
      <c r="E50" s="9"/>
      <c r="F50" s="9"/>
      <c r="G50" s="9"/>
      <c r="H50" s="9"/>
      <c r="I50" s="9"/>
      <c r="J50" s="9"/>
      <c r="K50" s="9"/>
      <c r="L50" s="77"/>
    </row>
    <row r="51" ht="15.75" customHeight="1">
      <c r="A51" s="77"/>
      <c r="B51" s="77"/>
      <c r="C51" s="77"/>
      <c r="D51" s="77"/>
      <c r="E51" s="77"/>
      <c r="F51" s="77"/>
      <c r="G51" s="77"/>
      <c r="H51" s="77"/>
      <c r="I51" s="77"/>
      <c r="J51" s="77"/>
      <c r="K51" s="77"/>
      <c r="L51" s="77"/>
    </row>
    <row r="52" ht="15.75" customHeight="1">
      <c r="A52" s="77"/>
      <c r="B52" s="77"/>
      <c r="C52" s="77"/>
      <c r="D52" s="77"/>
      <c r="E52" s="77"/>
      <c r="F52" s="77"/>
      <c r="G52" s="77"/>
      <c r="H52" s="77"/>
      <c r="I52" s="77"/>
      <c r="J52" s="77"/>
      <c r="K52" s="77"/>
      <c r="L52" s="77"/>
    </row>
    <row r="53" ht="15.75" customHeight="1">
      <c r="A53" s="77"/>
      <c r="B53" s="77"/>
      <c r="C53" s="77"/>
      <c r="D53" s="77"/>
      <c r="E53" s="77"/>
      <c r="F53" s="77"/>
      <c r="G53" s="77"/>
      <c r="H53" s="77"/>
      <c r="I53" s="77"/>
      <c r="J53" s="77"/>
      <c r="K53" s="77"/>
      <c r="L53" s="77"/>
    </row>
    <row r="54" ht="15.75" customHeight="1">
      <c r="A54" s="77"/>
      <c r="B54" s="77"/>
      <c r="C54" s="77"/>
      <c r="D54" s="77"/>
      <c r="E54" s="77"/>
      <c r="F54" s="77"/>
      <c r="G54" s="77"/>
      <c r="H54" s="77"/>
      <c r="I54" s="77"/>
      <c r="J54" s="77"/>
      <c r="K54" s="77"/>
      <c r="L54" s="77"/>
    </row>
    <row r="55" ht="15.75" customHeight="1">
      <c r="A55" s="77"/>
      <c r="B55" s="77"/>
      <c r="C55" s="77"/>
      <c r="D55" s="77"/>
      <c r="E55" s="77"/>
      <c r="F55" s="77"/>
      <c r="G55" s="77"/>
      <c r="H55" s="77"/>
      <c r="I55" s="77"/>
      <c r="J55" s="77"/>
      <c r="K55" s="77"/>
      <c r="L55" s="77"/>
    </row>
    <row r="56" ht="15.75" customHeight="1">
      <c r="A56" s="77"/>
      <c r="B56" s="77"/>
      <c r="C56" s="77"/>
      <c r="D56" s="77"/>
      <c r="E56" s="77"/>
      <c r="F56" s="77"/>
      <c r="G56" s="77"/>
      <c r="H56" s="77"/>
      <c r="I56" s="77"/>
      <c r="J56" s="77"/>
      <c r="K56" s="77"/>
      <c r="L56" s="77"/>
    </row>
    <row r="57" ht="15.75" customHeight="1">
      <c r="A57" s="77"/>
      <c r="B57" s="77"/>
      <c r="C57" s="77"/>
      <c r="D57" s="77"/>
      <c r="E57" s="77"/>
      <c r="F57" s="77"/>
      <c r="G57" s="77"/>
      <c r="H57" s="77"/>
      <c r="I57" s="77"/>
      <c r="J57" s="77"/>
      <c r="K57" s="77"/>
      <c r="L57" s="77"/>
    </row>
    <row r="58" ht="15.75" customHeight="1">
      <c r="A58" s="77"/>
      <c r="B58" s="77"/>
      <c r="C58" s="77"/>
      <c r="D58" s="77"/>
      <c r="E58" s="77"/>
      <c r="F58" s="77"/>
      <c r="G58" s="77"/>
      <c r="H58" s="77"/>
      <c r="I58" s="77"/>
      <c r="J58" s="77"/>
      <c r="K58" s="77"/>
      <c r="L58" s="77"/>
    </row>
    <row r="59" ht="15.75" customHeight="1">
      <c r="A59" s="77"/>
      <c r="B59" s="77"/>
      <c r="C59" s="77"/>
      <c r="D59" s="77"/>
      <c r="E59" s="77"/>
      <c r="F59" s="77"/>
      <c r="G59" s="77"/>
      <c r="H59" s="77"/>
      <c r="I59" s="77"/>
      <c r="J59" s="77"/>
      <c r="K59" s="77"/>
      <c r="L59" s="77"/>
    </row>
    <row r="60" ht="15.75" customHeight="1">
      <c r="A60" s="77"/>
      <c r="B60" s="77"/>
      <c r="C60" s="77"/>
      <c r="D60" s="77"/>
      <c r="E60" s="77"/>
      <c r="F60" s="77"/>
      <c r="G60" s="77"/>
      <c r="H60" s="77"/>
      <c r="I60" s="77"/>
      <c r="J60" s="77"/>
      <c r="K60" s="77"/>
      <c r="L60" s="77"/>
    </row>
    <row r="61" ht="15.75" customHeight="1">
      <c r="A61" s="77"/>
      <c r="B61" s="77"/>
      <c r="C61" s="77"/>
      <c r="D61" s="77"/>
      <c r="E61" s="77"/>
      <c r="F61" s="77"/>
      <c r="G61" s="77"/>
      <c r="H61" s="77"/>
      <c r="I61" s="77"/>
      <c r="J61" s="77"/>
      <c r="K61" s="77"/>
      <c r="L61" s="77"/>
    </row>
    <row r="62" ht="15.75" customHeight="1">
      <c r="A62" s="77"/>
      <c r="B62" s="77"/>
      <c r="C62" s="77"/>
      <c r="D62" s="77"/>
      <c r="E62" s="77"/>
      <c r="F62" s="77"/>
      <c r="G62" s="77"/>
      <c r="H62" s="77"/>
      <c r="I62" s="77"/>
      <c r="J62" s="77"/>
      <c r="K62" s="77"/>
      <c r="L62" s="77"/>
    </row>
    <row r="63" ht="15.75" customHeight="1">
      <c r="A63" s="77"/>
      <c r="B63" s="77"/>
      <c r="C63" s="77"/>
      <c r="D63" s="77"/>
      <c r="E63" s="77"/>
      <c r="F63" s="77"/>
      <c r="G63" s="77"/>
      <c r="H63" s="77"/>
      <c r="I63" s="77"/>
      <c r="J63" s="77"/>
      <c r="K63" s="77"/>
      <c r="L63" s="77"/>
    </row>
    <row r="64" ht="15.75" customHeight="1">
      <c r="A64" s="77"/>
      <c r="B64" s="77"/>
      <c r="C64" s="77"/>
      <c r="D64" s="77"/>
      <c r="E64" s="77"/>
      <c r="F64" s="77"/>
      <c r="G64" s="77"/>
      <c r="H64" s="77"/>
      <c r="I64" s="77"/>
      <c r="J64" s="77"/>
      <c r="K64" s="77"/>
      <c r="L64" s="77"/>
    </row>
    <row r="65" ht="15.75" customHeight="1">
      <c r="A65" s="77"/>
      <c r="B65" s="77"/>
      <c r="C65" s="77"/>
      <c r="D65" s="77"/>
      <c r="E65" s="77"/>
      <c r="F65" s="77"/>
      <c r="G65" s="77"/>
      <c r="H65" s="77"/>
      <c r="I65" s="77"/>
      <c r="J65" s="77"/>
      <c r="K65" s="77"/>
      <c r="L65" s="77"/>
    </row>
    <row r="66" ht="15.75" customHeight="1">
      <c r="A66" s="77"/>
      <c r="B66" s="77"/>
      <c r="C66" s="77"/>
      <c r="D66" s="77"/>
      <c r="E66" s="77"/>
      <c r="F66" s="77"/>
      <c r="G66" s="77"/>
      <c r="H66" s="77"/>
      <c r="I66" s="77"/>
      <c r="J66" s="77"/>
      <c r="K66" s="77"/>
      <c r="L66" s="77"/>
    </row>
    <row r="67" ht="15.75" customHeight="1">
      <c r="A67" s="77"/>
      <c r="B67" s="77"/>
      <c r="C67" s="77"/>
      <c r="D67" s="77"/>
      <c r="E67" s="77"/>
      <c r="F67" s="77"/>
      <c r="G67" s="77"/>
      <c r="H67" s="77"/>
      <c r="I67" s="77"/>
      <c r="J67" s="77"/>
      <c r="K67" s="77"/>
      <c r="L67" s="77"/>
    </row>
    <row r="68" ht="15.75" customHeight="1">
      <c r="A68" s="77"/>
      <c r="B68" s="77"/>
      <c r="C68" s="77"/>
      <c r="D68" s="77"/>
      <c r="E68" s="77"/>
      <c r="F68" s="77"/>
      <c r="G68" s="77"/>
      <c r="H68" s="77"/>
      <c r="I68" s="77"/>
      <c r="J68" s="77"/>
      <c r="K68" s="77"/>
      <c r="L68" s="77"/>
    </row>
    <row r="69" ht="15.75" customHeight="1">
      <c r="A69" s="77"/>
      <c r="B69" s="77"/>
      <c r="C69" s="77"/>
      <c r="D69" s="77"/>
      <c r="E69" s="77"/>
      <c r="F69" s="77"/>
      <c r="G69" s="77"/>
      <c r="H69" s="77"/>
      <c r="I69" s="77"/>
      <c r="J69" s="77"/>
      <c r="K69" s="77"/>
      <c r="L69" s="77"/>
    </row>
    <row r="70" ht="15.75" customHeight="1">
      <c r="A70" s="77"/>
      <c r="B70" s="77"/>
      <c r="C70" s="77"/>
      <c r="D70" s="77"/>
      <c r="E70" s="77"/>
      <c r="F70" s="77"/>
      <c r="G70" s="77"/>
      <c r="H70" s="77"/>
      <c r="I70" s="77"/>
      <c r="J70" s="77"/>
      <c r="K70" s="77"/>
      <c r="L70" s="77"/>
    </row>
    <row r="71" ht="15.75" customHeight="1">
      <c r="A71" s="77"/>
      <c r="B71" s="77"/>
      <c r="C71" s="77"/>
      <c r="D71" s="77"/>
      <c r="E71" s="77"/>
      <c r="F71" s="77"/>
      <c r="G71" s="77"/>
      <c r="H71" s="77"/>
      <c r="I71" s="77"/>
      <c r="J71" s="77"/>
      <c r="K71" s="77"/>
      <c r="L71" s="77"/>
    </row>
    <row r="72" ht="15.75" customHeight="1">
      <c r="A72" s="77"/>
      <c r="B72" s="77"/>
      <c r="C72" s="77"/>
      <c r="D72" s="77"/>
      <c r="E72" s="77"/>
      <c r="F72" s="77"/>
      <c r="G72" s="77"/>
      <c r="H72" s="77"/>
      <c r="I72" s="77"/>
      <c r="J72" s="77"/>
      <c r="K72" s="77"/>
      <c r="L72" s="77"/>
    </row>
    <row r="73" ht="15.75" customHeight="1">
      <c r="A73" s="77"/>
      <c r="B73" s="77"/>
      <c r="C73" s="77"/>
      <c r="D73" s="77"/>
      <c r="E73" s="77"/>
      <c r="F73" s="77"/>
      <c r="G73" s="77"/>
      <c r="H73" s="77"/>
      <c r="I73" s="77"/>
      <c r="J73" s="77"/>
      <c r="K73" s="77"/>
      <c r="L73" s="77"/>
    </row>
    <row r="74" ht="15.75" customHeight="1">
      <c r="A74" s="77"/>
      <c r="B74" s="77"/>
      <c r="C74" s="77"/>
      <c r="D74" s="77"/>
      <c r="E74" s="77"/>
      <c r="F74" s="77"/>
      <c r="G74" s="77"/>
      <c r="H74" s="77"/>
      <c r="I74" s="77"/>
      <c r="J74" s="77"/>
      <c r="K74" s="77"/>
      <c r="L74" s="77"/>
    </row>
    <row r="75" ht="15.75" customHeight="1">
      <c r="A75" s="77"/>
      <c r="B75" s="77"/>
      <c r="C75" s="77"/>
      <c r="D75" s="77"/>
      <c r="E75" s="77"/>
      <c r="F75" s="77"/>
      <c r="G75" s="77"/>
      <c r="H75" s="77"/>
      <c r="I75" s="77"/>
      <c r="J75" s="77"/>
      <c r="K75" s="77"/>
      <c r="L75" s="77"/>
    </row>
    <row r="76" ht="15.75" customHeight="1">
      <c r="A76" s="77"/>
      <c r="B76" s="77"/>
      <c r="C76" s="77"/>
      <c r="D76" s="77"/>
      <c r="E76" s="77"/>
      <c r="F76" s="77"/>
      <c r="G76" s="77"/>
      <c r="H76" s="77"/>
      <c r="I76" s="77"/>
      <c r="J76" s="77"/>
      <c r="K76" s="77"/>
      <c r="L76" s="77"/>
    </row>
    <row r="77" ht="15.75" customHeight="1">
      <c r="A77" s="77"/>
      <c r="B77" s="77"/>
      <c r="C77" s="77"/>
      <c r="D77" s="77"/>
      <c r="E77" s="77"/>
      <c r="F77" s="77"/>
      <c r="G77" s="77"/>
      <c r="H77" s="77"/>
      <c r="I77" s="77"/>
      <c r="J77" s="77"/>
      <c r="K77" s="77"/>
      <c r="L77" s="77"/>
    </row>
    <row r="78" ht="15.75" customHeight="1">
      <c r="A78" s="77"/>
      <c r="B78" s="77"/>
      <c r="C78" s="77"/>
      <c r="D78" s="77"/>
      <c r="E78" s="77"/>
      <c r="F78" s="77"/>
      <c r="G78" s="77"/>
      <c r="H78" s="77"/>
      <c r="I78" s="77"/>
      <c r="J78" s="77"/>
      <c r="K78" s="77"/>
      <c r="L78" s="77"/>
    </row>
    <row r="79" ht="15.75" customHeight="1">
      <c r="A79" s="77"/>
      <c r="B79" s="77"/>
      <c r="C79" s="77"/>
      <c r="D79" s="77"/>
      <c r="E79" s="77"/>
      <c r="F79" s="77"/>
      <c r="G79" s="77"/>
      <c r="H79" s="77"/>
      <c r="I79" s="77"/>
      <c r="J79" s="77"/>
      <c r="K79" s="77"/>
      <c r="L79" s="77"/>
    </row>
    <row r="80" ht="15.75" customHeight="1">
      <c r="A80" s="77"/>
      <c r="B80" s="77"/>
      <c r="C80" s="77"/>
      <c r="D80" s="77"/>
      <c r="E80" s="77"/>
      <c r="F80" s="77"/>
      <c r="G80" s="77"/>
      <c r="H80" s="77"/>
      <c r="I80" s="77"/>
      <c r="J80" s="77"/>
      <c r="K80" s="77"/>
      <c r="L80" s="77"/>
    </row>
    <row r="81" ht="15.75" customHeight="1">
      <c r="A81" s="77"/>
      <c r="B81" s="77"/>
      <c r="C81" s="77"/>
      <c r="D81" s="77"/>
      <c r="E81" s="77"/>
      <c r="F81" s="77"/>
      <c r="G81" s="77"/>
      <c r="H81" s="77"/>
      <c r="I81" s="77"/>
      <c r="J81" s="77"/>
      <c r="K81" s="77"/>
      <c r="L81" s="77"/>
    </row>
    <row r="82" ht="15.75" customHeight="1">
      <c r="A82" s="77"/>
      <c r="B82" s="77"/>
      <c r="C82" s="77"/>
      <c r="D82" s="77"/>
      <c r="E82" s="77"/>
      <c r="F82" s="77"/>
      <c r="G82" s="77"/>
      <c r="H82" s="77"/>
      <c r="I82" s="77"/>
      <c r="J82" s="77"/>
      <c r="K82" s="77"/>
      <c r="L82" s="77"/>
    </row>
    <row r="83" ht="15.75" customHeight="1">
      <c r="A83" s="77"/>
      <c r="B83" s="77"/>
      <c r="C83" s="77"/>
      <c r="D83" s="77"/>
      <c r="E83" s="77"/>
      <c r="F83" s="77"/>
      <c r="G83" s="77"/>
      <c r="H83" s="77"/>
      <c r="I83" s="77"/>
      <c r="J83" s="77"/>
      <c r="K83" s="77"/>
      <c r="L83" s="77"/>
    </row>
    <row r="84" ht="15.75" customHeight="1">
      <c r="A84" s="77"/>
      <c r="B84" s="77"/>
      <c r="C84" s="77"/>
      <c r="D84" s="77"/>
      <c r="E84" s="77"/>
      <c r="F84" s="77"/>
      <c r="G84" s="77"/>
      <c r="H84" s="77"/>
      <c r="I84" s="77"/>
      <c r="J84" s="77"/>
      <c r="K84" s="77"/>
      <c r="L84" s="77"/>
    </row>
    <row r="85" ht="15.75" customHeight="1">
      <c r="A85" s="77"/>
      <c r="B85" s="77"/>
      <c r="C85" s="77"/>
      <c r="D85" s="77"/>
      <c r="E85" s="77"/>
      <c r="F85" s="77"/>
      <c r="G85" s="77"/>
      <c r="H85" s="77"/>
      <c r="I85" s="77"/>
      <c r="J85" s="77"/>
      <c r="K85" s="77"/>
      <c r="L85" s="77"/>
    </row>
    <row r="86" ht="15.75" customHeight="1">
      <c r="A86" s="77"/>
      <c r="B86" s="77"/>
      <c r="C86" s="77"/>
      <c r="D86" s="77"/>
      <c r="E86" s="77"/>
      <c r="F86" s="77"/>
      <c r="G86" s="77"/>
      <c r="H86" s="77"/>
      <c r="I86" s="77"/>
      <c r="J86" s="77"/>
      <c r="K86" s="77"/>
      <c r="L86" s="77"/>
    </row>
    <row r="87" ht="15.75" customHeight="1">
      <c r="A87" s="77"/>
      <c r="B87" s="77"/>
      <c r="C87" s="77"/>
      <c r="D87" s="77"/>
      <c r="E87" s="77"/>
      <c r="F87" s="77"/>
      <c r="G87" s="77"/>
      <c r="H87" s="77"/>
      <c r="I87" s="77"/>
      <c r="J87" s="77"/>
      <c r="K87" s="77"/>
      <c r="L87" s="77"/>
    </row>
    <row r="88" ht="15.75" customHeight="1">
      <c r="A88" s="77"/>
      <c r="B88" s="77"/>
      <c r="C88" s="77"/>
      <c r="D88" s="77"/>
      <c r="E88" s="77"/>
      <c r="F88" s="77"/>
      <c r="G88" s="77"/>
      <c r="H88" s="77"/>
      <c r="I88" s="77"/>
      <c r="J88" s="77"/>
      <c r="K88" s="77"/>
      <c r="L88" s="77"/>
    </row>
    <row r="89" ht="15.75" customHeight="1">
      <c r="A89" s="77"/>
      <c r="B89" s="77"/>
      <c r="C89" s="77"/>
      <c r="D89" s="77"/>
      <c r="E89" s="77"/>
      <c r="F89" s="77"/>
      <c r="G89" s="77"/>
      <c r="H89" s="77"/>
      <c r="I89" s="77"/>
      <c r="J89" s="77"/>
      <c r="K89" s="77"/>
      <c r="L89" s="77"/>
    </row>
    <row r="90" ht="15.75" customHeight="1">
      <c r="A90" s="77"/>
      <c r="B90" s="77"/>
      <c r="C90" s="77"/>
      <c r="D90" s="77"/>
      <c r="E90" s="77"/>
      <c r="F90" s="77"/>
      <c r="G90" s="77"/>
      <c r="H90" s="77"/>
      <c r="I90" s="77"/>
      <c r="J90" s="77"/>
      <c r="K90" s="77"/>
      <c r="L90" s="77"/>
    </row>
    <row r="91" ht="15.75" customHeight="1">
      <c r="A91" s="77"/>
      <c r="B91" s="77"/>
      <c r="C91" s="77"/>
      <c r="D91" s="77"/>
      <c r="E91" s="77"/>
      <c r="F91" s="77"/>
      <c r="G91" s="77"/>
      <c r="H91" s="77"/>
      <c r="I91" s="77"/>
      <c r="J91" s="77"/>
      <c r="K91" s="77"/>
      <c r="L91" s="77"/>
    </row>
    <row r="92" ht="15.75" customHeight="1">
      <c r="A92" s="77"/>
      <c r="B92" s="77"/>
      <c r="C92" s="77"/>
      <c r="D92" s="77"/>
      <c r="E92" s="77"/>
      <c r="F92" s="77"/>
      <c r="G92" s="77"/>
      <c r="H92" s="77"/>
      <c r="I92" s="77"/>
      <c r="J92" s="77"/>
      <c r="K92" s="77"/>
      <c r="L92" s="77"/>
    </row>
    <row r="93" ht="15.75" customHeight="1">
      <c r="A93" s="77"/>
      <c r="B93" s="77"/>
      <c r="C93" s="77"/>
      <c r="D93" s="77"/>
      <c r="E93" s="77"/>
      <c r="F93" s="77"/>
      <c r="G93" s="77"/>
      <c r="H93" s="77"/>
      <c r="I93" s="77"/>
      <c r="J93" s="77"/>
      <c r="K93" s="77"/>
      <c r="L93" s="77"/>
    </row>
    <row r="94" ht="15.75" customHeight="1">
      <c r="A94" s="77"/>
      <c r="B94" s="77"/>
      <c r="C94" s="77"/>
      <c r="D94" s="77"/>
      <c r="E94" s="77"/>
      <c r="F94" s="77"/>
      <c r="G94" s="77"/>
      <c r="H94" s="77"/>
      <c r="I94" s="77"/>
      <c r="J94" s="77"/>
      <c r="K94" s="77"/>
      <c r="L94" s="77"/>
    </row>
    <row r="95" ht="15.75" customHeight="1">
      <c r="A95" s="77"/>
      <c r="B95" s="77"/>
      <c r="C95" s="77"/>
      <c r="D95" s="77"/>
      <c r="E95" s="77"/>
      <c r="F95" s="77"/>
      <c r="G95" s="77"/>
      <c r="H95" s="77"/>
      <c r="I95" s="77"/>
      <c r="J95" s="77"/>
      <c r="K95" s="77"/>
      <c r="L95" s="77"/>
    </row>
    <row r="96" ht="15.75" customHeight="1">
      <c r="A96" s="77"/>
      <c r="B96" s="77"/>
      <c r="C96" s="77"/>
      <c r="D96" s="77"/>
      <c r="E96" s="77"/>
      <c r="F96" s="77"/>
      <c r="G96" s="77"/>
      <c r="H96" s="77"/>
      <c r="I96" s="77"/>
      <c r="J96" s="77"/>
      <c r="K96" s="77"/>
      <c r="L96" s="77"/>
    </row>
    <row r="97" ht="15.75" customHeight="1">
      <c r="A97" s="77"/>
      <c r="B97" s="77"/>
      <c r="C97" s="77"/>
      <c r="D97" s="77"/>
      <c r="E97" s="77"/>
      <c r="F97" s="77"/>
      <c r="G97" s="77"/>
      <c r="H97" s="77"/>
      <c r="I97" s="77"/>
      <c r="J97" s="77"/>
      <c r="K97" s="77"/>
      <c r="L97" s="77"/>
    </row>
    <row r="98" ht="15.75" customHeight="1">
      <c r="A98" s="77"/>
      <c r="B98" s="77"/>
      <c r="C98" s="77"/>
      <c r="D98" s="77"/>
      <c r="E98" s="77"/>
      <c r="F98" s="77"/>
      <c r="G98" s="77"/>
      <c r="H98" s="77"/>
      <c r="I98" s="77"/>
      <c r="J98" s="77"/>
      <c r="K98" s="77"/>
      <c r="L98" s="77"/>
    </row>
    <row r="99" ht="15.75" customHeight="1">
      <c r="A99" s="77"/>
      <c r="B99" s="77"/>
      <c r="C99" s="77"/>
      <c r="D99" s="77"/>
      <c r="E99" s="77"/>
      <c r="F99" s="77"/>
      <c r="G99" s="77"/>
      <c r="H99" s="77"/>
      <c r="I99" s="77"/>
      <c r="J99" s="77"/>
      <c r="K99" s="77"/>
      <c r="L99" s="77"/>
    </row>
    <row r="100" ht="15.75" customHeight="1">
      <c r="A100" s="77"/>
      <c r="B100" s="77"/>
      <c r="C100" s="77"/>
      <c r="D100" s="77"/>
      <c r="E100" s="77"/>
      <c r="F100" s="77"/>
      <c r="G100" s="77"/>
      <c r="H100" s="77"/>
      <c r="I100" s="77"/>
      <c r="J100" s="77"/>
      <c r="K100" s="77"/>
      <c r="L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K2"/>
    <mergeCell ref="A3:K3"/>
    <mergeCell ref="H4:L12"/>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2.63" defaultRowHeight="15.0"/>
  <cols>
    <col customWidth="1" min="1" max="1" width="31.25"/>
    <col customWidth="1" min="2" max="2" width="13.5"/>
    <col customWidth="1" min="3" max="3" width="10.0"/>
    <col customWidth="1" min="4" max="4" width="10.63"/>
    <col customWidth="1" min="5" max="5" width="9.38"/>
    <col customWidth="1" min="6" max="6" width="8.38"/>
    <col customWidth="1" min="7" max="7" width="15.13"/>
    <col customWidth="1" min="8" max="8" width="12.63"/>
    <col customWidth="1" min="9" max="9" width="8.38"/>
    <col customWidth="1" min="10" max="10" width="11.5"/>
    <col customWidth="1" min="11" max="11" width="14.13"/>
    <col customWidth="1" min="12" max="12" width="13.5"/>
    <col customWidth="1" min="13" max="16" width="8.38"/>
    <col customWidth="1" min="17" max="26" width="11.25"/>
  </cols>
  <sheetData>
    <row r="1" ht="37.5" customHeight="1">
      <c r="A1" s="2" t="str">
        <f>'Input sheet'!A1</f>
        <v>Novo Nordisk (NYSE:NVO)</v>
      </c>
      <c r="B1" s="2"/>
      <c r="C1" s="2" t="s">
        <v>57</v>
      </c>
      <c r="D1" s="2">
        <f>'Input sheet'!D1</f>
        <v>39.4</v>
      </c>
      <c r="E1" s="7"/>
      <c r="F1" s="7"/>
      <c r="G1" s="7"/>
      <c r="H1" s="7"/>
      <c r="I1" s="7"/>
      <c r="J1" s="7"/>
      <c r="K1" s="7"/>
      <c r="L1" s="7"/>
      <c r="M1" s="7"/>
      <c r="N1" s="7"/>
      <c r="O1" s="7"/>
      <c r="P1" s="7"/>
    </row>
    <row r="2" ht="12.75" customHeight="1">
      <c r="A2" s="699" t="s">
        <v>912</v>
      </c>
      <c r="B2" s="500"/>
      <c r="C2" s="500"/>
      <c r="D2" s="500"/>
      <c r="E2" s="500"/>
      <c r="F2" s="500"/>
      <c r="G2" s="500"/>
      <c r="H2" s="500"/>
      <c r="I2" s="500"/>
      <c r="J2" s="500"/>
      <c r="K2" s="501"/>
      <c r="L2" s="9"/>
      <c r="M2" s="9"/>
      <c r="N2" s="9"/>
      <c r="O2" s="9"/>
      <c r="P2" s="9"/>
    </row>
    <row r="3" ht="12.75" customHeight="1">
      <c r="A3" s="505"/>
      <c r="B3" s="506"/>
      <c r="C3" s="506"/>
      <c r="D3" s="506"/>
      <c r="E3" s="506"/>
      <c r="F3" s="506"/>
      <c r="G3" s="506"/>
      <c r="H3" s="506"/>
      <c r="I3" s="506"/>
      <c r="J3" s="506"/>
      <c r="K3" s="507"/>
      <c r="L3" s="9"/>
      <c r="M3" s="9"/>
      <c r="N3" s="9"/>
      <c r="O3" s="9"/>
      <c r="P3" s="9"/>
    </row>
    <row r="4" ht="12.75" customHeight="1">
      <c r="A4" s="701" t="s">
        <v>921</v>
      </c>
      <c r="B4" s="500"/>
      <c r="C4" s="500"/>
      <c r="D4" s="500"/>
      <c r="E4" s="500"/>
      <c r="F4" s="702"/>
      <c r="G4" s="309" t="s">
        <v>925</v>
      </c>
      <c r="H4" s="702"/>
      <c r="I4" s="702"/>
      <c r="J4" s="702"/>
      <c r="K4" s="702"/>
      <c r="L4" s="702"/>
      <c r="M4" s="702"/>
      <c r="N4" s="702"/>
      <c r="O4" s="702"/>
      <c r="P4" s="702"/>
    </row>
    <row r="5" ht="15.0" customHeight="1">
      <c r="A5" s="704" t="s">
        <v>929</v>
      </c>
      <c r="B5" s="221"/>
      <c r="C5" s="221"/>
      <c r="D5" s="221"/>
      <c r="E5" s="222"/>
      <c r="F5" s="702"/>
      <c r="G5" s="705" t="s">
        <v>931</v>
      </c>
      <c r="H5" s="705" t="s">
        <v>158</v>
      </c>
      <c r="I5" s="705" t="s">
        <v>932</v>
      </c>
      <c r="J5" s="705" t="s">
        <v>933</v>
      </c>
      <c r="K5" s="705" t="s">
        <v>935</v>
      </c>
      <c r="L5" s="706"/>
      <c r="M5" s="706"/>
      <c r="N5" s="706"/>
      <c r="O5" s="706"/>
      <c r="P5" s="706"/>
    </row>
    <row r="6" ht="15.0" customHeight="1">
      <c r="A6" s="223"/>
      <c r="E6" s="224"/>
      <c r="F6" s="702"/>
      <c r="G6" s="681" t="s">
        <v>936</v>
      </c>
      <c r="H6" s="707"/>
      <c r="I6" s="709">
        <f>IF(H6=0,0,VLOOKUP(G6,'Country equity risk premiums'!$A$6:$D$197,4))</f>
        <v>0.0</v>
      </c>
      <c r="J6" s="709">
        <f t="shared" ref="J6:J18" si="1">IF(H6&gt;0,H6/$H$19,)</f>
        <v>0.0</v>
      </c>
      <c r="K6" s="709">
        <f t="shared" ref="K6:K18" si="2">IF(J6=0,0,I6*J6)</f>
        <v>0.0</v>
      </c>
      <c r="L6" s="534"/>
      <c r="M6" s="711" t="s">
        <v>944</v>
      </c>
      <c r="N6" s="27"/>
      <c r="O6" s="27"/>
      <c r="P6" s="27"/>
    </row>
    <row r="7" ht="15.0" customHeight="1">
      <c r="A7" s="223"/>
      <c r="E7" s="224"/>
      <c r="F7" s="702"/>
      <c r="G7" s="681" t="s">
        <v>946</v>
      </c>
      <c r="H7" s="681"/>
      <c r="I7" s="709">
        <f>IF(H7=0,0,VLOOKUP(G7,'Country equity risk premiums'!$A$6:$D$197,4))</f>
        <v>0.0</v>
      </c>
      <c r="J7" s="709">
        <f t="shared" si="1"/>
        <v>0.0</v>
      </c>
      <c r="K7" s="709">
        <f t="shared" si="2"/>
        <v>0.0</v>
      </c>
      <c r="L7" s="534"/>
      <c r="M7" s="28"/>
    </row>
    <row r="8" ht="15.0" customHeight="1">
      <c r="A8" s="223"/>
      <c r="E8" s="224"/>
      <c r="F8" s="702"/>
      <c r="G8" s="681" t="s">
        <v>949</v>
      </c>
      <c r="H8" s="681"/>
      <c r="I8" s="709">
        <f>IF(H8=0,0,VLOOKUP(G8,'Country equity risk premiums'!$A$6:$D$197,4))</f>
        <v>0.0</v>
      </c>
      <c r="J8" s="709">
        <f t="shared" si="1"/>
        <v>0.0</v>
      </c>
      <c r="K8" s="709">
        <f t="shared" si="2"/>
        <v>0.0</v>
      </c>
      <c r="L8" s="534"/>
      <c r="M8" s="28"/>
    </row>
    <row r="9" ht="15.0" customHeight="1">
      <c r="A9" s="223"/>
      <c r="E9" s="224"/>
      <c r="F9" s="702"/>
      <c r="G9" s="681" t="s">
        <v>952</v>
      </c>
      <c r="H9" s="681"/>
      <c r="I9" s="709">
        <f>IF(H9=0,0,VLOOKUP(G9,'Country equity risk premiums'!$A$5:$D$196,4))</f>
        <v>0.0</v>
      </c>
      <c r="J9" s="709">
        <f t="shared" si="1"/>
        <v>0.0</v>
      </c>
      <c r="K9" s="709">
        <f t="shared" si="2"/>
        <v>0.0</v>
      </c>
      <c r="L9" s="534"/>
      <c r="M9" s="28"/>
    </row>
    <row r="10" ht="15.0" customHeight="1">
      <c r="A10" s="231"/>
      <c r="B10" s="232"/>
      <c r="C10" s="232"/>
      <c r="D10" s="232"/>
      <c r="E10" s="233"/>
      <c r="F10" s="702"/>
      <c r="G10" s="681"/>
      <c r="H10" s="681"/>
      <c r="I10" s="709">
        <f>IF(H10=0,0,VLOOKUP(G10,'Country equity risk premiums'!$A$5:$D$196,4))</f>
        <v>0.0</v>
      </c>
      <c r="J10" s="709">
        <f t="shared" si="1"/>
        <v>0.0</v>
      </c>
      <c r="K10" s="709">
        <f t="shared" si="2"/>
        <v>0.0</v>
      </c>
      <c r="L10" s="534"/>
      <c r="M10" s="28"/>
    </row>
    <row r="11" ht="15.0" customHeight="1">
      <c r="A11" s="712"/>
      <c r="B11" s="712"/>
      <c r="C11" s="712"/>
      <c r="D11" s="712"/>
      <c r="E11" s="712"/>
      <c r="F11" s="702"/>
      <c r="G11" s="681"/>
      <c r="H11" s="681"/>
      <c r="I11" s="709">
        <f>IF(H11=0,0,VLOOKUP(G11,'Country equity risk premiums'!$A$5:$D$196,4))</f>
        <v>0.0</v>
      </c>
      <c r="J11" s="709">
        <f t="shared" si="1"/>
        <v>0.0</v>
      </c>
      <c r="K11" s="709">
        <f t="shared" si="2"/>
        <v>0.0</v>
      </c>
      <c r="L11" s="534"/>
      <c r="M11" s="28"/>
    </row>
    <row r="12" ht="15.0" customHeight="1">
      <c r="A12" s="712" t="s">
        <v>959</v>
      </c>
      <c r="B12" s="713" t="inlineStr">
        <is>
          <t xml:space="preserve">Detailed</t>
        </is>
      </c>
      <c r="C12" s="712"/>
      <c r="D12" s="712"/>
      <c r="E12" s="712"/>
      <c r="F12" s="702"/>
      <c r="G12" s="681"/>
      <c r="H12" s="681"/>
      <c r="I12" s="709">
        <f>IF(H12=0,0,VLOOKUP(G12,'Country equity risk premiums'!$A$5:$D$196,4))</f>
        <v>0.0</v>
      </c>
      <c r="J12" s="709">
        <f t="shared" si="1"/>
        <v>0.0</v>
      </c>
      <c r="K12" s="709">
        <f t="shared" si="2"/>
        <v>0.0</v>
      </c>
      <c r="L12" s="534"/>
      <c r="M12" s="28"/>
    </row>
    <row r="13" ht="15.0" customHeight="1">
      <c r="A13" s="712" t="s">
        <v>963</v>
      </c>
      <c r="B13" s="714">
        <v>0.09</v>
      </c>
      <c r="C13" s="712"/>
      <c r="D13" s="712"/>
      <c r="E13" s="712"/>
      <c r="F13" s="702"/>
      <c r="G13" s="681"/>
      <c r="H13" s="681"/>
      <c r="I13" s="709">
        <f>IF(H13=0,0,VLOOKUP(G13,'Country equity risk premiums'!$A$5:$D$196,4))</f>
        <v>0.0</v>
      </c>
      <c r="J13" s="709">
        <f t="shared" si="1"/>
        <v>0.0</v>
      </c>
      <c r="K13" s="709">
        <f t="shared" si="2"/>
        <v>0.0</v>
      </c>
      <c r="L13" s="534"/>
      <c r="M13" s="28"/>
    </row>
    <row r="14" ht="15.0" customHeight="1">
      <c r="A14" s="712" t="s">
        <v>967</v>
      </c>
      <c r="B14" s="715">
        <f>IF(B12="I will input",B13,IF(B12="Detailed",E63,IF(B12="Industry Average",B68,B73)))</f>
        <v>0.100420989928469</v>
      </c>
      <c r="C14" s="712"/>
      <c r="D14" s="712"/>
      <c r="E14" s="712"/>
      <c r="F14" s="702"/>
      <c r="G14" s="681"/>
      <c r="H14" s="681"/>
      <c r="I14" s="709">
        <f>IF(H14=0,0,VLOOKUP(G14,'Country equity risk premiums'!$A$5:$D$196,4))</f>
        <v>0.0</v>
      </c>
      <c r="J14" s="709">
        <f t="shared" si="1"/>
        <v>0.0</v>
      </c>
      <c r="K14" s="709">
        <f t="shared" si="2"/>
        <v>0.0</v>
      </c>
      <c r="L14" s="534"/>
      <c r="M14" s="28"/>
    </row>
    <row r="15" ht="15.0" customHeight="1">
      <c r="A15" s="712"/>
      <c r="B15" s="712"/>
      <c r="C15" s="712"/>
      <c r="D15" s="712"/>
      <c r="E15" s="712"/>
      <c r="F15" s="702"/>
      <c r="G15" s="681"/>
      <c r="H15" s="681"/>
      <c r="I15" s="709">
        <f>IF(H15=0,0,VLOOKUP(G15,'Country equity risk premiums'!$A$5:$D$196,4))</f>
        <v>0.0</v>
      </c>
      <c r="J15" s="709">
        <f t="shared" si="1"/>
        <v>0.0</v>
      </c>
      <c r="K15" s="709">
        <f t="shared" si="2"/>
        <v>0.0</v>
      </c>
      <c r="L15" s="534"/>
      <c r="M15" s="28"/>
    </row>
    <row r="16" ht="15.0" customHeight="1">
      <c r="A16" s="716" t="s">
        <v>976</v>
      </c>
      <c r="B16" s="218"/>
      <c r="C16" s="218"/>
      <c r="D16" s="218"/>
      <c r="E16" s="218"/>
      <c r="F16" s="219"/>
      <c r="G16" s="681"/>
      <c r="H16" s="681"/>
      <c r="I16" s="709">
        <f>IF(H16=0,0,VLOOKUP(G16,'Country equity risk premiums'!$A$5:$D$196,4))</f>
        <v>0.0</v>
      </c>
      <c r="J16" s="709">
        <f t="shared" si="1"/>
        <v>0.0</v>
      </c>
      <c r="K16" s="709">
        <f t="shared" si="2"/>
        <v>0.0</v>
      </c>
      <c r="L16" s="534"/>
      <c r="M16" s="28"/>
    </row>
    <row r="17" ht="15.0" customHeight="1">
      <c r="A17" s="706" t="s">
        <v>759</v>
      </c>
      <c r="B17" s="717"/>
      <c r="C17" s="717"/>
      <c r="D17" s="706"/>
      <c r="E17" s="706"/>
      <c r="F17" s="706"/>
      <c r="G17" s="718" t="s">
        <v>980</v>
      </c>
      <c r="H17" s="681"/>
      <c r="I17" s="719">
        <v>0.0</v>
      </c>
      <c r="J17" s="709">
        <f t="shared" si="1"/>
        <v>0.0</v>
      </c>
      <c r="K17" s="709">
        <f t="shared" si="2"/>
        <v>0.0</v>
      </c>
      <c r="L17" s="534"/>
      <c r="M17" s="28"/>
    </row>
    <row r="18" ht="15.0" customHeight="1">
      <c r="A18" s="668" t="s">
        <v>505</v>
      </c>
      <c r="B18" s="720"/>
      <c r="C18" s="534"/>
      <c r="D18" s="534"/>
      <c r="E18" s="534"/>
      <c r="F18" s="534"/>
      <c r="G18" s="718"/>
      <c r="H18" s="681"/>
      <c r="I18" s="718"/>
      <c r="J18" s="709">
        <f t="shared" si="1"/>
        <v>0.0</v>
      </c>
      <c r="K18" s="709">
        <f t="shared" si="2"/>
        <v>0.0</v>
      </c>
      <c r="L18" s="534"/>
      <c r="M18" s="28"/>
    </row>
    <row r="19" ht="15.0" customHeight="1">
      <c r="A19" s="534" t="s">
        <v>983</v>
      </c>
      <c r="B19" s="721">
        <f>'Input sheet'!B22</f>
        <v>4416.8</v>
      </c>
      <c r="C19" s="534"/>
      <c r="D19" s="534"/>
      <c r="E19" s="534"/>
      <c r="F19" s="534"/>
      <c r="G19" s="722" t="s">
        <v>114</v>
      </c>
      <c r="H19" s="723">
        <f>SUM(H6:H18)</f>
        <v>0.0</v>
      </c>
      <c r="I19" s="722"/>
      <c r="J19" s="709">
        <f t="shared" ref="J19:K19" si="3">SUM(J6:J18)</f>
        <v>0.0</v>
      </c>
      <c r="K19" s="709">
        <f t="shared" si="3"/>
        <v>0.0</v>
      </c>
      <c r="L19" s="534"/>
      <c r="M19" s="28"/>
    </row>
    <row r="20" ht="15.0" customHeight="1">
      <c r="A20" s="534" t="s">
        <v>987</v>
      </c>
      <c r="B20" s="688">
        <f>'Input sheet'!B23</f>
        <v>39.4</v>
      </c>
      <c r="C20" s="534"/>
      <c r="D20" s="534"/>
      <c r="E20" s="534"/>
      <c r="F20" s="534"/>
      <c r="G20" s="309" t="s">
        <v>988</v>
      </c>
      <c r="H20" s="534"/>
      <c r="I20" s="534"/>
      <c r="J20" s="534"/>
      <c r="K20" s="534"/>
      <c r="L20" s="534"/>
      <c r="M20" s="28"/>
    </row>
    <row r="21" ht="15.0" customHeight="1">
      <c r="A21" s="534"/>
      <c r="B21" s="534"/>
      <c r="C21" s="534"/>
      <c r="D21" s="534"/>
      <c r="E21" s="534"/>
      <c r="F21" s="534"/>
      <c r="G21" s="558" t="s">
        <v>990</v>
      </c>
      <c r="H21" s="558" t="s">
        <v>158</v>
      </c>
      <c r="I21" s="558" t="s">
        <v>932</v>
      </c>
      <c r="J21" s="558" t="s">
        <v>933</v>
      </c>
      <c r="K21" s="558" t="s">
        <v>935</v>
      </c>
      <c r="L21" s="534"/>
      <c r="M21" s="534"/>
      <c r="N21" s="534"/>
      <c r="O21" s="534"/>
      <c r="P21" s="534"/>
    </row>
    <row r="22" ht="15.0" customHeight="1">
      <c r="A22" s="534" t="s">
        <v>991</v>
      </c>
      <c r="B22" s="681" t="inlineStr">
        <is>
          <t xml:space="preserve">Single Business(Global)</t>
        </is>
      </c>
      <c r="C22" s="534"/>
      <c r="D22" s="534"/>
      <c r="E22" s="534"/>
      <c r="F22" s="534"/>
      <c r="G22" s="558" t="str">
        <f>'Country equity risk premiums'!A202</f>
        <v>Africa</v>
      </c>
      <c r="H22" s="681"/>
      <c r="I22" s="556">
        <f>'Country equity risk premiums'!B202</f>
        <v>0.119493080505368</v>
      </c>
      <c r="J22" s="709">
        <f t="shared" ref="J22:J32" si="4">H22/$H$33</f>
        <v>0.0</v>
      </c>
      <c r="K22" s="724">
        <f t="shared" ref="K22:K32" si="5">I22*J22</f>
        <v>0.0</v>
      </c>
      <c r="L22" s="534"/>
      <c r="M22" s="534"/>
      <c r="N22" s="534"/>
      <c r="O22" s="534"/>
      <c r="P22" s="534"/>
    </row>
    <row r="23" ht="15.0" customHeight="1">
      <c r="A23" s="534" t="s">
        <v>998</v>
      </c>
      <c r="B23" s="725">
        <v>1.2</v>
      </c>
      <c r="C23" s="534"/>
      <c r="D23" s="534"/>
      <c r="E23" s="534"/>
      <c r="F23" s="534"/>
      <c r="G23" s="558" t="str">
        <f>'Country equity risk premiums'!A203</f>
        <v>Asia</v>
      </c>
      <c r="H23" s="681">
        <v>19899</v>
      </c>
      <c r="I23" s="556">
        <f>'Country equity risk premiums'!B203</f>
        <v>0.0572232356484523</v>
      </c>
      <c r="J23" s="709">
        <f t="shared" si="4"/>
        <v>0.133953995597472</v>
      </c>
      <c r="K23" s="724">
        <f t="shared" si="5"/>
        <v>0.00766528105612585</v>
      </c>
      <c r="L23" s="534"/>
      <c r="M23" s="534"/>
      <c r="N23" s="534"/>
      <c r="O23" s="534"/>
      <c r="P23" s="534"/>
    </row>
    <row r="24" ht="15.0" customHeight="1">
      <c r="A24" s="534" t="s">
        <v>1002</v>
      </c>
      <c r="B24" s="721">
        <f>IF(B22="Single Business(US)",VLOOKUP('Input sheet'!B9,'Industry Averages(US)'!A3:G96,7),IF(B22="Multibusiness(US)",K49,IF(B22="Single Business(Global)",VLOOKUP('Input sheet'!B10,'Industry Averages (Global)'!A3:G96,7),'Cost of capital worksheet'!K65)))</f>
        <v>0.998754303547714</v>
      </c>
      <c r="C24" s="534"/>
      <c r="D24" s="534"/>
      <c r="E24" s="534"/>
      <c r="F24" s="534"/>
      <c r="G24" s="558" t="str">
        <f>'Country equity risk premiums'!A204</f>
        <v>Australia &amp; New Zealand</v>
      </c>
      <c r="H24" s="681"/>
      <c r="I24" s="556">
        <f>'Country equity risk premiums'!B204</f>
        <v>0.0423408217320042</v>
      </c>
      <c r="J24" s="709">
        <f t="shared" si="4"/>
        <v>0.0</v>
      </c>
      <c r="K24" s="724">
        <f t="shared" si="5"/>
        <v>0.0</v>
      </c>
      <c r="L24" s="534"/>
      <c r="M24" s="534"/>
      <c r="N24" s="534"/>
      <c r="O24" s="534"/>
      <c r="P24" s="534"/>
    </row>
    <row r="25" ht="15.0" customHeight="1">
      <c r="A25" s="534" t="s">
        <v>1006</v>
      </c>
      <c r="B25" s="709">
        <f>'Input sheet'!B35</f>
        <v>0.0496</v>
      </c>
      <c r="C25" s="534"/>
      <c r="D25" s="534"/>
      <c r="E25" s="534"/>
      <c r="F25" s="534"/>
      <c r="G25" s="558" t="str">
        <f>'Country equity risk premiums'!A205</f>
        <v>Caribbean</v>
      </c>
      <c r="H25" s="681"/>
      <c r="I25" s="556">
        <f>'Country equity risk premiums'!B205</f>
        <v>0.117176823349771</v>
      </c>
      <c r="J25" s="709">
        <f t="shared" si="4"/>
        <v>0.0</v>
      </c>
      <c r="K25" s="724">
        <f t="shared" si="5"/>
        <v>0.0</v>
      </c>
      <c r="L25" s="534"/>
      <c r="M25" s="534"/>
      <c r="N25" s="534"/>
      <c r="O25" s="534"/>
      <c r="P25" s="534"/>
    </row>
    <row r="26" ht="15.0" customHeight="1">
      <c r="A26" s="534" t="s">
        <v>1009</v>
      </c>
      <c r="B26" s="726" t="inlineStr">
        <is>
          <t xml:space="preserve">Operating regions</t>
        </is>
      </c>
      <c r="C26" s="534"/>
      <c r="D26" s="534"/>
      <c r="E26" s="534"/>
      <c r="F26" s="534"/>
      <c r="G26" s="558" t="str">
        <f>'Country equity risk premiums'!A206</f>
        <v>Central and South America</v>
      </c>
      <c r="H26" s="681"/>
      <c r="I26" s="556">
        <f>'Country equity risk premiums'!B206</f>
        <v>0.0846284962061898</v>
      </c>
      <c r="J26" s="709">
        <f t="shared" si="4"/>
        <v>0.0</v>
      </c>
      <c r="K26" s="724">
        <f t="shared" si="5"/>
        <v>0.0</v>
      </c>
      <c r="L26" s="534"/>
      <c r="M26" s="534"/>
      <c r="N26" s="534"/>
      <c r="O26" s="534"/>
      <c r="P26" s="534"/>
    </row>
    <row r="27" ht="15.0" customHeight="1">
      <c r="A27" s="534" t="s">
        <v>1012</v>
      </c>
      <c r="B27" s="728">
        <v>0.06</v>
      </c>
      <c r="C27" s="534"/>
      <c r="D27" s="534"/>
      <c r="E27" s="534"/>
      <c r="F27" s="534"/>
      <c r="G27" s="558" t="str">
        <f>'Country equity risk premiums'!A207</f>
        <v>Eastern Europe</v>
      </c>
      <c r="H27" s="681"/>
      <c r="I27" s="556">
        <f>'Country equity risk premiums'!B207</f>
        <v>0.0757770910184508</v>
      </c>
      <c r="J27" s="709">
        <f t="shared" si="4"/>
        <v>0.0</v>
      </c>
      <c r="K27" s="724">
        <f t="shared" si="5"/>
        <v>0.0</v>
      </c>
      <c r="L27" s="534"/>
      <c r="M27" s="534"/>
      <c r="N27" s="534"/>
      <c r="O27" s="534"/>
      <c r="P27" s="534"/>
    </row>
    <row r="28" ht="15.0" customHeight="1">
      <c r="A28" s="534" t="s">
        <v>1015</v>
      </c>
      <c r="B28" s="729">
        <f>IF(B26="Will Input",B27,IF(B26="Country of Incorporation",VLOOKUP('Input sheet'!B8,'Country equity risk premiums'!A6:E196,4),IF(B26="Operating regions",'Cost of capital worksheet'!K33,'Cost of capital worksheet'!K19)))</f>
        <v>0.0524492859460162</v>
      </c>
      <c r="C28" s="534"/>
      <c r="D28" s="534"/>
      <c r="E28" s="534"/>
      <c r="F28" s="534"/>
      <c r="G28" s="558" t="str">
        <f>'Country equity risk premiums'!A208</f>
        <v>Middle East</v>
      </c>
      <c r="H28" s="681"/>
      <c r="I28" s="556">
        <f>'Country equity risk premiums'!B208</f>
        <v>0.0623668644036819</v>
      </c>
      <c r="J28" s="709">
        <f t="shared" si="4"/>
        <v>0.0</v>
      </c>
      <c r="K28" s="724">
        <f t="shared" si="5"/>
        <v>0.0</v>
      </c>
      <c r="L28" s="534"/>
      <c r="M28" s="534"/>
      <c r="N28" s="534"/>
      <c r="O28" s="534"/>
      <c r="P28" s="534"/>
    </row>
    <row r="29" ht="15.0" customHeight="1">
      <c r="A29" s="534"/>
      <c r="B29" s="534"/>
      <c r="C29" s="534"/>
      <c r="D29" s="534"/>
      <c r="E29" s="534"/>
      <c r="F29" s="534"/>
      <c r="G29" s="558" t="str">
        <f>'Country equity risk premiums'!A209</f>
        <v>North America</v>
      </c>
      <c r="H29" s="707">
        <v>76254</v>
      </c>
      <c r="I29" s="556">
        <f>'Country equity risk premiums'!B209</f>
        <v>0.044464748784794</v>
      </c>
      <c r="J29" s="709">
        <f t="shared" si="4"/>
        <v>0.513318658238585</v>
      </c>
      <c r="K29" s="724">
        <f t="shared" si="5"/>
        <v>0.0228245851851262</v>
      </c>
      <c r="L29" s="534"/>
      <c r="M29" s="534"/>
      <c r="N29" s="534"/>
      <c r="O29" s="534"/>
      <c r="P29" s="534"/>
    </row>
    <row r="30" ht="15.0" customHeight="1">
      <c r="A30" s="668" t="s">
        <v>1032</v>
      </c>
      <c r="B30" s="534"/>
      <c r="C30" s="534"/>
      <c r="D30" s="534"/>
      <c r="E30" s="534"/>
      <c r="F30" s="534"/>
      <c r="G30" s="558" t="str">
        <f>'Country equity risk premiums'!A210</f>
        <v>Western Europe</v>
      </c>
      <c r="H30" s="681">
        <v>37124</v>
      </c>
      <c r="I30" s="556">
        <f>'Country equity risk premiums'!B210</f>
        <v>0.0526654676788577</v>
      </c>
      <c r="J30" s="709">
        <f t="shared" si="4"/>
        <v>0.249907439195966</v>
      </c>
      <c r="K30" s="724">
        <f t="shared" si="5"/>
        <v>0.0131614921616813</v>
      </c>
      <c r="L30" s="534"/>
      <c r="M30" s="534"/>
      <c r="N30" s="534"/>
      <c r="O30" s="534"/>
      <c r="P30" s="534"/>
    </row>
    <row r="31" ht="15.0" customHeight="1">
      <c r="A31" s="534" t="s">
        <v>1036</v>
      </c>
      <c r="B31" s="688">
        <f>'Input sheet'!B16</f>
        <v>21361.0</v>
      </c>
      <c r="C31" s="534"/>
      <c r="D31" s="534"/>
      <c r="E31" s="534"/>
      <c r="F31" s="534"/>
      <c r="G31" s="681" t="s">
        <v>1037</v>
      </c>
      <c r="H31" s="681">
        <v>0</v>
      </c>
      <c r="I31" s="732">
        <v>0.0587</v>
      </c>
      <c r="J31" s="709">
        <f t="shared" si="4"/>
        <v>0.0</v>
      </c>
      <c r="K31" s="724">
        <f t="shared" si="5"/>
        <v>0.0</v>
      </c>
      <c r="L31" s="534"/>
      <c r="M31" s="534"/>
      <c r="N31" s="534"/>
      <c r="O31" s="534"/>
      <c r="P31" s="534"/>
    </row>
    <row r="32" ht="15.0" customHeight="1">
      <c r="A32" s="534" t="s">
        <v>1039</v>
      </c>
      <c r="B32" s="688">
        <f>'Input sheet'!B14</f>
        <v>-659.9</v>
      </c>
      <c r="C32" s="534"/>
      <c r="D32" s="534"/>
      <c r="E32" s="534"/>
      <c r="F32" s="534"/>
      <c r="G32" s="681" t="s">
        <v>980</v>
      </c>
      <c r="H32" s="707">
        <v>15274</v>
      </c>
      <c r="I32" s="732">
        <f>AVERAGE(I22,I26,I27,I28)</f>
        <v>0.0855663830334227</v>
      </c>
      <c r="J32" s="709">
        <f t="shared" si="4"/>
        <v>0.102819906967977</v>
      </c>
      <c r="K32" s="724">
        <f t="shared" si="5"/>
        <v>0.00879792754308284</v>
      </c>
      <c r="L32" s="534"/>
      <c r="M32" s="534"/>
      <c r="N32" s="534"/>
      <c r="O32" s="534"/>
      <c r="P32" s="534"/>
    </row>
    <row r="33" ht="15.0" customHeight="1">
      <c r="A33" s="534" t="s">
        <v>1041</v>
      </c>
      <c r="B33" s="733">
        <v>3.0</v>
      </c>
      <c r="C33" s="534"/>
      <c r="D33" s="534"/>
      <c r="E33" s="534"/>
      <c r="F33" s="534"/>
      <c r="G33" s="722" t="s">
        <v>114</v>
      </c>
      <c r="H33" s="722">
        <f>SUM(H22:H32)</f>
        <v>148551.0</v>
      </c>
      <c r="I33" s="709"/>
      <c r="J33" s="709">
        <f t="shared" ref="J33:K33" si="6">SUM(J22:J32)</f>
        <v>1.0</v>
      </c>
      <c r="K33" s="724">
        <f t="shared" si="6"/>
        <v>0.0524492859460162</v>
      </c>
      <c r="L33" s="534"/>
      <c r="M33" s="534"/>
      <c r="N33" s="534"/>
      <c r="O33" s="534"/>
      <c r="P33" s="534"/>
    </row>
    <row r="34" ht="15.0" customHeight="1">
      <c r="A34" s="534" t="s">
        <v>1044</v>
      </c>
      <c r="B34" s="669" t="inlineStr">
        <is>
          <t xml:space="preserve">Actual rating</t>
        </is>
      </c>
      <c r="C34" s="534"/>
      <c r="D34" s="534"/>
      <c r="E34" s="534"/>
      <c r="F34" s="534"/>
      <c r="G34" s="534"/>
      <c r="H34" s="534"/>
      <c r="I34" s="534"/>
      <c r="J34" s="534"/>
      <c r="K34" s="534"/>
      <c r="L34" s="534"/>
      <c r="M34" s="534"/>
      <c r="N34" s="534"/>
      <c r="O34" s="534"/>
      <c r="P34" s="534"/>
    </row>
    <row r="35" ht="15.0" customHeight="1">
      <c r="A35" s="534" t="s">
        <v>1046</v>
      </c>
      <c r="B35" s="734">
        <v>0.04</v>
      </c>
      <c r="C35" s="534"/>
      <c r="D35" s="534"/>
      <c r="E35" s="534"/>
      <c r="F35" s="534"/>
      <c r="G35" s="702" t="s">
        <v>1048</v>
      </c>
      <c r="H35" s="534"/>
      <c r="I35" s="534"/>
      <c r="J35" s="534"/>
      <c r="K35" s="534"/>
      <c r="L35" s="534"/>
      <c r="M35" s="534"/>
      <c r="N35" s="534"/>
      <c r="O35" s="534"/>
      <c r="P35" s="534"/>
    </row>
    <row r="36" ht="15.0" customHeight="1">
      <c r="A36" s="534" t="s">
        <v>1049</v>
      </c>
      <c r="B36" s="669" t="inlineStr">
        <is>
          <t xml:space="preserve">Aa2/AA</t>
        </is>
      </c>
      <c r="C36" s="534"/>
      <c r="D36" s="534"/>
      <c r="E36" s="534"/>
      <c r="F36" s="534"/>
      <c r="G36" s="558" t="s">
        <v>1050</v>
      </c>
      <c r="H36" s="558" t="s">
        <v>158</v>
      </c>
      <c r="I36" s="558" t="s">
        <v>616</v>
      </c>
      <c r="J36" s="558" t="s">
        <v>1051</v>
      </c>
      <c r="K36" s="558" t="s">
        <v>1052</v>
      </c>
      <c r="L36" s="558" t="s">
        <v>320</v>
      </c>
      <c r="M36" s="534"/>
      <c r="N36" s="534"/>
      <c r="O36" s="534"/>
      <c r="P36" s="534"/>
    </row>
    <row r="37" ht="15.0" customHeight="1">
      <c r="A37" s="534" t="s">
        <v>1054</v>
      </c>
      <c r="B37" s="669">
        <v>2.0</v>
      </c>
      <c r="C37" s="534"/>
      <c r="D37" s="534"/>
      <c r="E37" s="534"/>
      <c r="F37" s="534"/>
      <c r="G37" s="681" t="s">
        <v>1055</v>
      </c>
      <c r="H37" s="735">
        <v>23770.0</v>
      </c>
      <c r="I37" s="736">
        <f>IF(G37=0,,VLOOKUP(G37,'Industry Averages(US)'!$A$3:$S$96,15))</f>
        <v>11.4087636730966</v>
      </c>
      <c r="J37" s="737">
        <f t="shared" ref="J37:J48" si="7">H37*I37</f>
        <v>271186.312509506</v>
      </c>
      <c r="K37" s="738">
        <f>IF(I37=0,0,VLOOKUP(G37,'Industry Averages(US)'!$A$3:$S$96,7))</f>
        <v>1.24819941746654</v>
      </c>
      <c r="L37" s="729">
        <f>IF(I37=0,0,VLOOKUP(G37,'Industry Averages(US)'!$A$3:$S$96,13))</f>
        <v>0.0934404807240011</v>
      </c>
      <c r="M37" s="534"/>
      <c r="N37" s="534"/>
      <c r="O37" s="534"/>
      <c r="P37" s="534"/>
    </row>
    <row r="38" ht="15.0" customHeight="1">
      <c r="A38" s="534" t="s">
        <v>896</v>
      </c>
      <c r="B38" s="729">
        <f>IF(B34="Direct Input",B35,IF(B34="Synthetic Rating",'Synthetic rating'!D17,B25+VLOOKUP('Cost of capital worksheet'!B36,'Synthetic rating'!G43:H57,2)))</f>
        <v>0.055106</v>
      </c>
      <c r="C38" s="534"/>
      <c r="D38" s="534"/>
      <c r="E38" s="534"/>
      <c r="F38" s="534"/>
      <c r="G38" s="681" t="s">
        <v>911</v>
      </c>
      <c r="H38" s="735"/>
      <c r="I38" s="736">
        <f>IF(G38=0,,VLOOKUP(G38,'Industry Averages(US)'!$A$3:$S$96,15))</f>
        <v>2.12489448233471</v>
      </c>
      <c r="J38" s="737">
        <f t="shared" si="7"/>
        <v>0.0</v>
      </c>
      <c r="K38" s="738">
        <f>IF(I38=0,0,VLOOKUP(G38,'Industry Averages(US)'!$A$3:$S$96,7))</f>
        <v>1.00800989034213</v>
      </c>
      <c r="L38" s="729">
        <f>IF(I38=0,0,VLOOKUP(G38,'Industry Averages(US)'!$A$3:$S$96,13))</f>
        <v>0.078061237361683</v>
      </c>
      <c r="M38" s="534"/>
      <c r="N38" s="534"/>
      <c r="O38" s="534"/>
      <c r="P38" s="534"/>
    </row>
    <row r="39" ht="15.0" customHeight="1">
      <c r="A39" s="534" t="s">
        <v>1063</v>
      </c>
      <c r="B39" s="739">
        <f>'Input sheet'!B25</f>
        <v>0.22</v>
      </c>
      <c r="C39" s="534"/>
      <c r="D39" s="534"/>
      <c r="E39" s="534"/>
      <c r="F39" s="534"/>
      <c r="G39" s="681" t="s">
        <v>972</v>
      </c>
      <c r="H39" s="735"/>
      <c r="I39" s="736">
        <f>IF(G39=0,,VLOOKUP(G39,'Industry Averages(US)'!$A$3:$S$96,15))</f>
        <v>4.33382465792971</v>
      </c>
      <c r="J39" s="737">
        <f t="shared" si="7"/>
        <v>0.0</v>
      </c>
      <c r="K39" s="738">
        <f>IF(I39=0,0,VLOOKUP(G39,'Industry Averages(US)'!$A$3:$S$96,7))</f>
        <v>0.762846830783095</v>
      </c>
      <c r="L39" s="729">
        <f>IF(I39=0,0,VLOOKUP(G39,'Industry Averages(US)'!$A$3:$S$96,13))</f>
        <v>0.0712752908757008</v>
      </c>
      <c r="M39" s="534"/>
      <c r="N39" s="534"/>
      <c r="O39" s="534"/>
      <c r="P39" s="534"/>
    </row>
    <row r="40" ht="15.0" customHeight="1">
      <c r="A40" s="534"/>
      <c r="B40" s="534"/>
      <c r="C40" s="534"/>
      <c r="D40" s="534"/>
      <c r="E40" s="534"/>
      <c r="F40" s="534"/>
      <c r="G40" s="681"/>
      <c r="H40" s="735"/>
      <c r="I40" s="736">
        <f>IF(G40=0,,VLOOKUP(G40,'Industry Averages(US)'!$A$2:$S$95,15))</f>
        <v>0.0</v>
      </c>
      <c r="J40" s="737">
        <f t="shared" si="7"/>
        <v>0.0</v>
      </c>
      <c r="K40" s="738">
        <f>IF(I40=0,0,VLOOKUP(G40,'Industry Averages(US)'!$A$3:$S$96,7))</f>
        <v>0.0</v>
      </c>
      <c r="L40" s="729">
        <f>IF(I40=0,0,VLOOKUP(G40,'Industry Averages(US)'!$A$2:$S$95,13))</f>
        <v>0.0</v>
      </c>
      <c r="M40" s="534"/>
      <c r="N40" s="534"/>
      <c r="O40" s="534"/>
      <c r="P40" s="534"/>
    </row>
    <row r="41" ht="15.0" customHeight="1">
      <c r="A41" s="534" t="s">
        <v>1070</v>
      </c>
      <c r="B41" s="733">
        <v>0.0</v>
      </c>
      <c r="C41" s="534"/>
      <c r="D41" s="534"/>
      <c r="E41" s="534"/>
      <c r="F41" s="534"/>
      <c r="G41" s="681"/>
      <c r="H41" s="735"/>
      <c r="I41" s="736">
        <f>IF(G41=0,,VLOOKUP(G41,'Industry Averages(US)'!$A$2:$S$95,15))</f>
        <v>0.0</v>
      </c>
      <c r="J41" s="737">
        <f t="shared" si="7"/>
        <v>0.0</v>
      </c>
      <c r="K41" s="738">
        <f>IF(I41=0,0,VLOOKUP(G41,'Industry Averages(US)'!$A$2:$S$95,7))</f>
        <v>0.0</v>
      </c>
      <c r="L41" s="729">
        <f>IF(I41=0,0,VLOOKUP(G41,'Industry Averages(US)'!$A$2:$S$95,13))</f>
        <v>0.0</v>
      </c>
      <c r="M41" s="740"/>
      <c r="N41" s="740"/>
      <c r="O41" s="740"/>
      <c r="P41" s="740"/>
    </row>
    <row r="42" ht="15.0" customHeight="1">
      <c r="A42" s="534" t="s">
        <v>1072</v>
      </c>
      <c r="B42" s="733">
        <v>0.0</v>
      </c>
      <c r="C42" s="534"/>
      <c r="D42" s="534"/>
      <c r="E42" s="534"/>
      <c r="F42" s="534"/>
      <c r="G42" s="681"/>
      <c r="H42" s="735"/>
      <c r="I42" s="736">
        <f>IF(G42=0,,VLOOKUP(G42,'Industry Averages(US)'!$A$2:$S$95,15))</f>
        <v>0.0</v>
      </c>
      <c r="J42" s="737">
        <f t="shared" si="7"/>
        <v>0.0</v>
      </c>
      <c r="K42" s="738">
        <f>IF(I42=0,0,VLOOKUP(G42,'Industry Averages(US)'!$A$2:$S$95,7))</f>
        <v>0.0</v>
      </c>
      <c r="L42" s="729">
        <f>IF(I42=0,0,VLOOKUP(G42,'Industry Averages(US)'!$A$2:$S$95,13))</f>
        <v>0.0</v>
      </c>
      <c r="M42" s="534"/>
      <c r="N42" s="534"/>
      <c r="O42" s="534"/>
      <c r="P42" s="534"/>
    </row>
    <row r="43" ht="15.0" customHeight="1">
      <c r="A43" s="534" t="s">
        <v>1077</v>
      </c>
      <c r="B43" s="733">
        <v>0.0</v>
      </c>
      <c r="C43" s="534"/>
      <c r="D43" s="534"/>
      <c r="E43" s="534"/>
      <c r="F43" s="534"/>
      <c r="G43" s="681"/>
      <c r="H43" s="735"/>
      <c r="I43" s="736">
        <f>IF(G43=0,,VLOOKUP(G43,'Industry Averages(US)'!$A$2:$S$95,15))</f>
        <v>0.0</v>
      </c>
      <c r="J43" s="737">
        <f t="shared" si="7"/>
        <v>0.0</v>
      </c>
      <c r="K43" s="738">
        <f>IF(I43=0,0,VLOOKUP(G43,'Industry Averages(US)'!$A$2:$S$95,7))</f>
        <v>0.0</v>
      </c>
      <c r="L43" s="729">
        <f>IF(I43=0,0,VLOOKUP(G43,'Industry Averages(US)'!$A$2:$S$95,13))</f>
        <v>0.0</v>
      </c>
      <c r="M43" s="534"/>
      <c r="N43" s="534"/>
      <c r="O43" s="534"/>
      <c r="P43" s="534"/>
    </row>
    <row r="44" ht="15.0" customHeight="1">
      <c r="A44" s="534" t="s">
        <v>1079</v>
      </c>
      <c r="B44" s="733">
        <v>0.0</v>
      </c>
      <c r="C44" s="534"/>
      <c r="D44" s="534"/>
      <c r="E44" s="534"/>
      <c r="F44" s="534"/>
      <c r="G44" s="681"/>
      <c r="H44" s="735"/>
      <c r="I44" s="736">
        <f>IF(G44=0,,VLOOKUP(G44,'Industry Averages(US)'!$A$2:$S$95,15))</f>
        <v>0.0</v>
      </c>
      <c r="J44" s="737">
        <f t="shared" si="7"/>
        <v>0.0</v>
      </c>
      <c r="K44" s="738">
        <f>IF(I44=0,0,VLOOKUP(G44,'Industry Averages(US)'!$A$2:$S$95,7))</f>
        <v>0.0</v>
      </c>
      <c r="L44" s="729">
        <f>IF(I44=0,0,VLOOKUP(G44,'Industry Averages(US)'!$A$2:$S$95,13))</f>
        <v>0.0</v>
      </c>
      <c r="M44" s="534"/>
      <c r="N44" s="534"/>
      <c r="O44" s="534"/>
      <c r="P44" s="534"/>
    </row>
    <row r="45" ht="12.75" customHeight="1">
      <c r="A45" s="534"/>
      <c r="B45" s="534"/>
      <c r="C45" s="534"/>
      <c r="D45" s="534"/>
      <c r="E45" s="534"/>
      <c r="F45" s="534"/>
      <c r="G45" s="681"/>
      <c r="H45" s="735"/>
      <c r="I45" s="736">
        <f>IF(G45=0,,VLOOKUP(G45,'Industry Averages(US)'!$A$2:$S$95,15))</f>
        <v>0.0</v>
      </c>
      <c r="J45" s="737">
        <f t="shared" si="7"/>
        <v>0.0</v>
      </c>
      <c r="K45" s="738">
        <f>IF(I45=0,0,VLOOKUP(G45,'Industry Averages(US)'!$A$2:$S$95,7))</f>
        <v>0.0</v>
      </c>
      <c r="L45" s="729">
        <f>IF(I45=0,0,VLOOKUP(G45,'Industry Averages(US)'!$A$2:$S$95,13))</f>
        <v>0.0</v>
      </c>
      <c r="M45" s="743" t="s">
        <v>1086</v>
      </c>
      <c r="N45" s="500"/>
      <c r="O45" s="501"/>
      <c r="P45" s="9"/>
    </row>
    <row r="46" ht="12.75" customHeight="1">
      <c r="A46" s="534" t="s">
        <v>1088</v>
      </c>
      <c r="B46" s="688">
        <f>IF('Input sheet'!B18="Yes",'Operating lease converter'!F34,0)</f>
        <v>0.0</v>
      </c>
      <c r="C46" s="534"/>
      <c r="D46" s="534"/>
      <c r="E46" s="534"/>
      <c r="F46" s="534"/>
      <c r="G46" s="681"/>
      <c r="H46" s="735"/>
      <c r="I46" s="736">
        <f>IF(G46=0,,VLOOKUP(G46,'Industry Averages(US)'!$A$2:$S$95,15))</f>
        <v>0.0</v>
      </c>
      <c r="J46" s="737">
        <f t="shared" si="7"/>
        <v>0.0</v>
      </c>
      <c r="K46" s="738">
        <f>IF(I46=0,0,VLOOKUP(G46,'Industry Averages(US)'!$A$2:$S$95,7))</f>
        <v>0.0</v>
      </c>
      <c r="L46" s="729">
        <f>IF(I46=0,0,VLOOKUP(G46,'Industry Averages(US)'!$A$2:$S$95,13))</f>
        <v>0.0</v>
      </c>
      <c r="M46" s="503"/>
      <c r="O46" s="504"/>
      <c r="P46" s="9"/>
    </row>
    <row r="47" ht="12.75" customHeight="1">
      <c r="A47" s="534"/>
      <c r="B47" s="534"/>
      <c r="C47" s="534"/>
      <c r="D47" s="534"/>
      <c r="E47" s="534"/>
      <c r="F47" s="534"/>
      <c r="G47" s="681"/>
      <c r="H47" s="735"/>
      <c r="I47" s="736">
        <f>IF(G47=0,,VLOOKUP(G47,'Industry Averages(US)'!$A$2:$S$95,15))</f>
        <v>0.0</v>
      </c>
      <c r="J47" s="737">
        <f t="shared" si="7"/>
        <v>0.0</v>
      </c>
      <c r="K47" s="738">
        <f>IF(I47=0,0,VLOOKUP(G47,'Industry Averages(US)'!$A$2:$S$95,7))</f>
        <v>0.0</v>
      </c>
      <c r="L47" s="729">
        <f>IF(I47=0,0,VLOOKUP(G47,'Industry Averages(US)'!$A$2:$S$95,13))</f>
        <v>0.0</v>
      </c>
      <c r="M47" s="503"/>
      <c r="O47" s="504"/>
      <c r="P47" s="9"/>
    </row>
    <row r="48" ht="12.75" customHeight="1">
      <c r="A48" s="668" t="s">
        <v>1090</v>
      </c>
      <c r="B48" s="534"/>
      <c r="C48" s="534"/>
      <c r="D48" s="534"/>
      <c r="E48" s="534"/>
      <c r="F48" s="534"/>
      <c r="G48" s="681"/>
      <c r="H48" s="735"/>
      <c r="I48" s="736">
        <f>IF(G48=0,,VLOOKUP(G48,'Industry Averages(US)'!$A$2:$S$95,15))</f>
        <v>0.0</v>
      </c>
      <c r="J48" s="737">
        <f t="shared" si="7"/>
        <v>0.0</v>
      </c>
      <c r="K48" s="738">
        <f>IF(I48=0,0,VLOOKUP(G48,'Industry Averages(US)'!$A$2:$S$95,7))</f>
        <v>0.0</v>
      </c>
      <c r="L48" s="729">
        <f>IF(I48=0,0,VLOOKUP(G48,'Industry Averages(US)'!$A$2:$S$95,13))</f>
        <v>0.0</v>
      </c>
      <c r="M48" s="503"/>
      <c r="O48" s="504"/>
      <c r="P48" s="9"/>
    </row>
    <row r="49" ht="12.75" customHeight="1">
      <c r="A49" s="534" t="s">
        <v>1102</v>
      </c>
      <c r="B49" s="733">
        <v>0.0</v>
      </c>
      <c r="C49" s="534"/>
      <c r="D49" s="534"/>
      <c r="E49" s="534"/>
      <c r="F49" s="534"/>
      <c r="G49" s="749" t="s">
        <v>231</v>
      </c>
      <c r="H49" s="751">
        <f>SUM(H37:H48)</f>
        <v>23770.0</v>
      </c>
      <c r="I49" s="752"/>
      <c r="J49" s="737">
        <f>SUM(J37:J48)</f>
        <v>271186.312509506</v>
      </c>
      <c r="K49" s="754">
        <f>K37*(J37/J49)+K38*J38/J49+K39*J39/J49+K40*J40/J49+K41*J41/J49+K42*J42/J49+K43*J43/J49+K44*J44/J49+K45*J45/J49+K46*J46/J49+K47*J47/J49+K48*J48/J49</f>
        <v>1.24819941746654</v>
      </c>
      <c r="L49" s="755">
        <f>L37*(J37/J49)+L38*J38/J49+L39*J39/J49+L40*J40/J49+L41*J41/J49+L42*J42/J49+L43*J43/J49+L44*J44/J49+L45*J45/J49+L46*J46/J49+L47*J47/J49+L48*J48/J49</f>
        <v>0.0934404807240011</v>
      </c>
      <c r="M49" s="505"/>
      <c r="N49" s="506"/>
      <c r="O49" s="507"/>
      <c r="P49" s="9"/>
    </row>
    <row r="50" ht="12.75" customHeight="1">
      <c r="A50" s="534" t="s">
        <v>1106</v>
      </c>
      <c r="B50" s="733">
        <v>70.0</v>
      </c>
      <c r="C50" s="534"/>
      <c r="D50" s="534"/>
      <c r="E50" s="534"/>
      <c r="F50" s="534"/>
      <c r="G50" s="9"/>
      <c r="H50" s="9"/>
      <c r="I50" s="9"/>
      <c r="J50" s="9"/>
      <c r="K50" s="9"/>
      <c r="L50" s="9"/>
      <c r="M50" s="9"/>
      <c r="N50" s="9"/>
      <c r="O50" s="9"/>
      <c r="P50" s="9"/>
    </row>
    <row r="51" ht="12.75" customHeight="1">
      <c r="A51" s="534" t="s">
        <v>1107</v>
      </c>
      <c r="B51" s="733">
        <v>5.0</v>
      </c>
      <c r="C51" s="534"/>
      <c r="D51" s="534"/>
      <c r="E51" s="534"/>
      <c r="F51" s="534"/>
      <c r="G51" s="756" t="s">
        <v>1108</v>
      </c>
      <c r="H51" s="9"/>
      <c r="I51" s="9"/>
      <c r="J51" s="9"/>
      <c r="K51" s="9"/>
      <c r="L51" s="9"/>
      <c r="M51" s="9"/>
      <c r="N51" s="9"/>
      <c r="O51" s="9"/>
      <c r="P51" s="9"/>
    </row>
    <row r="52" ht="12.75" customHeight="1">
      <c r="A52" s="534"/>
      <c r="B52" s="534"/>
      <c r="C52" s="534"/>
      <c r="D52" s="534"/>
      <c r="E52" s="534"/>
      <c r="F52" s="534"/>
      <c r="G52" s="558" t="s">
        <v>1050</v>
      </c>
      <c r="H52" s="558" t="s">
        <v>158</v>
      </c>
      <c r="I52" s="558" t="s">
        <v>616</v>
      </c>
      <c r="J52" s="558" t="s">
        <v>1051</v>
      </c>
      <c r="K52" s="558" t="s">
        <v>1052</v>
      </c>
      <c r="L52" s="558" t="s">
        <v>320</v>
      </c>
      <c r="M52" s="9"/>
      <c r="N52" s="9"/>
      <c r="O52" s="9"/>
      <c r="P52" s="9"/>
    </row>
    <row r="53" ht="12.75" customHeight="1">
      <c r="A53" s="706" t="s">
        <v>830</v>
      </c>
      <c r="B53" s="534"/>
      <c r="C53" s="534"/>
      <c r="D53" s="534"/>
      <c r="E53" s="534"/>
      <c r="F53" s="534"/>
      <c r="G53" s="681" t="s">
        <v>1055</v>
      </c>
      <c r="H53" s="735"/>
      <c r="I53" s="736">
        <f>IF(G53=0,,VLOOKUP(G53,'Industry Averages (Global)'!$A$3:$O$96,15))</f>
        <v>9.9128027577171</v>
      </c>
      <c r="J53" s="737">
        <f t="shared" ref="J53:J64" si="8">H53*I53</f>
        <v>0.0</v>
      </c>
      <c r="K53" s="736">
        <f>IF(G53=0,,VLOOKUP(G53,'Industry Averages (Global)'!$A$3:$O$96,7))</f>
        <v>1.33095025494136</v>
      </c>
      <c r="L53" s="729">
        <f>IF(I53=0,0,VLOOKUP(G53,'Industry Averages (Global)'!$A$3:$M$96,13))</f>
        <v>0.111816162454924</v>
      </c>
      <c r="M53" s="9"/>
      <c r="N53" s="9"/>
      <c r="O53" s="9"/>
      <c r="P53" s="9"/>
    </row>
    <row r="54" ht="12.75" customHeight="1">
      <c r="A54" s="558" t="s">
        <v>1109</v>
      </c>
      <c r="B54" s="558"/>
      <c r="C54" s="688">
        <f>B32*(1-(1+B38)^(-B33))/B38+B31/(1+B38)^B33</f>
        <v>16405.822406177</v>
      </c>
      <c r="D54" s="534"/>
      <c r="E54" s="534"/>
      <c r="F54" s="534"/>
      <c r="G54" s="681"/>
      <c r="H54" s="735"/>
      <c r="I54" s="736">
        <f>IF(G54=0,,VLOOKUP(G54,'Industry Averages (Global)'!$A$2:$O$95,15))</f>
        <v>0.0</v>
      </c>
      <c r="J54" s="737">
        <f t="shared" si="8"/>
        <v>0.0</v>
      </c>
      <c r="K54" s="736">
        <f>IF(G54=0,,VLOOKUP(G54,'Industry Averages (Global)'!$A$2:$O$95,7))</f>
        <v>0.0</v>
      </c>
      <c r="L54" s="729">
        <f>IF(I54=0,0,VLOOKUP(G54,'Industry Averages (Global)'!$A$2:$M$95,13))</f>
        <v>0.0</v>
      </c>
      <c r="M54" s="9"/>
      <c r="N54" s="9"/>
      <c r="O54" s="9"/>
      <c r="P54" s="9"/>
    </row>
    <row r="55" ht="12.75" customHeight="1">
      <c r="A55" s="558" t="s">
        <v>1111</v>
      </c>
      <c r="B55" s="558"/>
      <c r="C55" s="688">
        <f>B42*(1-(1+B38)^(-B43))/B38+B41/(1+B38)^B43</f>
        <v>0.0</v>
      </c>
      <c r="D55" s="534"/>
      <c r="E55" s="534"/>
      <c r="F55" s="534"/>
      <c r="G55" s="681"/>
      <c r="H55" s="735"/>
      <c r="I55" s="736">
        <f>IF(G55=0,,VLOOKUP(G55,'Industry Averages (Global)'!$A$2:$O$95,15))</f>
        <v>0.0</v>
      </c>
      <c r="J55" s="737">
        <f t="shared" si="8"/>
        <v>0.0</v>
      </c>
      <c r="K55" s="736">
        <f>IF(G55=0,,VLOOKUP(G55,'Industry Averages (Global)'!$A$2:$O$95,7))</f>
        <v>0.0</v>
      </c>
      <c r="L55" s="729">
        <f>IF(I55=0,0,VLOOKUP(G55,'Industry Averages (Global)'!$A$2:$M$95,13))</f>
        <v>0.0</v>
      </c>
      <c r="M55" s="9"/>
      <c r="N55" s="9"/>
      <c r="O55" s="9"/>
      <c r="P55" s="9"/>
    </row>
    <row r="56" ht="12.75" customHeight="1">
      <c r="A56" s="558" t="s">
        <v>1112</v>
      </c>
      <c r="B56" s="558"/>
      <c r="C56" s="688">
        <f>B46</f>
        <v>0.0</v>
      </c>
      <c r="D56" s="534"/>
      <c r="E56" s="534"/>
      <c r="F56" s="534"/>
      <c r="G56" s="681"/>
      <c r="H56" s="735"/>
      <c r="I56" s="736">
        <f>IF(G56=0,,VLOOKUP(G56,'Industry Averages (Global)'!$A$2:$O$95,15))</f>
        <v>0.0</v>
      </c>
      <c r="J56" s="737">
        <f t="shared" si="8"/>
        <v>0.0</v>
      </c>
      <c r="K56" s="736">
        <f>IF(G56=0,,VLOOKUP(G56,'Industry Averages (Global)'!$A$2:$O$95,7))</f>
        <v>0.0</v>
      </c>
      <c r="L56" s="729">
        <f>IF(I56=0,0,VLOOKUP(G56,'Industry Averages (Global)'!$A$2:$M$95,13))</f>
        <v>0.0</v>
      </c>
      <c r="M56" s="9"/>
      <c r="N56" s="9"/>
      <c r="O56" s="9"/>
      <c r="P56" s="9"/>
    </row>
    <row r="57" ht="12.75" customHeight="1">
      <c r="A57" s="558" t="s">
        <v>1114</v>
      </c>
      <c r="B57" s="558"/>
      <c r="C57" s="688">
        <f>B44-C55</f>
        <v>0.0</v>
      </c>
      <c r="D57" s="534"/>
      <c r="E57" s="534"/>
      <c r="F57" s="534"/>
      <c r="G57" s="681"/>
      <c r="H57" s="735"/>
      <c r="I57" s="736">
        <f>IF(G57=0,,VLOOKUP(G57,'Industry Averages (Global)'!$A$2:$O$95,15))</f>
        <v>0.0</v>
      </c>
      <c r="J57" s="737">
        <f t="shared" si="8"/>
        <v>0.0</v>
      </c>
      <c r="K57" s="736">
        <f>IF(G57=0,,VLOOKUP(G57,'Industry Averages (Global)'!$A$2:$O$95,7))</f>
        <v>0.0</v>
      </c>
      <c r="L57" s="729">
        <f>IF(I57=0,0,VLOOKUP(G57,'Industry Averages (Global)'!$A$2:$M$95,13))</f>
        <v>0.0</v>
      </c>
      <c r="M57" s="9"/>
      <c r="N57" s="9"/>
      <c r="O57" s="9"/>
      <c r="P57" s="9"/>
    </row>
    <row r="58" ht="12.75" customHeight="1">
      <c r="A58" s="558" t="s">
        <v>1117</v>
      </c>
      <c r="B58" s="558"/>
      <c r="C58" s="721">
        <f>IF(B22="Direct Input",B23,B24*(1+(1-B39)*(C61/B61)))</f>
        <v>1.07219678062473</v>
      </c>
      <c r="D58" s="534"/>
      <c r="E58" s="534"/>
      <c r="F58" s="534"/>
      <c r="G58" s="681"/>
      <c r="H58" s="735"/>
      <c r="I58" s="736">
        <f>IF(G58=0,,VLOOKUP(G58,'Industry Averages (Global)'!$A$2:$O$95,15))</f>
        <v>0.0</v>
      </c>
      <c r="J58" s="737">
        <f t="shared" si="8"/>
        <v>0.0</v>
      </c>
      <c r="K58" s="736">
        <f>IF(G58=0,,VLOOKUP(G58,'Industry Averages (Global)'!$A$2:$O$95,7))</f>
        <v>0.0</v>
      </c>
      <c r="L58" s="729">
        <f>IF(I58=0,0,VLOOKUP(G58,'Industry Averages (Global)'!$A$2:$M$95,13))</f>
        <v>0.0</v>
      </c>
      <c r="M58" s="9"/>
      <c r="N58" s="9"/>
      <c r="O58" s="9"/>
      <c r="P58" s="9"/>
    </row>
    <row r="59" ht="12.75" customHeight="1">
      <c r="A59" s="534"/>
      <c r="B59" s="534"/>
      <c r="C59" s="721"/>
      <c r="D59" s="534"/>
      <c r="E59" s="534"/>
      <c r="F59" s="534"/>
      <c r="G59" s="681"/>
      <c r="H59" s="735"/>
      <c r="I59" s="736">
        <f>IF(G59=0,,VLOOKUP(G59,'Industry Averages (Global)'!$A$2:$O$95,15))</f>
        <v>0.0</v>
      </c>
      <c r="J59" s="737">
        <f t="shared" si="8"/>
        <v>0.0</v>
      </c>
      <c r="K59" s="736">
        <f>IF(G59=0,,VLOOKUP(G59,'Industry Averages (Global)'!$A$2:$O$95,7))</f>
        <v>0.0</v>
      </c>
      <c r="L59" s="729">
        <f>IF(I59=0,0,VLOOKUP(G59,'Industry Averages (Global)'!$A$2:$M$95,13))</f>
        <v>0.0</v>
      </c>
      <c r="M59" s="9"/>
      <c r="N59" s="9"/>
      <c r="O59" s="9"/>
      <c r="P59" s="9"/>
    </row>
    <row r="60" ht="12.75" customHeight="1">
      <c r="A60" s="740"/>
      <c r="B60" s="759" t="s">
        <v>505</v>
      </c>
      <c r="C60" s="759" t="s">
        <v>1122</v>
      </c>
      <c r="D60" s="759" t="s">
        <v>1090</v>
      </c>
      <c r="E60" s="759" t="s">
        <v>1123</v>
      </c>
      <c r="F60" s="740"/>
      <c r="G60" s="681"/>
      <c r="H60" s="735"/>
      <c r="I60" s="736">
        <f>IF(G60=0,,VLOOKUP(G60,'Industry Averages (Global)'!$A$2:$O$95,15))</f>
        <v>0.0</v>
      </c>
      <c r="J60" s="737">
        <f t="shared" si="8"/>
        <v>0.0</v>
      </c>
      <c r="K60" s="736">
        <f>IF(G60=0,,VLOOKUP(G60,'Industry Averages (Global)'!$A$2:$O$95,7))</f>
        <v>0.0</v>
      </c>
      <c r="L60" s="729">
        <f>IF(I60=0,0,VLOOKUP(G60,'Industry Averages (Global)'!$A$2:$M$95,13))</f>
        <v>0.0</v>
      </c>
      <c r="M60" s="9"/>
      <c r="N60" s="9"/>
      <c r="O60" s="9"/>
      <c r="P60" s="9"/>
    </row>
    <row r="61" ht="12.75" customHeight="1">
      <c r="A61" s="558" t="s">
        <v>1124</v>
      </c>
      <c r="B61" s="688">
        <f>B19*B20</f>
        <v>174021.92</v>
      </c>
      <c r="C61" s="760">
        <f>C54+C55+C56</f>
        <v>16405.822406177</v>
      </c>
      <c r="D61" s="688">
        <f>B49*B50</f>
        <v>0.0</v>
      </c>
      <c r="E61" s="760">
        <f t="shared" ref="E61:E62" si="10">SUM(B61:D61)</f>
        <v>190427.742406177</v>
      </c>
      <c r="F61" s="534"/>
      <c r="G61" s="681"/>
      <c r="H61" s="735"/>
      <c r="I61" s="736">
        <f>IF(G61=0,,VLOOKUP(G61,'Industry Averages (Global)'!$A$2:$O$95,15))</f>
        <v>0.0</v>
      </c>
      <c r="J61" s="737">
        <f t="shared" si="8"/>
        <v>0.0</v>
      </c>
      <c r="K61" s="736">
        <f>IF(G61=0,,VLOOKUP(G61,'Industry Averages (Global)'!$A$2:$O$95,7))</f>
        <v>0.0</v>
      </c>
      <c r="L61" s="729">
        <f>IF(I61=0,0,VLOOKUP(G61,'Industry Averages (Global)'!$A$2:$M$95,13))</f>
        <v>0.0</v>
      </c>
      <c r="M61" s="743" t="s">
        <v>1125</v>
      </c>
      <c r="N61" s="500"/>
      <c r="O61" s="501"/>
      <c r="P61" s="9"/>
    </row>
    <row r="62" ht="12.75" customHeight="1">
      <c r="A62" s="558" t="s">
        <v>1126</v>
      </c>
      <c r="B62" s="709">
        <f t="shared" ref="B62:D62" si="9">B61/$E$61</f>
        <v>0.913847519280127</v>
      </c>
      <c r="C62" s="709">
        <f t="shared" si="9"/>
        <v>0.0861524807198727</v>
      </c>
      <c r="D62" s="709">
        <f t="shared" si="9"/>
        <v>0.0</v>
      </c>
      <c r="E62" s="761">
        <f t="shared" si="10"/>
        <v>1.0</v>
      </c>
      <c r="F62" s="534"/>
      <c r="G62" s="681"/>
      <c r="H62" s="735"/>
      <c r="I62" s="736">
        <f>IF(G62=0,,VLOOKUP(G62,'Industry Averages (Global)'!$A$2:$O$95,15))</f>
        <v>0.0</v>
      </c>
      <c r="J62" s="737">
        <f t="shared" si="8"/>
        <v>0.0</v>
      </c>
      <c r="K62" s="736">
        <f>IF(G62=0,,VLOOKUP(G62,'Industry Averages (Global)'!$A$2:$O$95,7))</f>
        <v>0.0</v>
      </c>
      <c r="L62" s="729">
        <f>IF(I62=0,0,VLOOKUP(G62,'Industry Averages (Global)'!$A$2:$M$95,13))</f>
        <v>0.0</v>
      </c>
      <c r="M62" s="503"/>
      <c r="O62" s="504"/>
      <c r="P62" s="9"/>
    </row>
    <row r="63" ht="12.75" customHeight="1">
      <c r="A63" s="558" t="s">
        <v>1127</v>
      </c>
      <c r="B63" s="709">
        <f>B25+C58*B28</f>
        <v>0.105835955537385</v>
      </c>
      <c r="C63" s="709">
        <f>B38*(1-B39)</f>
        <v>0.04298268</v>
      </c>
      <c r="D63" s="762">
        <f>B51/B50</f>
        <v>0.0714285714285714</v>
      </c>
      <c r="E63" s="764">
        <f>B62*B63+C62*C63+D62*D63</f>
        <v>0.100420989928469</v>
      </c>
      <c r="F63" s="534"/>
      <c r="G63" s="681"/>
      <c r="H63" s="735"/>
      <c r="I63" s="736">
        <f>IF(G63=0,,VLOOKUP(G63,'Industry Averages (Global)'!$A$2:$O$95,15))</f>
        <v>0.0</v>
      </c>
      <c r="J63" s="737">
        <f t="shared" si="8"/>
        <v>0.0</v>
      </c>
      <c r="K63" s="736">
        <f>IF(G63=0,,VLOOKUP(G63,'Industry Averages (Global)'!$A$2:$O$95,7))</f>
        <v>0.0</v>
      </c>
      <c r="L63" s="729">
        <f>IF(I63=0,0,VLOOKUP(G63,'Industry Averages (Global)'!$A$2:$M$95,13))</f>
        <v>0.0</v>
      </c>
      <c r="M63" s="503"/>
      <c r="O63" s="504"/>
      <c r="P63" s="9"/>
    </row>
    <row r="64" ht="12.75" customHeight="1">
      <c r="A64" s="9"/>
      <c r="B64" s="9"/>
      <c r="C64" s="9"/>
      <c r="D64" s="9"/>
      <c r="E64" s="9"/>
      <c r="F64" s="9"/>
      <c r="G64" s="681"/>
      <c r="H64" s="735"/>
      <c r="I64" s="736">
        <f>IF(G64=0,,VLOOKUP(G64,'Industry Averages (Global)'!$A$2:$O$95,15))</f>
        <v>0.0</v>
      </c>
      <c r="J64" s="737">
        <f t="shared" si="8"/>
        <v>0.0</v>
      </c>
      <c r="K64" s="736">
        <f>IF(G64=0,,VLOOKUP(G64,'Industry Averages (Global)'!$A$2:$O$95,7))</f>
        <v>0.0</v>
      </c>
      <c r="L64" s="729">
        <f>IF(I64=0,0,VLOOKUP(G64,'Industry Averages (Global)'!$A$2:$M$95,13))</f>
        <v>0.0</v>
      </c>
      <c r="M64" s="503"/>
      <c r="O64" s="504"/>
      <c r="P64" s="9"/>
    </row>
    <row r="65" ht="12.75" customHeight="1">
      <c r="A65" s="9"/>
      <c r="B65" s="9"/>
      <c r="C65" s="9"/>
      <c r="D65" s="9"/>
      <c r="E65" s="9"/>
      <c r="F65" s="9"/>
      <c r="G65" s="749" t="s">
        <v>231</v>
      </c>
      <c r="H65" s="751">
        <f>SUM(H53:H64)</f>
        <v>0.0</v>
      </c>
      <c r="I65" s="752"/>
      <c r="J65" s="737">
        <f>SUM(J53:J64)</f>
        <v>0.0</v>
      </c>
      <c r="K65" s="752" t="e">
        <f>K53*(J53/J65)+K54*J54/J65+K55*J55/J65+K56*J56/J65+K57*J57/J65+K58*J58/J65+K59*J59/J65+K60*J60/J65+K61*J61/J65+K62*J62/J65+K63*J63/J65+K64*J64/J65</f>
        <v>#DIV/0!</v>
      </c>
      <c r="L65" s="755" t="e">
        <f>L53*(J53/J65)+L54*J54/J65+L55*J55/J65+L56*J56/J65+L57*J57/J65+L58*J58/J65+L59*J59/J65+L60*J60/J65+L61*J61/J65+L62*J62/J65+L63*J63/J65+L64*J64/J65</f>
        <v>#DIV/0!</v>
      </c>
      <c r="M65" s="505"/>
      <c r="N65" s="506"/>
      <c r="O65" s="507"/>
      <c r="P65" s="9"/>
    </row>
    <row r="66" ht="12.75" customHeight="1">
      <c r="A66" s="770" t="s">
        <v>1153</v>
      </c>
      <c r="B66" s="218"/>
      <c r="C66" s="218"/>
      <c r="D66" s="218"/>
      <c r="E66" s="218"/>
      <c r="F66" s="219"/>
      <c r="G66" s="9"/>
      <c r="H66" s="9"/>
      <c r="I66" s="9"/>
      <c r="J66" s="9"/>
      <c r="K66" s="9"/>
      <c r="L66" s="9"/>
      <c r="M66" s="9"/>
      <c r="N66" s="9"/>
      <c r="O66" s="9"/>
      <c r="P66" s="9"/>
    </row>
    <row r="67" ht="12.75" customHeight="1">
      <c r="A67" s="534" t="s">
        <v>1158</v>
      </c>
      <c r="B67" s="771" t="s">
        <v>1159</v>
      </c>
      <c r="C67" s="9"/>
      <c r="D67" s="9"/>
      <c r="E67" s="9"/>
      <c r="F67" s="9"/>
      <c r="G67" s="9"/>
      <c r="H67" s="9"/>
      <c r="I67" s="9"/>
      <c r="J67" s="9"/>
      <c r="K67" s="9"/>
      <c r="L67" s="9"/>
      <c r="M67" s="9"/>
      <c r="N67" s="9"/>
      <c r="O67" s="9"/>
      <c r="P67" s="9"/>
    </row>
    <row r="68" ht="12.75" customHeight="1">
      <c r="A68" s="9" t="s">
        <v>1163</v>
      </c>
      <c r="B68" s="772">
        <f>IF(B67="Single Business(US)",(VLOOKUP('Input sheet'!B9,'Industry Averages(US)'!A3:M96,13)+('Input sheet'!B35-4.58%)),IF(B67="Multibusiness(US)",L49+('Input sheet'!B35-4.58%),IF(B67="Single Business(Global)",(VLOOKUP('Input sheet'!B9,'Industry Averages (Global)'!A3:M96,13)+('Input sheet'!B35-4.58%)),L65+('Input sheet'!B35-4.58%))))</f>
        <v>0.0822875116646026</v>
      </c>
      <c r="C68" s="9"/>
      <c r="D68" s="9"/>
      <c r="E68" s="9"/>
      <c r="F68" s="9"/>
      <c r="G68" s="9"/>
      <c r="H68" s="9"/>
      <c r="I68" s="9"/>
      <c r="J68" s="9"/>
      <c r="K68" s="9"/>
      <c r="L68" s="9"/>
      <c r="M68" s="9"/>
      <c r="N68" s="9"/>
      <c r="O68" s="9"/>
      <c r="P68" s="9"/>
    </row>
    <row r="69" ht="12.75" customHeight="1">
      <c r="A69" s="9"/>
      <c r="B69" s="9"/>
      <c r="C69" s="9"/>
      <c r="D69" s="9"/>
      <c r="E69" s="9"/>
      <c r="F69" s="9"/>
      <c r="G69" s="9"/>
      <c r="H69" s="9"/>
      <c r="I69" s="9"/>
      <c r="J69" s="9"/>
      <c r="K69" s="9"/>
      <c r="L69" s="9"/>
      <c r="M69" s="9"/>
      <c r="N69" s="9"/>
      <c r="O69" s="9"/>
      <c r="P69" s="9"/>
    </row>
    <row r="70" ht="12.75" customHeight="1">
      <c r="A70" s="770" t="s">
        <v>1180</v>
      </c>
      <c r="B70" s="218"/>
      <c r="C70" s="218"/>
      <c r="D70" s="218"/>
      <c r="E70" s="218"/>
      <c r="F70" s="219"/>
      <c r="G70" s="9"/>
      <c r="H70" s="9"/>
      <c r="I70" s="9"/>
      <c r="J70" s="9"/>
      <c r="K70" s="9"/>
      <c r="L70" s="9"/>
      <c r="M70" s="9"/>
      <c r="N70" s="9"/>
      <c r="O70" s="9"/>
      <c r="P70" s="9"/>
    </row>
    <row r="71" ht="12.75" customHeight="1">
      <c r="A71" s="9" t="s">
        <v>1182</v>
      </c>
      <c r="B71" s="773" t="s">
        <v>1187</v>
      </c>
      <c r="C71" s="9"/>
      <c r="D71" s="9"/>
      <c r="E71" s="9"/>
      <c r="F71" s="9"/>
      <c r="G71" s="9"/>
      <c r="H71" s="9"/>
      <c r="I71" s="9"/>
      <c r="J71" s="9"/>
      <c r="K71" s="9"/>
      <c r="L71" s="9"/>
      <c r="M71" s="9"/>
      <c r="N71" s="9"/>
      <c r="O71" s="9"/>
      <c r="P71" s="9"/>
    </row>
    <row r="72" ht="12.75" customHeight="1">
      <c r="A72" s="9" t="s">
        <v>1189</v>
      </c>
      <c r="B72" s="773" t="s">
        <v>234</v>
      </c>
      <c r="C72" s="9"/>
      <c r="D72" s="9"/>
      <c r="E72" s="9"/>
      <c r="F72" s="9"/>
      <c r="G72" s="9"/>
      <c r="H72" s="9"/>
      <c r="I72" s="9"/>
      <c r="J72" s="9"/>
      <c r="K72" s="9"/>
      <c r="L72" s="9"/>
      <c r="M72" s="9"/>
      <c r="N72" s="9"/>
      <c r="O72" s="9"/>
      <c r="P72" s="9"/>
    </row>
    <row r="73" ht="12.75" customHeight="1">
      <c r="A73" s="9" t="s">
        <v>1191</v>
      </c>
      <c r="B73" s="755">
        <f>VLOOKUP(B71,A76:F80,IF(B72="First Decile",2,IF(B72="First Quartile",3,IF(B72="Median",4,IF(B72="Third Quartile",5,6)))))</f>
        <v>0.077903913191275</v>
      </c>
      <c r="C73" s="9"/>
      <c r="D73" s="9"/>
      <c r="E73" s="9"/>
      <c r="F73" s="9"/>
      <c r="G73" s="9"/>
      <c r="H73" s="9"/>
      <c r="I73" s="9"/>
      <c r="J73" s="9"/>
      <c r="K73" s="9"/>
      <c r="L73" s="9"/>
      <c r="M73" s="9"/>
      <c r="N73" s="9"/>
      <c r="O73" s="9"/>
      <c r="P73" s="9"/>
    </row>
    <row r="74" ht="12.75" customHeight="1">
      <c r="A74" s="9"/>
      <c r="B74" s="9"/>
      <c r="C74" s="9"/>
      <c r="D74" s="9"/>
      <c r="E74" s="9"/>
      <c r="F74" s="9"/>
      <c r="G74" s="9"/>
      <c r="H74" s="9"/>
      <c r="I74" s="9"/>
      <c r="J74" s="9"/>
      <c r="K74" s="9"/>
      <c r="L74" s="9"/>
      <c r="M74" s="9"/>
      <c r="N74" s="9"/>
      <c r="O74" s="9"/>
      <c r="P74" s="9"/>
    </row>
    <row r="75" ht="12.75" customHeight="1">
      <c r="A75" s="774" t="s">
        <v>990</v>
      </c>
      <c r="B75" s="775" t="s">
        <v>1200</v>
      </c>
      <c r="C75" s="776" t="s">
        <v>1201</v>
      </c>
      <c r="D75" s="776" t="s">
        <v>234</v>
      </c>
      <c r="E75" s="776" t="s">
        <v>1204</v>
      </c>
      <c r="F75" s="776" t="s">
        <v>1205</v>
      </c>
      <c r="G75" s="9"/>
      <c r="H75" s="9"/>
      <c r="I75" s="9"/>
      <c r="J75" s="9"/>
      <c r="K75" s="9"/>
      <c r="L75" s="9"/>
      <c r="M75" s="9"/>
      <c r="N75" s="9"/>
      <c r="O75" s="9"/>
      <c r="P75" s="9"/>
    </row>
    <row r="76" ht="12.75" customHeight="1">
      <c r="A76" s="774" t="s">
        <v>1206</v>
      </c>
      <c r="B76" s="777">
        <v>0.066532332574995</v>
      </c>
      <c r="C76" s="777">
        <v>0.0762870404314534</v>
      </c>
      <c r="D76" s="777">
        <v>0.0895434103041611</v>
      </c>
      <c r="E76" s="777">
        <v>0.106923420460042</v>
      </c>
      <c r="F76" s="777">
        <v>0.125494141848594</v>
      </c>
      <c r="G76" s="9"/>
      <c r="H76" s="753"/>
      <c r="I76" s="753"/>
      <c r="J76" s="753"/>
      <c r="K76" s="753"/>
      <c r="L76" s="753"/>
      <c r="M76" s="9"/>
      <c r="N76" s="778"/>
      <c r="O76" s="778"/>
      <c r="P76" s="778"/>
    </row>
    <row r="77" ht="12.75" customHeight="1">
      <c r="A77" s="774" t="s">
        <v>1210</v>
      </c>
      <c r="B77" s="777">
        <v>0.0599193845504732</v>
      </c>
      <c r="C77" s="777">
        <v>0.0682857736530744</v>
      </c>
      <c r="D77" s="777">
        <v>0.0822253938341346</v>
      </c>
      <c r="E77" s="777">
        <v>0.0957138768644331</v>
      </c>
      <c r="F77" s="777">
        <v>0.110241149096839</v>
      </c>
      <c r="G77" s="9"/>
      <c r="H77" s="753"/>
      <c r="I77" s="753"/>
      <c r="J77" s="753"/>
      <c r="K77" s="753"/>
      <c r="L77" s="753"/>
      <c r="M77" s="9"/>
      <c r="N77" s="778"/>
      <c r="O77" s="778"/>
      <c r="P77" s="778"/>
    </row>
    <row r="78" ht="12.75" customHeight="1">
      <c r="A78" s="774" t="s">
        <v>1213</v>
      </c>
      <c r="B78" s="777">
        <v>0.0628222615048004</v>
      </c>
      <c r="C78" s="777">
        <v>0.0724488255585608</v>
      </c>
      <c r="D78" s="777">
        <v>0.0865088987498397</v>
      </c>
      <c r="E78" s="777">
        <v>0.100287313945416</v>
      </c>
      <c r="F78" s="777">
        <v>0.116631464681193</v>
      </c>
      <c r="G78" s="9"/>
      <c r="H78" s="753"/>
      <c r="I78" s="753"/>
      <c r="J78" s="753"/>
      <c r="K78" s="753"/>
      <c r="L78" s="753"/>
      <c r="M78" s="9"/>
      <c r="N78" s="778"/>
      <c r="O78" s="778"/>
      <c r="P78" s="778"/>
    </row>
    <row r="79" ht="12.75" customHeight="1">
      <c r="A79" s="774" t="s">
        <v>1215</v>
      </c>
      <c r="B79" s="777">
        <v>0.0629567936153311</v>
      </c>
      <c r="C79" s="777">
        <v>0.0707380685850607</v>
      </c>
      <c r="D79" s="777">
        <v>0.0823793480486738</v>
      </c>
      <c r="E79" s="777">
        <v>0.0943469841061279</v>
      </c>
      <c r="F79" s="777">
        <v>0.107319700894456</v>
      </c>
      <c r="G79" s="9"/>
      <c r="H79" s="753"/>
      <c r="I79" s="753"/>
      <c r="J79" s="753"/>
      <c r="K79" s="753"/>
      <c r="L79" s="753"/>
      <c r="M79" s="9"/>
      <c r="N79" s="778"/>
      <c r="O79" s="778"/>
      <c r="P79" s="778"/>
    </row>
    <row r="80" ht="12.75" customHeight="1">
      <c r="A80" s="774" t="s">
        <v>1187</v>
      </c>
      <c r="B80" s="777">
        <v>0.0526007882763119</v>
      </c>
      <c r="C80" s="777">
        <v>0.0641103409054745</v>
      </c>
      <c r="D80" s="777">
        <v>0.077903913191275</v>
      </c>
      <c r="E80" s="777">
        <v>0.0916225864273368</v>
      </c>
      <c r="F80" s="777">
        <v>0.098770423360608</v>
      </c>
      <c r="G80" s="9"/>
      <c r="H80" s="753"/>
      <c r="I80" s="753"/>
      <c r="J80" s="753"/>
      <c r="K80" s="753"/>
      <c r="L80" s="753"/>
      <c r="M80" s="9"/>
      <c r="N80" s="778"/>
      <c r="O80" s="778"/>
      <c r="P80" s="778"/>
    </row>
    <row r="81" ht="12.75" customHeight="1">
      <c r="A81" s="780" t="s">
        <v>1217</v>
      </c>
      <c r="G81" s="9"/>
      <c r="H81" s="9"/>
      <c r="I81" s="9"/>
      <c r="J81" s="9"/>
      <c r="K81" s="9"/>
      <c r="L81" s="9"/>
      <c r="M81" s="9"/>
      <c r="N81" s="9"/>
      <c r="O81" s="9"/>
      <c r="P81" s="9"/>
    </row>
    <row r="82" ht="12.75" customHeight="1">
      <c r="G82" s="9"/>
      <c r="H82" s="9"/>
      <c r="I82" s="9"/>
      <c r="J82" s="9"/>
      <c r="K82" s="9"/>
      <c r="L82" s="9"/>
      <c r="M82" s="9"/>
      <c r="N82" s="9"/>
      <c r="O82" s="9"/>
      <c r="P82" s="9"/>
    </row>
    <row r="83" ht="12.75" customHeight="1">
      <c r="A83" s="9"/>
      <c r="B83" s="9"/>
      <c r="C83" s="9"/>
      <c r="D83" s="9"/>
      <c r="E83" s="9"/>
      <c r="F83" s="9"/>
      <c r="G83" s="9"/>
      <c r="H83" s="9"/>
      <c r="I83" s="9"/>
      <c r="J83" s="9"/>
      <c r="K83" s="9"/>
      <c r="L83" s="9"/>
      <c r="M83" s="9"/>
      <c r="N83" s="9"/>
      <c r="O83" s="9"/>
      <c r="P83" s="9"/>
    </row>
    <row r="84" ht="12.75" customHeight="1">
      <c r="A84" s="9"/>
      <c r="B84" s="9"/>
      <c r="C84" s="9"/>
      <c r="D84" s="9"/>
      <c r="E84" s="9"/>
      <c r="F84" s="9"/>
      <c r="G84" s="9"/>
      <c r="H84" s="9"/>
      <c r="I84" s="9"/>
      <c r="J84" s="9"/>
      <c r="K84" s="9"/>
      <c r="L84" s="9"/>
      <c r="M84" s="9"/>
      <c r="N84" s="9"/>
      <c r="O84" s="9"/>
      <c r="P84" s="9"/>
    </row>
    <row r="85" ht="12.75" customHeight="1">
      <c r="A85" s="9"/>
      <c r="B85" s="781"/>
      <c r="C85" s="782"/>
      <c r="D85" s="782"/>
      <c r="E85" s="782"/>
      <c r="F85" s="782"/>
      <c r="G85" s="9"/>
      <c r="H85" s="9"/>
      <c r="I85" s="9"/>
      <c r="J85" s="9"/>
      <c r="K85" s="9"/>
      <c r="L85" s="9"/>
      <c r="M85" s="9"/>
      <c r="N85" s="9"/>
      <c r="O85" s="9"/>
      <c r="P85" s="9"/>
    </row>
    <row r="86" ht="12.75" customHeight="1">
      <c r="A86" s="9"/>
      <c r="B86" s="783"/>
      <c r="C86" s="783"/>
      <c r="D86" s="783"/>
      <c r="E86" s="783"/>
      <c r="F86" s="753"/>
      <c r="G86" s="9"/>
      <c r="H86" s="9"/>
      <c r="I86" s="9"/>
      <c r="J86" s="9"/>
      <c r="K86" s="9"/>
      <c r="L86" s="9"/>
      <c r="M86" s="9"/>
      <c r="N86" s="9"/>
      <c r="O86" s="9"/>
      <c r="P86" s="9"/>
    </row>
    <row r="87" ht="12.75" customHeight="1">
      <c r="A87" s="9"/>
      <c r="B87" s="783"/>
      <c r="C87" s="783"/>
      <c r="D87" s="783"/>
      <c r="E87" s="783"/>
      <c r="F87" s="753"/>
      <c r="G87" s="9"/>
      <c r="H87" s="9"/>
      <c r="I87" s="9"/>
      <c r="J87" s="9"/>
      <c r="K87" s="9"/>
      <c r="L87" s="9"/>
      <c r="M87" s="9"/>
      <c r="N87" s="9"/>
      <c r="O87" s="9"/>
      <c r="P87" s="9"/>
    </row>
    <row r="88" ht="12.75" customHeight="1">
      <c r="A88" s="9"/>
      <c r="B88" s="783"/>
      <c r="C88" s="783"/>
      <c r="D88" s="783"/>
      <c r="E88" s="783"/>
      <c r="F88" s="753"/>
      <c r="G88" s="9"/>
      <c r="H88" s="9"/>
      <c r="I88" s="9"/>
      <c r="J88" s="9"/>
      <c r="K88" s="9"/>
      <c r="L88" s="9"/>
      <c r="M88" s="9"/>
      <c r="N88" s="9"/>
      <c r="O88" s="9"/>
      <c r="P88" s="9"/>
    </row>
    <row r="89" ht="12.75" customHeight="1">
      <c r="A89" s="9"/>
      <c r="B89" s="783"/>
      <c r="C89" s="783"/>
      <c r="D89" s="783"/>
      <c r="E89" s="783"/>
      <c r="F89" s="753"/>
      <c r="G89" s="9"/>
      <c r="H89" s="9"/>
      <c r="I89" s="9"/>
      <c r="J89" s="9"/>
      <c r="K89" s="9"/>
      <c r="L89" s="9"/>
      <c r="M89" s="9"/>
      <c r="N89" s="9"/>
      <c r="O89" s="9"/>
      <c r="P89" s="9"/>
    </row>
    <row r="90" ht="12.75" customHeight="1">
      <c r="A90" s="9"/>
      <c r="B90" s="783"/>
      <c r="C90" s="783"/>
      <c r="D90" s="783"/>
      <c r="E90" s="783"/>
      <c r="F90" s="753"/>
      <c r="G90" s="9"/>
      <c r="H90" s="9"/>
      <c r="I90" s="9"/>
      <c r="J90" s="9"/>
      <c r="K90" s="9"/>
      <c r="L90" s="9"/>
      <c r="M90" s="9"/>
      <c r="N90" s="9"/>
      <c r="O90" s="9"/>
      <c r="P90" s="9"/>
    </row>
    <row r="91" ht="12.75" customHeight="1">
      <c r="A91" s="9"/>
      <c r="B91" s="9"/>
      <c r="C91" s="9"/>
      <c r="D91" s="9"/>
      <c r="E91" s="9"/>
      <c r="F91" s="9"/>
      <c r="G91" s="9"/>
      <c r="H91" s="9"/>
      <c r="I91" s="9"/>
      <c r="J91" s="9"/>
      <c r="K91" s="9"/>
      <c r="L91" s="9"/>
      <c r="M91" s="9"/>
      <c r="N91" s="9"/>
      <c r="O91" s="9"/>
      <c r="P91" s="9"/>
    </row>
    <row r="92" ht="12.75" customHeight="1">
      <c r="A92" s="9"/>
      <c r="B92" s="783"/>
      <c r="C92" s="783"/>
      <c r="D92" s="783"/>
      <c r="E92" s="783"/>
      <c r="F92" s="783"/>
      <c r="G92" s="9"/>
      <c r="H92" s="9"/>
      <c r="I92" s="9"/>
      <c r="J92" s="9"/>
      <c r="K92" s="9"/>
      <c r="L92" s="9"/>
      <c r="M92" s="9"/>
      <c r="N92" s="9"/>
      <c r="O92" s="9"/>
      <c r="P92" s="9"/>
    </row>
    <row r="93" ht="12.75" customHeight="1">
      <c r="A93" s="9"/>
      <c r="B93" s="9"/>
      <c r="C93" s="9"/>
      <c r="D93" s="9"/>
      <c r="E93" s="9"/>
      <c r="F93" s="9"/>
      <c r="G93" s="9"/>
      <c r="H93" s="9"/>
      <c r="I93" s="9"/>
      <c r="J93" s="9"/>
      <c r="K93" s="9"/>
      <c r="L93" s="9"/>
      <c r="M93" s="9"/>
      <c r="N93" s="9"/>
      <c r="O93" s="9"/>
      <c r="P93" s="9"/>
    </row>
    <row r="94" ht="12.75" customHeight="1">
      <c r="A94" s="9"/>
      <c r="B94" s="9"/>
      <c r="C94" s="9"/>
      <c r="D94" s="9"/>
      <c r="E94" s="9"/>
      <c r="F94" s="9"/>
      <c r="G94" s="9"/>
      <c r="H94" s="9"/>
      <c r="I94" s="9"/>
      <c r="J94" s="9"/>
      <c r="K94" s="9"/>
      <c r="L94" s="9"/>
      <c r="M94" s="9"/>
      <c r="N94" s="9"/>
      <c r="O94" s="9"/>
      <c r="P94" s="9"/>
    </row>
    <row r="95" ht="12.75" customHeight="1">
      <c r="A95" s="9"/>
      <c r="B95" s="9"/>
      <c r="C95" s="9"/>
      <c r="D95" s="9"/>
      <c r="E95" s="9"/>
      <c r="F95" s="9"/>
      <c r="G95" s="9"/>
      <c r="H95" s="9"/>
      <c r="I95" s="9"/>
      <c r="J95" s="9"/>
      <c r="K95" s="9"/>
      <c r="L95" s="9"/>
      <c r="M95" s="9"/>
      <c r="N95" s="9"/>
      <c r="O95" s="9"/>
      <c r="P95" s="9"/>
    </row>
    <row r="96" ht="12.75" customHeight="1">
      <c r="A96" s="9"/>
      <c r="B96" s="9"/>
      <c r="C96" s="9"/>
      <c r="D96" s="9"/>
      <c r="E96" s="9"/>
      <c r="F96" s="9"/>
      <c r="G96" s="9"/>
      <c r="H96" s="9"/>
      <c r="I96" s="9"/>
      <c r="J96" s="9"/>
      <c r="K96" s="9"/>
      <c r="L96" s="9"/>
      <c r="M96" s="9"/>
      <c r="N96" s="9"/>
      <c r="O96" s="9"/>
      <c r="P96" s="9"/>
    </row>
    <row r="97" ht="15.75" customHeight="1">
      <c r="A97" s="77"/>
      <c r="B97" s="77"/>
      <c r="C97" s="77"/>
      <c r="D97" s="77"/>
      <c r="E97" s="77"/>
      <c r="F97" s="77"/>
      <c r="G97" s="77"/>
      <c r="H97" s="77"/>
      <c r="I97" s="77"/>
      <c r="J97" s="77"/>
      <c r="K97" s="77"/>
      <c r="L97" s="77"/>
      <c r="M97" s="77"/>
      <c r="N97" s="77"/>
      <c r="O97" s="77"/>
      <c r="P97" s="77"/>
    </row>
    <row r="98" ht="15.75" customHeight="1">
      <c r="A98" s="77"/>
      <c r="B98" s="77"/>
      <c r="C98" s="77"/>
      <c r="D98" s="77"/>
      <c r="E98" s="77"/>
      <c r="F98" s="77"/>
      <c r="G98" s="77"/>
      <c r="H98" s="77"/>
      <c r="I98" s="77"/>
      <c r="J98" s="77"/>
      <c r="K98" s="77"/>
      <c r="L98" s="77"/>
      <c r="M98" s="77"/>
      <c r="N98" s="77"/>
      <c r="O98" s="77"/>
      <c r="P98" s="77"/>
    </row>
    <row r="99" ht="15.75" customHeight="1">
      <c r="A99" s="77"/>
      <c r="B99" s="77"/>
      <c r="C99" s="77"/>
      <c r="D99" s="77"/>
      <c r="E99" s="77"/>
      <c r="F99" s="77"/>
      <c r="G99" s="77"/>
      <c r="H99" s="77"/>
      <c r="I99" s="77"/>
      <c r="J99" s="77"/>
      <c r="K99" s="77"/>
      <c r="L99" s="77"/>
      <c r="M99" s="77"/>
      <c r="N99" s="77"/>
      <c r="O99" s="77"/>
      <c r="P99" s="77"/>
    </row>
    <row r="100" ht="15.75" customHeight="1">
      <c r="A100" s="77"/>
      <c r="B100" s="77"/>
      <c r="C100" s="77"/>
      <c r="D100" s="77"/>
      <c r="E100" s="77"/>
      <c r="F100" s="77"/>
      <c r="G100" s="77"/>
      <c r="H100" s="77"/>
      <c r="I100" s="77"/>
      <c r="J100" s="77"/>
      <c r="K100" s="77"/>
      <c r="L100" s="77"/>
      <c r="M100" s="77"/>
      <c r="N100" s="77"/>
      <c r="O100" s="77"/>
      <c r="P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66:F66"/>
    <mergeCell ref="A70:F70"/>
    <mergeCell ref="A81:F82"/>
    <mergeCell ref="A2:K3"/>
    <mergeCell ref="A4:E4"/>
    <mergeCell ref="A5:E10"/>
    <mergeCell ref="M6:P20"/>
    <mergeCell ref="A16:F16"/>
    <mergeCell ref="M45:O49"/>
    <mergeCell ref="M61:O65"/>
  </mergeCells>
  <dataValidations>
    <dataValidation type="list" allowBlank="1" showErrorMessage="1" sqref="A16">
      <formula1>"Approach 1: Detailed Cost of Capital"</formula1>
    </dataValidation>
    <dataValidation type="list" allowBlank="1" showErrorMessage="1" sqref="B71">
      <formula1>$A$76:$A$80</formula1>
    </dataValidation>
  </dataValidations>
  <printOptions/>
  <pageMargins bottom="1.0" footer="0.0" header="0.0" left="0.75" right="0.75" top="1.0"/>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63"/>
    <col customWidth="1" min="2" max="2" width="11.25"/>
    <col customWidth="1" min="3" max="3" width="13.63"/>
    <col customWidth="1" min="4" max="4" width="18.88"/>
    <col customWidth="1" min="5" max="5" width="13.88"/>
    <col customWidth="1" min="6" max="8" width="11.25"/>
    <col customWidth="1" min="9" max="9" width="13.0"/>
    <col customWidth="1" min="10" max="10" width="11.25"/>
    <col customWidth="1" min="11" max="11" width="17.5"/>
    <col customWidth="1" min="12" max="13" width="18.0"/>
    <col customWidth="1" min="14" max="14" width="18.88"/>
    <col customWidth="1" min="15" max="23" width="12.63"/>
    <col customWidth="1" min="24" max="25" width="13.63"/>
    <col customWidth="1" min="26" max="26" width="11.25"/>
  </cols>
  <sheetData>
    <row r="1" ht="22.5" customHeight="1">
      <c r="A1" s="727" t="s">
        <v>231</v>
      </c>
      <c r="B1" s="727" t="s">
        <v>341</v>
      </c>
      <c r="C1" s="727" t="s">
        <v>71</v>
      </c>
      <c r="D1" s="727" t="s">
        <v>490</v>
      </c>
      <c r="E1" s="727" t="s">
        <v>576</v>
      </c>
      <c r="F1" s="727" t="s">
        <v>109</v>
      </c>
      <c r="G1" s="727" t="s">
        <v>632</v>
      </c>
      <c r="H1" s="727" t="s">
        <v>610</v>
      </c>
      <c r="I1" s="727" t="s">
        <v>107</v>
      </c>
      <c r="J1" s="727" t="s">
        <v>111</v>
      </c>
      <c r="K1" s="727" t="s">
        <v>521</v>
      </c>
      <c r="L1" s="727" t="s">
        <v>1017</v>
      </c>
      <c r="M1" s="727" t="s">
        <v>1019</v>
      </c>
      <c r="N1" s="727" t="s">
        <v>1020</v>
      </c>
      <c r="O1" s="727" t="s">
        <v>1021</v>
      </c>
      <c r="P1" s="727" t="s">
        <v>1022</v>
      </c>
      <c r="Q1" s="727" t="s">
        <v>1023</v>
      </c>
      <c r="R1" s="727" t="s">
        <v>1025</v>
      </c>
      <c r="S1" s="727" t="s">
        <v>1026</v>
      </c>
      <c r="T1" s="727" t="s">
        <v>1027</v>
      </c>
      <c r="U1" s="727" t="s">
        <v>1028</v>
      </c>
      <c r="V1" s="727" t="s">
        <v>1029</v>
      </c>
      <c r="W1" s="727" t="s">
        <v>1031</v>
      </c>
      <c r="X1" s="727" t="s">
        <v>1033</v>
      </c>
      <c r="Y1" s="727" t="s">
        <v>1034</v>
      </c>
    </row>
    <row r="2" ht="22.5" customHeight="1">
      <c r="A2" s="730" t="inlineStr">
        <is>
          <t xml:space="preserve">Eli Lilly</t>
        </is>
      </c>
      <c r="B2" s="730" t="inlineStr">
        <is>
          <t xml:space="preserve">NYSE:LLY</t>
        </is>
      </c>
      <c r="C2" s="730">
        <v>1030000.0</v>
      </c>
      <c r="D2" s="731">
        <v>0.8340000000000001</v>
      </c>
      <c r="E2" s="730">
        <v>28.09</v>
      </c>
      <c r="F2" s="730">
        <v>39.28</v>
      </c>
      <c r="G2" s="730">
        <v>59.82</v>
      </c>
      <c r="H2" s="730">
        <v>57.34</v>
      </c>
      <c r="I2" s="730">
        <v>26.09</v>
      </c>
      <c r="J2" s="730">
        <v>37.14</v>
      </c>
      <c r="K2" s="731">
        <v>0.4972</v>
      </c>
      <c r="L2" s="731">
        <v>0.3169</v>
      </c>
      <c r="M2" s="731">
        <v>0.2158</v>
      </c>
      <c r="N2" s="731"/>
      <c r="O2" s="730"/>
      <c r="P2" s="730"/>
      <c r="Q2" s="730"/>
      <c r="R2" s="730"/>
      <c r="S2" s="730"/>
      <c r="T2" s="730"/>
      <c r="U2" s="730"/>
      <c r="V2" s="730"/>
      <c r="W2" s="730"/>
      <c r="X2" s="730"/>
      <c r="Y2" s="730"/>
    </row>
    <row r="3" ht="22.5" customHeight="1">
      <c r="A3" s="730" t="inlineStr">
        <is>
          <t xml:space="preserve">AstraZeneca</t>
        </is>
      </c>
      <c r="B3" s="730" t="inlineStr">
        <is>
          <t xml:space="preserve">NASDAQ:AZN</t>
        </is>
      </c>
      <c r="C3" s="730">
        <v>262230.0</v>
      </c>
      <c r="D3" s="731">
        <v>0.8169</v>
      </c>
      <c r="E3" s="730">
        <v>15.61</v>
      </c>
      <c r="F3" s="730">
        <v>25.1</v>
      </c>
      <c r="G3" s="730">
        <v>27.17</v>
      </c>
      <c r="H3" s="730">
        <v>24.58</v>
      </c>
      <c r="I3" s="730">
        <v>14.56</v>
      </c>
      <c r="J3" s="730">
        <v>19.14</v>
      </c>
      <c r="K3" s="731">
        <v>0.2386</v>
      </c>
      <c r="L3" s="731">
        <v>0.0982</v>
      </c>
      <c r="M3" s="731">
        <v>0.1715</v>
      </c>
      <c r="N3" s="731"/>
      <c r="O3" s="730"/>
      <c r="P3" s="730"/>
      <c r="Q3" s="730"/>
      <c r="R3" s="730"/>
      <c r="S3" s="730"/>
      <c r="T3" s="730"/>
      <c r="U3" s="730"/>
      <c r="V3" s="730"/>
      <c r="W3" s="730"/>
      <c r="X3" s="730"/>
      <c r="Y3" s="730"/>
    </row>
    <row r="4" ht="22.5" customHeight="1">
      <c r="A4" s="730" t="inlineStr">
        <is>
          <t xml:space="preserve">Sanofi</t>
        </is>
      </c>
      <c r="B4" s="730" t="inlineStr">
        <is>
          <t xml:space="preserve">NASDAQ:SNY</t>
        </is>
      </c>
      <c r="C4" s="730">
        <v>101980.0</v>
      </c>
      <c r="D4" s="731">
        <v>0.7345</v>
      </c>
      <c r="E4" s="730">
        <v>8.42</v>
      </c>
      <c r="F4" s="730">
        <v>22.55</v>
      </c>
      <c r="G4" s="730">
        <v>10.65</v>
      </c>
      <c r="H4" s="730">
        <v>8.9</v>
      </c>
      <c r="I4" s="730">
        <v>7.89</v>
      </c>
      <c r="J4" s="730">
        <v>7.55</v>
      </c>
      <c r="K4" s="731">
        <v>0.2116</v>
      </c>
      <c r="L4" s="731">
        <v>0.0504</v>
      </c>
      <c r="M4" s="731">
        <v>0.0457</v>
      </c>
      <c r="N4" s="731"/>
      <c r="O4" s="730"/>
      <c r="P4" s="730"/>
      <c r="Q4" s="730"/>
      <c r="R4" s="730"/>
      <c r="S4" s="730"/>
      <c r="T4" s="730"/>
      <c r="U4" s="730"/>
      <c r="V4" s="730"/>
      <c r="W4" s="730"/>
      <c r="X4" s="730"/>
      <c r="Y4" s="730"/>
    </row>
    <row r="5" ht="22.5" customHeight="1">
      <c r="A5" s="730" t="inlineStr">
        <is>
          <t xml:space="preserve">Merck &amp; Co.</t>
        </is>
      </c>
      <c r="B5" s="730" t="inlineStr">
        <is>
          <t xml:space="preserve">NYSE:MRK</t>
        </is>
      </c>
      <c r="C5" s="730">
        <v>362750.0</v>
      </c>
      <c r="D5" s="731">
        <v>0.759</v>
      </c>
      <c r="E5" s="730">
        <v>17.53</v>
      </c>
      <c r="F5" s="730">
        <v>118.56</v>
      </c>
      <c r="G5" s="730">
        <v>26.09</v>
      </c>
      <c r="H5" s="730">
        <v>23.18</v>
      </c>
      <c r="I5" s="730">
        <v>14.52</v>
      </c>
      <c r="J5" s="730">
        <v>18.65</v>
      </c>
      <c r="K5" s="731">
        <v>0.3528</v>
      </c>
      <c r="L5" s="731">
        <v>0.0312</v>
      </c>
      <c r="M5" s="731">
        <v>0.0938</v>
      </c>
      <c r="N5" s="731"/>
      <c r="O5" s="730"/>
      <c r="P5" s="730"/>
      <c r="Q5" s="730"/>
      <c r="R5" s="730"/>
      <c r="S5" s="730"/>
      <c r="T5" s="730"/>
      <c r="U5" s="730"/>
      <c r="V5" s="730"/>
      <c r="W5" s="730"/>
      <c r="X5" s="730"/>
      <c r="Y5" s="730"/>
    </row>
    <row r="6" ht="22.5" customHeight="1">
      <c r="A6" s="730" t="inlineStr">
        <is>
          <t xml:space="preserve">Amgen</t>
        </is>
      </c>
      <c r="B6" s="730" t="inlineStr">
        <is>
          <t xml:space="preserve">NASDAQ:AMGN</t>
        </is>
      </c>
      <c r="C6" s="730">
        <v>219060.0</v>
      </c>
      <c r="D6" s="731">
        <v>0.7189</v>
      </c>
      <c r="E6" s="730">
        <v>17.49</v>
      </c>
      <c r="F6" s="730">
        <v>25.49</v>
      </c>
      <c r="G6" s="730">
        <v>26.05</v>
      </c>
      <c r="H6" s="730">
        <v>21.8</v>
      </c>
      <c r="I6" s="730">
        <v>15.35</v>
      </c>
      <c r="J6" s="730">
        <v>17.77</v>
      </c>
      <c r="K6" s="731">
        <v>0.33399999999999996</v>
      </c>
      <c r="L6" s="731">
        <v>0.1177</v>
      </c>
      <c r="M6" s="731">
        <v>0.0765</v>
      </c>
      <c r="N6" s="731"/>
      <c r="O6" s="730"/>
      <c r="P6" s="730"/>
      <c r="Q6" s="730"/>
      <c r="R6" s="730"/>
      <c r="S6" s="730"/>
      <c r="T6" s="730"/>
      <c r="U6" s="730"/>
      <c r="V6" s="730"/>
      <c r="W6" s="730"/>
      <c r="X6" s="730"/>
      <c r="Y6" s="730"/>
    </row>
    <row r="7" ht="22.5" customHeight="1">
      <c r="A7" s="730" t="inlineStr">
        <is>
          <t xml:space="preserve">Pfizer</t>
        </is>
      </c>
      <c r="B7" s="730" t="inlineStr">
        <is>
          <t xml:space="preserve">NYSE:PFE</t>
        </is>
      </c>
      <c r="C7" s="730">
        <v>160050.0</v>
      </c>
      <c r="D7" s="731">
        <v>0.7472</v>
      </c>
      <c r="E7" s="730">
        <v>10.08</v>
      </c>
      <c r="F7" s="730">
        <v>36.71</v>
      </c>
      <c r="G7" s="730">
        <v>19.17</v>
      </c>
      <c r="H7" s="730">
        <v>14.46</v>
      </c>
      <c r="I7" s="730">
        <v>8.3</v>
      </c>
      <c r="J7" s="730">
        <v>11.85</v>
      </c>
      <c r="K7" s="731">
        <v>0.2958</v>
      </c>
      <c r="L7" s="731">
        <v>-0.148</v>
      </c>
      <c r="M7" s="731">
        <v>0.0848</v>
      </c>
      <c r="N7" s="731"/>
      <c r="O7" s="730"/>
      <c r="P7" s="730"/>
      <c r="Q7" s="730"/>
      <c r="R7" s="730"/>
      <c r="S7" s="730"/>
      <c r="T7" s="730"/>
      <c r="U7" s="730"/>
      <c r="V7" s="730"/>
      <c r="W7" s="730"/>
      <c r="X7" s="730"/>
      <c r="Y7" s="730"/>
    </row>
    <row r="8" ht="22.5" customHeight="1">
      <c r="A8" s="730"/>
      <c r="B8" s="730"/>
      <c r="C8" s="730"/>
      <c r="D8" s="731"/>
      <c r="E8" s="730"/>
      <c r="F8" s="730"/>
      <c r="G8" s="730"/>
      <c r="H8" s="730"/>
      <c r="I8" s="730"/>
      <c r="J8" s="730"/>
      <c r="K8" s="731"/>
      <c r="L8" s="731"/>
      <c r="M8" s="731"/>
      <c r="N8" s="731"/>
      <c r="O8" s="730"/>
      <c r="P8" s="730"/>
      <c r="Q8" s="730"/>
      <c r="R8" s="730"/>
      <c r="S8" s="730"/>
      <c r="T8" s="730"/>
      <c r="U8" s="730"/>
      <c r="V8" s="730"/>
      <c r="W8" s="730"/>
      <c r="X8" s="730"/>
      <c r="Y8" s="730"/>
    </row>
    <row r="9" ht="22.5" customHeight="1">
      <c r="A9" s="730" t="inlineStr">
        <is>
          <t xml:space="preserve">Fuente: stockanalysis.com (páginas statistics y financials), consultado el 23-sep-2026. Market cap en USD millones; múltiplos TTM; CAGR de ingresos en moneda de reporte (FY2022-25 y FY2020-25). CAGR 10 años no disponible en la fuente (celdas vacías).</t>
        </is>
      </c>
      <c r="B9" s="730"/>
      <c r="C9" s="730"/>
      <c r="D9" s="731"/>
      <c r="E9" s="730"/>
      <c r="F9" s="730"/>
      <c r="G9" s="730"/>
      <c r="H9" s="730"/>
      <c r="I9" s="730"/>
      <c r="J9" s="730"/>
      <c r="K9" s="731"/>
      <c r="L9" s="731"/>
      <c r="M9" s="731"/>
      <c r="N9" s="731"/>
      <c r="O9" s="730"/>
      <c r="P9" s="730"/>
      <c r="Q9" s="730"/>
      <c r="R9" s="730"/>
      <c r="S9" s="730"/>
      <c r="T9" s="730"/>
      <c r="U9" s="730"/>
      <c r="V9" s="730"/>
      <c r="W9" s="730"/>
      <c r="X9" s="730"/>
      <c r="Y9" s="730"/>
    </row>
    <row r="10" ht="22.5" customHeight="1">
      <c r="A10" s="730"/>
      <c r="B10" s="746"/>
      <c r="C10" s="730"/>
      <c r="D10" s="731"/>
      <c r="E10" s="730"/>
      <c r="F10" s="746"/>
      <c r="G10" s="746"/>
      <c r="H10" s="746"/>
      <c r="I10" s="730"/>
      <c r="J10" s="746"/>
      <c r="K10" s="731"/>
      <c r="L10" s="731"/>
      <c r="M10" s="731"/>
      <c r="N10" s="731"/>
      <c r="O10" s="730"/>
      <c r="P10" s="730"/>
      <c r="Q10" s="730"/>
      <c r="R10" s="730"/>
      <c r="S10" s="730"/>
      <c r="T10" s="730"/>
      <c r="U10" s="730"/>
      <c r="V10" s="730"/>
      <c r="W10" s="730"/>
      <c r="X10" s="730"/>
      <c r="Y10" s="730"/>
    </row>
    <row r="11" ht="22.5" customHeight="1">
      <c r="A11" s="730"/>
      <c r="B11" s="746"/>
      <c r="C11" s="730"/>
      <c r="D11" s="731"/>
      <c r="E11" s="730"/>
      <c r="F11" s="746"/>
      <c r="G11" s="746"/>
      <c r="H11" s="746"/>
      <c r="I11" s="730"/>
      <c r="J11" s="746"/>
      <c r="K11" s="731"/>
      <c r="L11" s="731"/>
      <c r="M11" s="731"/>
      <c r="N11" s="731"/>
      <c r="O11" s="730"/>
      <c r="P11" s="730"/>
      <c r="Q11" s="730"/>
      <c r="R11" s="730"/>
      <c r="S11" s="730"/>
      <c r="T11" s="730"/>
      <c r="U11" s="730"/>
      <c r="V11" s="730"/>
      <c r="W11" s="730"/>
      <c r="X11" s="730"/>
      <c r="Y11" s="730"/>
    </row>
    <row r="12" ht="22.5" customHeight="1">
      <c r="A12" s="730"/>
      <c r="B12" s="730"/>
      <c r="C12" s="730"/>
      <c r="D12" s="731"/>
      <c r="E12" s="730"/>
      <c r="F12" s="730"/>
      <c r="G12" s="730"/>
      <c r="H12" s="730"/>
      <c r="I12" s="730"/>
      <c r="J12" s="730"/>
      <c r="K12" s="731"/>
      <c r="L12" s="731"/>
      <c r="M12" s="731"/>
      <c r="N12" s="731"/>
      <c r="O12" s="730"/>
      <c r="P12" s="730"/>
      <c r="Q12" s="730"/>
      <c r="R12" s="730"/>
      <c r="S12" s="730"/>
      <c r="T12" s="730"/>
      <c r="U12" s="730"/>
      <c r="V12" s="730"/>
      <c r="W12" s="730"/>
      <c r="X12" s="730"/>
      <c r="Y12" s="730"/>
    </row>
    <row r="13" ht="22.5" customHeight="1">
      <c r="A13" s="730" t="s">
        <v>1105</v>
      </c>
      <c r="B13" s="746"/>
      <c r="C13" s="757">
        <f t="shared" ref="C13:D13" si="1">AVERAGE(C2:C7)</f>
        <v>356011.666666667</v>
      </c>
      <c r="D13" s="731">
        <f t="shared" si="1"/>
        <v>0.768416666666667</v>
      </c>
      <c r="E13" s="758">
        <f t="shared" ref="E13:K13" si="2">AVERAGE(E2:E11)</f>
        <v>16.2033333333333</v>
      </c>
      <c r="F13" s="758">
        <f t="shared" si="2"/>
        <v>44.615</v>
      </c>
      <c r="G13" s="758">
        <f t="shared" si="2"/>
        <v>28.1583333333333</v>
      </c>
      <c r="H13" s="758">
        <f t="shared" si="2"/>
        <v>25.0433333333333</v>
      </c>
      <c r="I13" s="758">
        <f t="shared" si="2"/>
        <v>14.4516666666667</v>
      </c>
      <c r="J13" s="758">
        <f t="shared" si="2"/>
        <v>18.6833333333333</v>
      </c>
      <c r="K13" s="731">
        <f t="shared" si="2"/>
        <v>0.321666666666667</v>
      </c>
      <c r="L13" s="731">
        <f t="shared" ref="L13:N13" si="3">AVERAGE(L2:L7)</f>
        <v>0.0777333333333333</v>
      </c>
      <c r="M13" s="731">
        <f t="shared" si="3"/>
        <v>0.114683333333333</v>
      </c>
      <c r="N13" s="731" t="e">
        <f t="shared" si="3"/>
        <v>#DIV/0!</v>
      </c>
      <c r="O13" s="730"/>
      <c r="P13" s="730"/>
      <c r="Q13" s="730"/>
      <c r="R13" s="730"/>
      <c r="S13" s="730"/>
      <c r="T13" s="730"/>
      <c r="U13" s="730"/>
      <c r="V13" s="730"/>
      <c r="W13" s="730"/>
      <c r="X13" s="730"/>
      <c r="Y13" s="730"/>
    </row>
    <row r="14" ht="22.5" customHeight="1">
      <c r="A14" s="730" t="s">
        <v>1110</v>
      </c>
      <c r="B14" s="746"/>
      <c r="C14" s="731"/>
      <c r="D14" s="731">
        <f>MEDIAN(D2:D7)</f>
        <v>0.7531</v>
      </c>
      <c r="E14" s="758">
        <f t="shared" ref="E14:K14" si="4">MEDIAN(E2:E11)</f>
        <v>16.55</v>
      </c>
      <c r="F14" s="758">
        <f t="shared" si="4"/>
        <v>31.1</v>
      </c>
      <c r="G14" s="758">
        <f t="shared" si="4"/>
        <v>26.07</v>
      </c>
      <c r="H14" s="758">
        <f t="shared" si="4"/>
        <v>22.49</v>
      </c>
      <c r="I14" s="758">
        <f t="shared" si="4"/>
        <v>14.54</v>
      </c>
      <c r="J14" s="758">
        <f t="shared" si="4"/>
        <v>18.21</v>
      </c>
      <c r="K14" s="731">
        <f t="shared" si="4"/>
        <v>0.3149</v>
      </c>
      <c r="L14" s="731">
        <f t="shared" ref="L14:N14" si="5">MEDIAN(L2:L7)</f>
        <v>0.0743</v>
      </c>
      <c r="M14" s="731">
        <f t="shared" si="5"/>
        <v>0.0893</v>
      </c>
      <c r="N14" s="731" t="e">
        <f t="shared" si="5"/>
        <v>#VALUE!</v>
      </c>
      <c r="O14" s="730"/>
      <c r="P14" s="730"/>
      <c r="Q14" s="730"/>
      <c r="R14" s="730"/>
      <c r="S14" s="730"/>
      <c r="T14" s="730"/>
      <c r="U14" s="730"/>
      <c r="V14" s="730"/>
      <c r="W14" s="730"/>
      <c r="X14" s="730"/>
      <c r="Y14" s="730"/>
    </row>
    <row r="15" ht="22.5" customHeight="1">
      <c r="A15" s="730"/>
      <c r="B15" s="746"/>
      <c r="C15" s="730"/>
      <c r="D15" s="730"/>
      <c r="E15" s="730"/>
      <c r="F15" s="746"/>
      <c r="G15" s="746"/>
      <c r="H15" s="746"/>
      <c r="I15" s="730"/>
      <c r="J15" s="746"/>
      <c r="K15" s="730"/>
      <c r="L15" s="730"/>
      <c r="M15" s="730"/>
      <c r="N15" s="730"/>
      <c r="O15" s="730"/>
      <c r="P15" s="730"/>
      <c r="Q15" s="730"/>
      <c r="R15" s="730"/>
      <c r="S15" s="730"/>
      <c r="T15" s="730"/>
      <c r="U15" s="730"/>
      <c r="V15" s="730"/>
      <c r="W15" s="730"/>
      <c r="X15" s="730"/>
      <c r="Y15" s="730"/>
    </row>
    <row r="16" ht="22.5" customHeight="1">
      <c r="A16" s="730"/>
      <c r="B16" s="746"/>
      <c r="C16" s="730"/>
      <c r="D16" s="730"/>
      <c r="E16" s="730"/>
      <c r="F16" s="746"/>
      <c r="G16" s="746"/>
      <c r="H16" s="746"/>
      <c r="I16" s="730"/>
      <c r="J16" s="746"/>
      <c r="K16" s="730"/>
      <c r="L16" s="730"/>
      <c r="M16" s="730"/>
      <c r="N16" s="730"/>
      <c r="O16" s="730"/>
      <c r="P16" s="730"/>
      <c r="Q16" s="730"/>
      <c r="R16" s="730"/>
      <c r="S16" s="730"/>
      <c r="T16" s="730"/>
      <c r="U16" s="730"/>
      <c r="V16" s="730"/>
      <c r="W16" s="730"/>
      <c r="X16" s="730"/>
      <c r="Y16" s="730"/>
    </row>
    <row r="17" ht="22.5" customHeight="1">
      <c r="A17" s="730"/>
      <c r="B17" s="746"/>
      <c r="C17" s="730"/>
      <c r="D17" s="730"/>
      <c r="E17" s="730"/>
      <c r="F17" s="746"/>
      <c r="G17" s="746"/>
      <c r="H17" s="746"/>
      <c r="I17" s="730"/>
      <c r="J17" s="746"/>
      <c r="K17" s="730"/>
      <c r="L17" s="730"/>
      <c r="M17" s="730"/>
      <c r="N17" s="730"/>
      <c r="O17" s="730"/>
      <c r="P17" s="730"/>
      <c r="Q17" s="730"/>
      <c r="R17" s="730"/>
      <c r="S17" s="730"/>
      <c r="T17" s="730"/>
      <c r="U17" s="730"/>
      <c r="V17" s="730"/>
      <c r="W17" s="730"/>
      <c r="X17" s="730"/>
      <c r="Y17" s="730"/>
    </row>
    <row r="18" ht="22.5" customHeight="1">
      <c r="A18" s="730"/>
      <c r="B18" s="746"/>
      <c r="C18" s="730"/>
      <c r="D18" s="730"/>
      <c r="E18" s="730"/>
      <c r="F18" s="746"/>
      <c r="G18" s="746"/>
      <c r="H18" s="746"/>
      <c r="I18" s="730"/>
      <c r="J18" s="746"/>
      <c r="K18" s="730"/>
      <c r="L18" s="730"/>
      <c r="M18" s="730"/>
      <c r="N18" s="730"/>
      <c r="O18" s="730"/>
      <c r="P18" s="730"/>
      <c r="Q18" s="730"/>
      <c r="R18" s="730"/>
      <c r="S18" s="730"/>
      <c r="T18" s="730"/>
      <c r="U18" s="730"/>
      <c r="V18" s="730"/>
      <c r="W18" s="730"/>
      <c r="X18" s="730"/>
      <c r="Y18" s="730"/>
    </row>
    <row r="19" ht="22.5" customHeight="1">
      <c r="A19" s="730"/>
      <c r="B19" s="746"/>
      <c r="C19" s="730"/>
      <c r="D19" s="730"/>
      <c r="E19" s="730"/>
      <c r="F19" s="746"/>
      <c r="G19" s="746"/>
      <c r="H19" s="746"/>
      <c r="I19" s="730"/>
      <c r="J19" s="746"/>
      <c r="K19" s="730"/>
      <c r="L19" s="730"/>
      <c r="M19" s="730"/>
      <c r="N19" s="730"/>
      <c r="O19" s="730"/>
      <c r="P19" s="730"/>
      <c r="Q19" s="730"/>
      <c r="R19" s="730"/>
      <c r="S19" s="730"/>
      <c r="T19" s="730"/>
      <c r="U19" s="730"/>
      <c r="V19" s="730"/>
      <c r="W19" s="730"/>
      <c r="X19" s="730"/>
      <c r="Y19" s="730"/>
    </row>
    <row r="20" ht="22.5" customHeight="1">
      <c r="A20" s="730"/>
      <c r="B20" s="746"/>
      <c r="C20" s="730"/>
      <c r="D20" s="730"/>
      <c r="E20" s="730"/>
      <c r="F20" s="746"/>
      <c r="G20" s="746"/>
      <c r="H20" s="746"/>
      <c r="I20" s="730"/>
      <c r="J20" s="746"/>
      <c r="K20" s="730"/>
      <c r="L20" s="730"/>
      <c r="M20" s="730"/>
      <c r="N20" s="730"/>
      <c r="O20" s="730"/>
      <c r="P20" s="730"/>
      <c r="Q20" s="730"/>
      <c r="R20" s="730"/>
      <c r="S20" s="730"/>
      <c r="T20" s="730"/>
      <c r="U20" s="730"/>
      <c r="V20" s="730"/>
      <c r="W20" s="730"/>
      <c r="X20" s="730"/>
      <c r="Y20" s="730"/>
    </row>
    <row r="21" ht="22.5" customHeight="1">
      <c r="A21" s="730"/>
      <c r="B21" s="746"/>
      <c r="C21" s="730"/>
      <c r="D21" s="730"/>
      <c r="E21" s="730"/>
      <c r="F21" s="746"/>
      <c r="G21" s="746"/>
      <c r="H21" s="746"/>
      <c r="I21" s="730"/>
      <c r="J21" s="746"/>
      <c r="K21" s="730"/>
      <c r="L21" s="730"/>
      <c r="M21" s="730"/>
      <c r="N21" s="730"/>
      <c r="O21" s="730"/>
      <c r="P21" s="730"/>
      <c r="Q21" s="730"/>
      <c r="R21" s="730"/>
      <c r="S21" s="730"/>
      <c r="T21" s="730"/>
      <c r="U21" s="730"/>
      <c r="V21" s="730"/>
      <c r="W21" s="730"/>
      <c r="X21" s="730"/>
      <c r="Y21" s="730"/>
    </row>
    <row r="22" ht="22.5" customHeight="1">
      <c r="A22" s="730"/>
      <c r="B22" s="746"/>
      <c r="C22" s="730"/>
      <c r="D22" s="730"/>
      <c r="E22" s="730"/>
      <c r="F22" s="746"/>
      <c r="G22" s="746"/>
      <c r="H22" s="746"/>
      <c r="I22" s="730"/>
      <c r="J22" s="746"/>
      <c r="K22" s="730"/>
      <c r="L22" s="730"/>
      <c r="M22" s="730"/>
      <c r="N22" s="730"/>
      <c r="O22" s="730"/>
      <c r="P22" s="730"/>
      <c r="Q22" s="730"/>
      <c r="R22" s="730"/>
      <c r="S22" s="730"/>
      <c r="T22" s="730"/>
      <c r="U22" s="730"/>
      <c r="V22" s="730"/>
      <c r="W22" s="730"/>
      <c r="X22" s="730"/>
      <c r="Y22" s="730"/>
    </row>
    <row r="23" ht="22.5" customHeight="1">
      <c r="A23" s="730"/>
      <c r="B23" s="746"/>
      <c r="C23" s="730"/>
      <c r="D23" s="730"/>
      <c r="E23" s="730"/>
      <c r="F23" s="746"/>
      <c r="G23" s="746"/>
      <c r="H23" s="746"/>
      <c r="I23" s="730"/>
      <c r="J23" s="746"/>
      <c r="K23" s="730"/>
      <c r="L23" s="730"/>
      <c r="M23" s="730"/>
      <c r="N23" s="730"/>
      <c r="O23" s="730"/>
      <c r="P23" s="730"/>
      <c r="Q23" s="730"/>
      <c r="R23" s="730"/>
      <c r="S23" s="730"/>
      <c r="T23" s="730"/>
      <c r="U23" s="730"/>
      <c r="V23" s="730"/>
      <c r="W23" s="730"/>
      <c r="X23" s="730"/>
      <c r="Y23" s="730"/>
    </row>
    <row r="24" ht="22.5" customHeight="1">
      <c r="A24" s="730"/>
      <c r="B24" s="746"/>
      <c r="C24" s="730"/>
      <c r="D24" s="730"/>
      <c r="E24" s="730"/>
      <c r="F24" s="746"/>
      <c r="G24" s="746"/>
      <c r="H24" s="746"/>
      <c r="I24" s="730"/>
      <c r="J24" s="746"/>
      <c r="K24" s="730"/>
      <c r="L24" s="730"/>
      <c r="M24" s="730"/>
      <c r="N24" s="730"/>
      <c r="O24" s="730"/>
      <c r="P24" s="730"/>
      <c r="Q24" s="730"/>
      <c r="R24" s="730"/>
      <c r="S24" s="730"/>
      <c r="T24" s="730"/>
      <c r="U24" s="730"/>
      <c r="V24" s="730"/>
      <c r="W24" s="730"/>
      <c r="X24" s="730"/>
      <c r="Y24" s="730"/>
    </row>
    <row r="25" ht="22.5" customHeight="1">
      <c r="A25" s="730"/>
      <c r="B25" s="746"/>
      <c r="C25" s="730"/>
      <c r="D25" s="730"/>
      <c r="E25" s="730"/>
      <c r="F25" s="746"/>
      <c r="G25" s="746"/>
      <c r="H25" s="746"/>
      <c r="I25" s="730"/>
      <c r="J25" s="746"/>
      <c r="K25" s="730"/>
      <c r="L25" s="730"/>
      <c r="M25" s="730"/>
      <c r="N25" s="730"/>
      <c r="O25" s="730"/>
      <c r="P25" s="730"/>
      <c r="Q25" s="730"/>
      <c r="R25" s="730"/>
      <c r="S25" s="730"/>
      <c r="T25" s="730"/>
      <c r="U25" s="730"/>
      <c r="V25" s="730"/>
      <c r="W25" s="730"/>
      <c r="X25" s="730"/>
      <c r="Y25" s="730"/>
    </row>
    <row r="26" ht="22.5" customHeight="1">
      <c r="A26" s="730"/>
      <c r="B26" s="746"/>
      <c r="C26" s="730"/>
      <c r="D26" s="730"/>
      <c r="E26" s="730"/>
      <c r="F26" s="746"/>
      <c r="G26" s="746"/>
      <c r="H26" s="746"/>
      <c r="I26" s="730"/>
      <c r="J26" s="746"/>
      <c r="K26" s="730"/>
      <c r="L26" s="730"/>
      <c r="M26" s="730"/>
      <c r="N26" s="730"/>
      <c r="O26" s="730"/>
      <c r="P26" s="730"/>
      <c r="Q26" s="730"/>
      <c r="R26" s="730"/>
      <c r="S26" s="730"/>
      <c r="T26" s="730"/>
      <c r="U26" s="730"/>
      <c r="V26" s="730"/>
      <c r="W26" s="730"/>
      <c r="X26" s="730"/>
      <c r="Y26" s="730"/>
    </row>
    <row r="27" ht="22.5" customHeight="1">
      <c r="A27" s="730"/>
      <c r="B27" s="746"/>
      <c r="C27" s="730"/>
      <c r="D27" s="730"/>
      <c r="E27" s="730"/>
      <c r="F27" s="746"/>
      <c r="G27" s="746"/>
      <c r="H27" s="746"/>
      <c r="I27" s="730"/>
      <c r="J27" s="746"/>
      <c r="K27" s="730"/>
      <c r="L27" s="730"/>
      <c r="M27" s="730"/>
      <c r="N27" s="730"/>
      <c r="O27" s="730"/>
      <c r="P27" s="730"/>
      <c r="Q27" s="730"/>
      <c r="R27" s="730"/>
      <c r="S27" s="730"/>
      <c r="T27" s="730"/>
      <c r="U27" s="730"/>
      <c r="V27" s="730"/>
      <c r="W27" s="730"/>
      <c r="X27" s="730"/>
      <c r="Y27" s="730"/>
    </row>
    <row r="28" ht="22.5" customHeight="1">
      <c r="A28" s="730"/>
      <c r="B28" s="746"/>
      <c r="C28" s="730"/>
      <c r="D28" s="730"/>
      <c r="E28" s="730"/>
      <c r="F28" s="746"/>
      <c r="G28" s="746"/>
      <c r="H28" s="746"/>
      <c r="I28" s="730"/>
      <c r="J28" s="746"/>
      <c r="K28" s="730"/>
      <c r="L28" s="730"/>
      <c r="M28" s="730"/>
      <c r="N28" s="730"/>
      <c r="O28" s="730"/>
      <c r="P28" s="730"/>
      <c r="Q28" s="730"/>
      <c r="R28" s="730"/>
      <c r="S28" s="730"/>
      <c r="T28" s="730"/>
      <c r="U28" s="730"/>
      <c r="V28" s="730"/>
      <c r="W28" s="730"/>
      <c r="X28" s="730"/>
      <c r="Y28" s="730"/>
    </row>
    <row r="29" ht="22.5" customHeight="1">
      <c r="A29" s="730"/>
      <c r="B29" s="746"/>
      <c r="C29" s="730"/>
      <c r="D29" s="730"/>
      <c r="E29" s="730"/>
      <c r="F29" s="746"/>
      <c r="G29" s="746"/>
      <c r="H29" s="746"/>
      <c r="I29" s="730"/>
      <c r="J29" s="746"/>
      <c r="K29" s="730"/>
      <c r="L29" s="730"/>
      <c r="M29" s="730"/>
      <c r="N29" s="730"/>
      <c r="O29" s="730"/>
      <c r="P29" s="730"/>
      <c r="Q29" s="730"/>
      <c r="R29" s="730"/>
      <c r="S29" s="730"/>
      <c r="T29" s="730"/>
      <c r="U29" s="730"/>
      <c r="V29" s="730"/>
      <c r="W29" s="730"/>
      <c r="X29" s="730"/>
      <c r="Y29" s="730"/>
    </row>
    <row r="30" ht="15.75" customHeight="1">
      <c r="A30" s="77"/>
      <c r="C30" s="77"/>
      <c r="D30" s="77"/>
      <c r="E30" s="77"/>
      <c r="I30" s="77"/>
      <c r="K30" s="77"/>
      <c r="L30" s="77"/>
      <c r="M30" s="77"/>
      <c r="N30" s="77"/>
      <c r="O30" s="77"/>
      <c r="P30" s="77"/>
      <c r="Q30" s="77"/>
      <c r="R30" s="77"/>
      <c r="S30" s="77"/>
      <c r="T30" s="77"/>
      <c r="U30" s="77"/>
      <c r="V30" s="77"/>
      <c r="W30" s="77"/>
      <c r="X30" s="77"/>
      <c r="Y30" s="77"/>
    </row>
    <row r="31" ht="15.75" customHeight="1">
      <c r="A31" s="77"/>
      <c r="C31" s="77"/>
      <c r="D31" s="77"/>
      <c r="E31" s="77"/>
      <c r="I31" s="77"/>
      <c r="K31" s="77"/>
      <c r="L31" s="77"/>
      <c r="M31" s="77"/>
      <c r="N31" s="77"/>
      <c r="O31" s="77"/>
      <c r="P31" s="77"/>
      <c r="Q31" s="77"/>
      <c r="R31" s="77"/>
      <c r="S31" s="77"/>
      <c r="T31" s="77"/>
      <c r="U31" s="77"/>
      <c r="V31" s="77"/>
      <c r="W31" s="77"/>
      <c r="X31" s="77"/>
      <c r="Y31" s="77"/>
    </row>
    <row r="32" ht="15.75" customHeight="1">
      <c r="A32" s="77"/>
      <c r="C32" s="77"/>
      <c r="D32" s="77"/>
      <c r="E32" s="77"/>
      <c r="I32" s="77"/>
      <c r="K32" s="77"/>
      <c r="L32" s="77"/>
      <c r="M32" s="77"/>
      <c r="N32" s="77"/>
      <c r="O32" s="77"/>
      <c r="P32" s="77"/>
      <c r="Q32" s="77"/>
      <c r="R32" s="77"/>
      <c r="S32" s="77"/>
      <c r="T32" s="77"/>
      <c r="U32" s="77"/>
      <c r="V32" s="77"/>
      <c r="W32" s="77"/>
      <c r="X32" s="77"/>
      <c r="Y32" s="77"/>
    </row>
    <row r="33" ht="15.75" customHeight="1">
      <c r="A33" s="77"/>
      <c r="C33" s="77"/>
      <c r="D33" s="77"/>
      <c r="E33" s="77"/>
      <c r="I33" s="77"/>
      <c r="K33" s="77"/>
      <c r="L33" s="77"/>
      <c r="M33" s="77"/>
      <c r="N33" s="77"/>
      <c r="O33" s="77"/>
      <c r="P33" s="77"/>
      <c r="Q33" s="77"/>
      <c r="R33" s="77"/>
      <c r="S33" s="77"/>
      <c r="T33" s="77"/>
      <c r="U33" s="77"/>
      <c r="V33" s="77"/>
      <c r="W33" s="77"/>
      <c r="X33" s="77"/>
      <c r="Y33" s="77"/>
    </row>
    <row r="34" ht="15.75" customHeight="1">
      <c r="A34" s="77"/>
      <c r="C34" s="77"/>
      <c r="D34" s="77"/>
      <c r="E34" s="77"/>
      <c r="I34" s="77"/>
      <c r="K34" s="77"/>
      <c r="L34" s="77"/>
      <c r="M34" s="77"/>
      <c r="N34" s="77"/>
      <c r="O34" s="77"/>
      <c r="P34" s="77"/>
      <c r="Q34" s="77"/>
      <c r="R34" s="77"/>
      <c r="S34" s="77"/>
      <c r="T34" s="77"/>
      <c r="U34" s="77"/>
      <c r="V34" s="77"/>
      <c r="W34" s="77"/>
      <c r="X34" s="77"/>
      <c r="Y34" s="77"/>
    </row>
    <row r="35" ht="15.75" customHeight="1">
      <c r="A35" s="77"/>
      <c r="C35" s="77"/>
      <c r="D35" s="77"/>
      <c r="E35" s="77"/>
      <c r="I35" s="77"/>
      <c r="K35" s="77"/>
      <c r="L35" s="77"/>
      <c r="M35" s="77"/>
      <c r="N35" s="77"/>
      <c r="O35" s="77"/>
      <c r="P35" s="77"/>
      <c r="Q35" s="77"/>
      <c r="R35" s="77"/>
      <c r="S35" s="77"/>
      <c r="T35" s="77"/>
      <c r="U35" s="77"/>
      <c r="V35" s="77"/>
      <c r="W35" s="77"/>
      <c r="X35" s="77"/>
      <c r="Y35" s="77"/>
    </row>
    <row r="36" ht="15.75" customHeight="1">
      <c r="A36" s="77"/>
      <c r="C36" s="77"/>
      <c r="D36" s="77"/>
      <c r="E36" s="77"/>
      <c r="I36" s="77"/>
      <c r="K36" s="77"/>
      <c r="L36" s="77"/>
      <c r="M36" s="77"/>
      <c r="N36" s="77"/>
      <c r="O36" s="77"/>
      <c r="P36" s="77"/>
      <c r="Q36" s="77"/>
      <c r="R36" s="77"/>
      <c r="S36" s="77"/>
      <c r="T36" s="77"/>
      <c r="U36" s="77"/>
      <c r="V36" s="77"/>
      <c r="W36" s="77"/>
      <c r="X36" s="77"/>
      <c r="Y36" s="77"/>
    </row>
    <row r="37" ht="15.75" customHeight="1">
      <c r="A37" s="77"/>
      <c r="C37" s="77"/>
      <c r="D37" s="77"/>
      <c r="E37" s="77"/>
      <c r="I37" s="77"/>
      <c r="K37" s="77"/>
      <c r="L37" s="77"/>
      <c r="M37" s="77"/>
      <c r="N37" s="77"/>
      <c r="O37" s="77"/>
      <c r="P37" s="77"/>
      <c r="Q37" s="77"/>
      <c r="R37" s="77"/>
      <c r="S37" s="77"/>
      <c r="T37" s="77"/>
      <c r="U37" s="77"/>
      <c r="V37" s="77"/>
      <c r="W37" s="77"/>
      <c r="X37" s="77"/>
      <c r="Y37" s="77"/>
    </row>
    <row r="38" ht="15.75" customHeight="1">
      <c r="A38" s="77"/>
      <c r="C38" s="77"/>
      <c r="D38" s="77"/>
      <c r="E38" s="77"/>
      <c r="I38" s="77"/>
      <c r="K38" s="77"/>
      <c r="L38" s="77"/>
      <c r="M38" s="77"/>
      <c r="N38" s="77"/>
      <c r="O38" s="77"/>
      <c r="P38" s="77"/>
      <c r="Q38" s="77"/>
      <c r="R38" s="77"/>
      <c r="S38" s="77"/>
      <c r="T38" s="77"/>
      <c r="U38" s="77"/>
      <c r="V38" s="77"/>
      <c r="W38" s="77"/>
      <c r="X38" s="77"/>
      <c r="Y38" s="77"/>
    </row>
    <row r="39" ht="15.75" customHeight="1">
      <c r="A39" s="77"/>
      <c r="C39" s="77"/>
      <c r="D39" s="77"/>
      <c r="E39" s="77"/>
      <c r="I39" s="77"/>
      <c r="K39" s="77"/>
      <c r="L39" s="77"/>
      <c r="M39" s="77"/>
      <c r="N39" s="77"/>
      <c r="O39" s="77"/>
      <c r="P39" s="77"/>
      <c r="Q39" s="77"/>
      <c r="R39" s="77"/>
      <c r="S39" s="77"/>
      <c r="T39" s="77"/>
      <c r="U39" s="77"/>
      <c r="V39" s="77"/>
      <c r="W39" s="77"/>
      <c r="X39" s="77"/>
      <c r="Y39" s="77"/>
    </row>
    <row r="40" ht="15.75" customHeight="1">
      <c r="A40" s="77"/>
      <c r="C40" s="77"/>
      <c r="D40" s="77"/>
      <c r="E40" s="77"/>
      <c r="I40" s="77"/>
      <c r="K40" s="77"/>
      <c r="L40" s="77"/>
      <c r="M40" s="77"/>
      <c r="N40" s="77"/>
      <c r="O40" s="77"/>
      <c r="P40" s="77"/>
      <c r="Q40" s="77"/>
      <c r="R40" s="77"/>
      <c r="S40" s="77"/>
      <c r="T40" s="77"/>
      <c r="U40" s="77"/>
      <c r="V40" s="77"/>
      <c r="W40" s="77"/>
      <c r="X40" s="77"/>
      <c r="Y40" s="77"/>
    </row>
    <row r="41" ht="15.75" customHeight="1">
      <c r="A41" s="77"/>
      <c r="C41" s="77"/>
      <c r="D41" s="77"/>
      <c r="E41" s="77"/>
      <c r="I41" s="77"/>
      <c r="K41" s="77"/>
      <c r="L41" s="77"/>
      <c r="M41" s="77"/>
      <c r="N41" s="77"/>
      <c r="O41" s="77"/>
      <c r="P41" s="77"/>
      <c r="Q41" s="77"/>
      <c r="R41" s="77"/>
      <c r="S41" s="77"/>
      <c r="T41" s="77"/>
      <c r="U41" s="77"/>
      <c r="V41" s="77"/>
      <c r="W41" s="77"/>
      <c r="X41" s="77"/>
      <c r="Y41" s="77"/>
    </row>
    <row r="42" ht="15.75" customHeight="1">
      <c r="A42" s="77"/>
      <c r="C42" s="77"/>
      <c r="D42" s="77"/>
      <c r="E42" s="77"/>
      <c r="I42" s="77"/>
      <c r="K42" s="77"/>
      <c r="L42" s="77"/>
      <c r="M42" s="77"/>
      <c r="N42" s="77"/>
      <c r="O42" s="77"/>
      <c r="P42" s="77"/>
      <c r="Q42" s="77"/>
      <c r="R42" s="77"/>
      <c r="S42" s="77"/>
      <c r="T42" s="77"/>
      <c r="U42" s="77"/>
      <c r="V42" s="77"/>
      <c r="W42" s="77"/>
      <c r="X42" s="77"/>
      <c r="Y42" s="77"/>
    </row>
    <row r="43" ht="15.75" customHeight="1">
      <c r="A43" s="77"/>
      <c r="C43" s="77"/>
      <c r="D43" s="77"/>
      <c r="E43" s="77"/>
      <c r="I43" s="77"/>
      <c r="K43" s="77"/>
      <c r="L43" s="77"/>
      <c r="M43" s="77"/>
      <c r="N43" s="77"/>
      <c r="O43" s="77"/>
      <c r="P43" s="77"/>
      <c r="Q43" s="77"/>
      <c r="R43" s="77"/>
      <c r="S43" s="77"/>
      <c r="T43" s="77"/>
      <c r="U43" s="77"/>
      <c r="V43" s="77"/>
      <c r="W43" s="77"/>
      <c r="X43" s="77"/>
      <c r="Y43" s="77"/>
    </row>
    <row r="44" ht="15.75" customHeight="1">
      <c r="A44" s="77"/>
      <c r="C44" s="77"/>
      <c r="D44" s="77"/>
      <c r="E44" s="77"/>
      <c r="I44" s="77"/>
      <c r="K44" s="77"/>
      <c r="L44" s="77"/>
      <c r="M44" s="77"/>
      <c r="N44" s="77"/>
      <c r="O44" s="77"/>
      <c r="P44" s="77"/>
      <c r="Q44" s="77"/>
      <c r="R44" s="77"/>
      <c r="S44" s="77"/>
      <c r="T44" s="77"/>
      <c r="U44" s="77"/>
      <c r="V44" s="77"/>
      <c r="W44" s="77"/>
      <c r="X44" s="77"/>
      <c r="Y44" s="77"/>
    </row>
    <row r="45" ht="15.75" customHeight="1">
      <c r="A45" s="77"/>
      <c r="C45" s="77"/>
      <c r="D45" s="77"/>
      <c r="E45" s="77"/>
      <c r="I45" s="77"/>
      <c r="K45" s="77"/>
      <c r="L45" s="77"/>
      <c r="M45" s="77"/>
      <c r="N45" s="77"/>
      <c r="O45" s="77"/>
      <c r="P45" s="77"/>
      <c r="Q45" s="77"/>
      <c r="R45" s="77"/>
      <c r="S45" s="77"/>
      <c r="T45" s="77"/>
      <c r="U45" s="77"/>
      <c r="V45" s="77"/>
      <c r="W45" s="77"/>
      <c r="X45" s="77"/>
      <c r="Y45" s="77"/>
    </row>
    <row r="46" ht="15.75" customHeight="1">
      <c r="A46" s="77"/>
      <c r="C46" s="77"/>
      <c r="D46" s="77"/>
      <c r="E46" s="77"/>
      <c r="I46" s="77"/>
      <c r="K46" s="77"/>
      <c r="L46" s="77"/>
      <c r="M46" s="77"/>
      <c r="N46" s="77"/>
      <c r="O46" s="77"/>
      <c r="P46" s="77"/>
      <c r="Q46" s="77"/>
      <c r="R46" s="77"/>
      <c r="S46" s="77"/>
      <c r="T46" s="77"/>
      <c r="U46" s="77"/>
      <c r="V46" s="77"/>
      <c r="W46" s="77"/>
      <c r="X46" s="77"/>
      <c r="Y46" s="77"/>
    </row>
    <row r="47" ht="15.75" customHeight="1">
      <c r="A47" s="77"/>
      <c r="C47" s="77"/>
      <c r="D47" s="77"/>
      <c r="E47" s="77"/>
      <c r="I47" s="77"/>
      <c r="K47" s="77"/>
      <c r="L47" s="77"/>
      <c r="M47" s="77"/>
      <c r="N47" s="77"/>
      <c r="O47" s="77"/>
      <c r="P47" s="77"/>
      <c r="Q47" s="77"/>
      <c r="R47" s="77"/>
      <c r="S47" s="77"/>
      <c r="T47" s="77"/>
      <c r="U47" s="77"/>
      <c r="V47" s="77"/>
      <c r="W47" s="77"/>
      <c r="X47" s="77"/>
      <c r="Y47" s="77"/>
    </row>
    <row r="48" ht="15.75" customHeight="1">
      <c r="A48" s="77"/>
      <c r="C48" s="77"/>
      <c r="D48" s="77"/>
      <c r="E48" s="77"/>
      <c r="I48" s="77"/>
      <c r="K48" s="77"/>
      <c r="L48" s="77"/>
      <c r="M48" s="77"/>
      <c r="N48" s="77"/>
      <c r="O48" s="77"/>
      <c r="P48" s="77"/>
      <c r="Q48" s="77"/>
      <c r="R48" s="77"/>
      <c r="S48" s="77"/>
      <c r="T48" s="77"/>
      <c r="U48" s="77"/>
      <c r="V48" s="77"/>
      <c r="W48" s="77"/>
      <c r="X48" s="77"/>
      <c r="Y48" s="77"/>
    </row>
    <row r="49" ht="15.75" customHeight="1">
      <c r="A49" s="77"/>
      <c r="C49" s="77"/>
      <c r="D49" s="77"/>
      <c r="E49" s="77"/>
      <c r="I49" s="77"/>
      <c r="K49" s="77"/>
      <c r="L49" s="77"/>
      <c r="M49" s="77"/>
      <c r="N49" s="77"/>
      <c r="O49" s="77"/>
      <c r="P49" s="77"/>
      <c r="Q49" s="77"/>
      <c r="R49" s="77"/>
      <c r="S49" s="77"/>
      <c r="T49" s="77"/>
      <c r="U49" s="77"/>
      <c r="V49" s="77"/>
      <c r="W49" s="77"/>
      <c r="X49" s="77"/>
      <c r="Y49" s="77"/>
    </row>
    <row r="50" ht="15.75" customHeight="1">
      <c r="A50" s="77"/>
      <c r="C50" s="77"/>
      <c r="D50" s="77"/>
      <c r="E50" s="77"/>
      <c r="I50" s="77"/>
      <c r="K50" s="77"/>
      <c r="L50" s="77"/>
      <c r="M50" s="77"/>
      <c r="N50" s="77"/>
      <c r="O50" s="77"/>
      <c r="P50" s="77"/>
      <c r="Q50" s="77"/>
      <c r="R50" s="77"/>
      <c r="S50" s="77"/>
      <c r="T50" s="77"/>
      <c r="U50" s="77"/>
      <c r="V50" s="77"/>
      <c r="W50" s="77"/>
      <c r="X50" s="77"/>
      <c r="Y50" s="77"/>
    </row>
    <row r="51" ht="15.75" customHeight="1">
      <c r="A51" s="77"/>
      <c r="C51" s="77"/>
      <c r="D51" s="77"/>
      <c r="E51" s="77"/>
      <c r="I51" s="77"/>
      <c r="K51" s="77"/>
      <c r="L51" s="77"/>
      <c r="M51" s="77"/>
      <c r="N51" s="77"/>
      <c r="O51" s="77"/>
      <c r="P51" s="77"/>
      <c r="Q51" s="77"/>
      <c r="R51" s="77"/>
      <c r="S51" s="77"/>
      <c r="T51" s="77"/>
      <c r="U51" s="77"/>
      <c r="V51" s="77"/>
      <c r="W51" s="77"/>
      <c r="X51" s="77"/>
      <c r="Y51" s="77"/>
    </row>
    <row r="52" ht="15.75" customHeight="1">
      <c r="A52" s="77"/>
      <c r="C52" s="77"/>
      <c r="D52" s="77"/>
      <c r="E52" s="77"/>
      <c r="I52" s="77"/>
      <c r="K52" s="77"/>
      <c r="L52" s="77"/>
      <c r="M52" s="77"/>
      <c r="N52" s="77"/>
      <c r="O52" s="77"/>
      <c r="P52" s="77"/>
      <c r="Q52" s="77"/>
      <c r="R52" s="77"/>
      <c r="S52" s="77"/>
      <c r="T52" s="77"/>
      <c r="U52" s="77"/>
      <c r="V52" s="77"/>
      <c r="W52" s="77"/>
      <c r="X52" s="77"/>
      <c r="Y52" s="77"/>
    </row>
    <row r="53" ht="15.75" customHeight="1">
      <c r="A53" s="77"/>
      <c r="C53" s="77"/>
      <c r="D53" s="77"/>
      <c r="E53" s="77"/>
      <c r="I53" s="77"/>
      <c r="K53" s="77"/>
      <c r="L53" s="77"/>
      <c r="M53" s="77"/>
      <c r="N53" s="77"/>
      <c r="O53" s="77"/>
      <c r="P53" s="77"/>
      <c r="Q53" s="77"/>
      <c r="R53" s="77"/>
      <c r="S53" s="77"/>
      <c r="T53" s="77"/>
      <c r="U53" s="77"/>
      <c r="V53" s="77"/>
      <c r="W53" s="77"/>
      <c r="X53" s="77"/>
      <c r="Y53" s="77"/>
    </row>
    <row r="54" ht="15.75" customHeight="1">
      <c r="A54" s="77"/>
      <c r="C54" s="77"/>
      <c r="D54" s="77"/>
      <c r="E54" s="77"/>
      <c r="I54" s="77"/>
      <c r="K54" s="77"/>
      <c r="L54" s="77"/>
      <c r="M54" s="77"/>
      <c r="N54" s="77"/>
      <c r="O54" s="77"/>
      <c r="P54" s="77"/>
      <c r="Q54" s="77"/>
      <c r="R54" s="77"/>
      <c r="S54" s="77"/>
      <c r="T54" s="77"/>
      <c r="U54" s="77"/>
      <c r="V54" s="77"/>
      <c r="W54" s="77"/>
      <c r="X54" s="77"/>
      <c r="Y54" s="77"/>
    </row>
    <row r="55" ht="15.75" customHeight="1">
      <c r="A55" s="77"/>
      <c r="C55" s="77"/>
      <c r="D55" s="77"/>
      <c r="E55" s="77"/>
      <c r="I55" s="77"/>
      <c r="K55" s="77"/>
      <c r="L55" s="77"/>
      <c r="M55" s="77"/>
      <c r="N55" s="77"/>
      <c r="O55" s="77"/>
      <c r="P55" s="77"/>
      <c r="Q55" s="77"/>
      <c r="R55" s="77"/>
      <c r="S55" s="77"/>
      <c r="T55" s="77"/>
      <c r="U55" s="77"/>
      <c r="V55" s="77"/>
      <c r="W55" s="77"/>
      <c r="X55" s="77"/>
      <c r="Y55" s="77"/>
    </row>
    <row r="56" ht="15.75" customHeight="1">
      <c r="A56" s="77"/>
      <c r="C56" s="77"/>
      <c r="D56" s="77"/>
      <c r="E56" s="77"/>
      <c r="I56" s="77"/>
      <c r="K56" s="77"/>
      <c r="L56" s="77"/>
      <c r="M56" s="77"/>
      <c r="N56" s="77"/>
      <c r="O56" s="77"/>
      <c r="P56" s="77"/>
      <c r="Q56" s="77"/>
      <c r="R56" s="77"/>
      <c r="S56" s="77"/>
      <c r="T56" s="77"/>
      <c r="U56" s="77"/>
      <c r="V56" s="77"/>
      <c r="W56" s="77"/>
      <c r="X56" s="77"/>
      <c r="Y56" s="77"/>
    </row>
    <row r="57" ht="15.75" customHeight="1">
      <c r="A57" s="77"/>
      <c r="C57" s="77"/>
      <c r="D57" s="77"/>
      <c r="E57" s="77"/>
      <c r="I57" s="77"/>
      <c r="K57" s="77"/>
      <c r="L57" s="77"/>
      <c r="M57" s="77"/>
      <c r="N57" s="77"/>
      <c r="O57" s="77"/>
      <c r="P57" s="77"/>
      <c r="Q57" s="77"/>
      <c r="R57" s="77"/>
      <c r="S57" s="77"/>
      <c r="T57" s="77"/>
      <c r="U57" s="77"/>
      <c r="V57" s="77"/>
      <c r="W57" s="77"/>
      <c r="X57" s="77"/>
      <c r="Y57" s="77"/>
    </row>
    <row r="58" ht="15.75" customHeight="1">
      <c r="A58" s="77"/>
      <c r="C58" s="77"/>
      <c r="D58" s="77"/>
      <c r="E58" s="77"/>
      <c r="I58" s="77"/>
      <c r="K58" s="77"/>
      <c r="L58" s="77"/>
      <c r="M58" s="77"/>
      <c r="N58" s="77"/>
      <c r="O58" s="77"/>
      <c r="P58" s="77"/>
      <c r="Q58" s="77"/>
      <c r="R58" s="77"/>
      <c r="S58" s="77"/>
      <c r="T58" s="77"/>
      <c r="U58" s="77"/>
      <c r="V58" s="77"/>
      <c r="W58" s="77"/>
      <c r="X58" s="77"/>
      <c r="Y58" s="77"/>
    </row>
    <row r="59" ht="15.75" customHeight="1">
      <c r="A59" s="77"/>
      <c r="C59" s="77"/>
      <c r="D59" s="77"/>
      <c r="E59" s="77"/>
      <c r="I59" s="77"/>
      <c r="K59" s="77"/>
      <c r="L59" s="77"/>
      <c r="M59" s="77"/>
      <c r="N59" s="77"/>
      <c r="O59" s="77"/>
      <c r="P59" s="77"/>
      <c r="Q59" s="77"/>
      <c r="R59" s="77"/>
      <c r="S59" s="77"/>
      <c r="T59" s="77"/>
      <c r="U59" s="77"/>
      <c r="V59" s="77"/>
      <c r="W59" s="77"/>
      <c r="X59" s="77"/>
      <c r="Y59" s="77"/>
    </row>
    <row r="60" ht="15.75" customHeight="1">
      <c r="A60" s="77"/>
      <c r="C60" s="77"/>
      <c r="D60" s="77"/>
      <c r="E60" s="77"/>
      <c r="I60" s="77"/>
      <c r="K60" s="77"/>
      <c r="L60" s="77"/>
      <c r="M60" s="77"/>
      <c r="N60" s="77"/>
      <c r="O60" s="77"/>
      <c r="P60" s="77"/>
      <c r="Q60" s="77"/>
      <c r="R60" s="77"/>
      <c r="S60" s="77"/>
      <c r="T60" s="77"/>
      <c r="U60" s="77"/>
      <c r="V60" s="77"/>
      <c r="W60" s="77"/>
      <c r="X60" s="77"/>
      <c r="Y60" s="77"/>
    </row>
    <row r="61" ht="15.75" customHeight="1">
      <c r="A61" s="77"/>
      <c r="C61" s="77"/>
      <c r="D61" s="77"/>
      <c r="E61" s="77"/>
      <c r="I61" s="77"/>
      <c r="K61" s="77"/>
      <c r="L61" s="77"/>
      <c r="M61" s="77"/>
      <c r="N61" s="77"/>
      <c r="O61" s="77"/>
      <c r="P61" s="77"/>
      <c r="Q61" s="77"/>
      <c r="R61" s="77"/>
      <c r="S61" s="77"/>
      <c r="T61" s="77"/>
      <c r="U61" s="77"/>
      <c r="V61" s="77"/>
      <c r="W61" s="77"/>
      <c r="X61" s="77"/>
      <c r="Y61" s="77"/>
    </row>
    <row r="62" ht="15.75" customHeight="1">
      <c r="A62" s="77"/>
      <c r="C62" s="77"/>
      <c r="D62" s="77"/>
      <c r="E62" s="77"/>
      <c r="I62" s="77"/>
      <c r="K62" s="77"/>
      <c r="L62" s="77"/>
      <c r="M62" s="77"/>
      <c r="N62" s="77"/>
      <c r="O62" s="77"/>
      <c r="P62" s="77"/>
      <c r="Q62" s="77"/>
      <c r="R62" s="77"/>
      <c r="S62" s="77"/>
      <c r="T62" s="77"/>
      <c r="U62" s="77"/>
      <c r="V62" s="77"/>
      <c r="W62" s="77"/>
      <c r="X62" s="77"/>
      <c r="Y62" s="77"/>
    </row>
    <row r="63" ht="15.75" customHeight="1">
      <c r="A63" s="77"/>
      <c r="C63" s="77"/>
      <c r="D63" s="77"/>
      <c r="E63" s="77"/>
      <c r="I63" s="77"/>
      <c r="K63" s="77"/>
      <c r="L63" s="77"/>
      <c r="M63" s="77"/>
      <c r="N63" s="77"/>
      <c r="O63" s="77"/>
      <c r="P63" s="77"/>
      <c r="Q63" s="77"/>
      <c r="R63" s="77"/>
      <c r="S63" s="77"/>
      <c r="T63" s="77"/>
      <c r="U63" s="77"/>
      <c r="V63" s="77"/>
      <c r="W63" s="77"/>
      <c r="X63" s="77"/>
      <c r="Y63" s="77"/>
    </row>
    <row r="64" ht="15.75" customHeight="1">
      <c r="A64" s="77"/>
      <c r="C64" s="77"/>
      <c r="D64" s="77"/>
      <c r="E64" s="77"/>
      <c r="I64" s="77"/>
      <c r="K64" s="77"/>
      <c r="L64" s="77"/>
      <c r="M64" s="77"/>
      <c r="N64" s="77"/>
      <c r="O64" s="77"/>
      <c r="P64" s="77"/>
      <c r="Q64" s="77"/>
      <c r="R64" s="77"/>
      <c r="S64" s="77"/>
      <c r="T64" s="77"/>
      <c r="U64" s="77"/>
      <c r="V64" s="77"/>
      <c r="W64" s="77"/>
      <c r="X64" s="77"/>
      <c r="Y64" s="77"/>
    </row>
    <row r="65" ht="15.75" customHeight="1">
      <c r="A65" s="77"/>
      <c r="C65" s="77"/>
      <c r="D65" s="77"/>
      <c r="E65" s="77"/>
      <c r="I65" s="77"/>
      <c r="K65" s="77"/>
      <c r="L65" s="77"/>
      <c r="M65" s="77"/>
      <c r="N65" s="77"/>
      <c r="O65" s="77"/>
      <c r="P65" s="77"/>
      <c r="Q65" s="77"/>
      <c r="R65" s="77"/>
      <c r="S65" s="77"/>
      <c r="T65" s="77"/>
      <c r="U65" s="77"/>
      <c r="V65" s="77"/>
      <c r="W65" s="77"/>
      <c r="X65" s="77"/>
      <c r="Y65" s="77"/>
    </row>
    <row r="66" ht="15.75" customHeight="1">
      <c r="A66" s="77"/>
      <c r="C66" s="77"/>
      <c r="D66" s="77"/>
      <c r="E66" s="77"/>
      <c r="I66" s="77"/>
      <c r="K66" s="77"/>
      <c r="L66" s="77"/>
      <c r="M66" s="77"/>
      <c r="N66" s="77"/>
      <c r="O66" s="77"/>
      <c r="P66" s="77"/>
      <c r="Q66" s="77"/>
      <c r="R66" s="77"/>
      <c r="S66" s="77"/>
      <c r="T66" s="77"/>
      <c r="U66" s="77"/>
      <c r="V66" s="77"/>
      <c r="W66" s="77"/>
      <c r="X66" s="77"/>
      <c r="Y66" s="77"/>
    </row>
    <row r="67" ht="15.75" customHeight="1">
      <c r="A67" s="77"/>
      <c r="C67" s="77"/>
      <c r="D67" s="77"/>
      <c r="E67" s="77"/>
      <c r="I67" s="77"/>
      <c r="K67" s="77"/>
      <c r="L67" s="77"/>
      <c r="M67" s="77"/>
      <c r="N67" s="77"/>
      <c r="O67" s="77"/>
      <c r="P67" s="77"/>
      <c r="Q67" s="77"/>
      <c r="R67" s="77"/>
      <c r="S67" s="77"/>
      <c r="T67" s="77"/>
      <c r="U67" s="77"/>
      <c r="V67" s="77"/>
      <c r="W67" s="77"/>
      <c r="X67" s="77"/>
      <c r="Y67" s="77"/>
    </row>
    <row r="68" ht="15.75" customHeight="1">
      <c r="A68" s="77"/>
      <c r="C68" s="77"/>
      <c r="D68" s="77"/>
      <c r="E68" s="77"/>
      <c r="I68" s="77"/>
      <c r="K68" s="77"/>
      <c r="L68" s="77"/>
      <c r="M68" s="77"/>
      <c r="N68" s="77"/>
      <c r="O68" s="77"/>
      <c r="P68" s="77"/>
      <c r="Q68" s="77"/>
      <c r="R68" s="77"/>
      <c r="S68" s="77"/>
      <c r="T68" s="77"/>
      <c r="U68" s="77"/>
      <c r="V68" s="77"/>
      <c r="W68" s="77"/>
      <c r="X68" s="77"/>
      <c r="Y68" s="77"/>
    </row>
    <row r="69" ht="15.75" customHeight="1">
      <c r="A69" s="77"/>
      <c r="C69" s="77"/>
      <c r="D69" s="77"/>
      <c r="E69" s="77"/>
      <c r="I69" s="77"/>
      <c r="K69" s="77"/>
      <c r="L69" s="77"/>
      <c r="M69" s="77"/>
      <c r="N69" s="77"/>
      <c r="O69" s="77"/>
      <c r="P69" s="77"/>
      <c r="Q69" s="77"/>
      <c r="R69" s="77"/>
      <c r="S69" s="77"/>
      <c r="T69" s="77"/>
      <c r="U69" s="77"/>
      <c r="V69" s="77"/>
      <c r="W69" s="77"/>
      <c r="X69" s="77"/>
      <c r="Y69" s="77"/>
    </row>
    <row r="70" ht="15.75" customHeight="1">
      <c r="A70" s="77"/>
      <c r="C70" s="77"/>
      <c r="D70" s="77"/>
      <c r="E70" s="77"/>
      <c r="I70" s="77"/>
      <c r="K70" s="77"/>
      <c r="L70" s="77"/>
      <c r="M70" s="77"/>
      <c r="N70" s="77"/>
      <c r="O70" s="77"/>
      <c r="P70" s="77"/>
      <c r="Q70" s="77"/>
      <c r="R70" s="77"/>
      <c r="S70" s="77"/>
      <c r="T70" s="77"/>
      <c r="U70" s="77"/>
      <c r="V70" s="77"/>
      <c r="W70" s="77"/>
      <c r="X70" s="77"/>
      <c r="Y70" s="77"/>
    </row>
    <row r="71" ht="15.75" customHeight="1">
      <c r="A71" s="77"/>
      <c r="C71" s="77"/>
      <c r="D71" s="77"/>
      <c r="E71" s="77"/>
      <c r="I71" s="77"/>
      <c r="K71" s="77"/>
      <c r="L71" s="77"/>
      <c r="M71" s="77"/>
      <c r="N71" s="77"/>
      <c r="O71" s="77"/>
      <c r="P71" s="77"/>
      <c r="Q71" s="77"/>
      <c r="R71" s="77"/>
      <c r="S71" s="77"/>
      <c r="T71" s="77"/>
      <c r="U71" s="77"/>
      <c r="V71" s="77"/>
      <c r="W71" s="77"/>
      <c r="X71" s="77"/>
      <c r="Y71" s="77"/>
    </row>
    <row r="72" ht="15.75" customHeight="1">
      <c r="A72" s="77"/>
      <c r="C72" s="77"/>
      <c r="D72" s="77"/>
      <c r="E72" s="77"/>
      <c r="I72" s="77"/>
      <c r="K72" s="77"/>
      <c r="L72" s="77"/>
      <c r="M72" s="77"/>
      <c r="N72" s="77"/>
      <c r="O72" s="77"/>
      <c r="P72" s="77"/>
      <c r="Q72" s="77"/>
      <c r="R72" s="77"/>
      <c r="S72" s="77"/>
      <c r="T72" s="77"/>
      <c r="U72" s="77"/>
      <c r="V72" s="77"/>
      <c r="W72" s="77"/>
      <c r="X72" s="77"/>
      <c r="Y72" s="77"/>
    </row>
    <row r="73" ht="15.75" customHeight="1">
      <c r="A73" s="77"/>
      <c r="C73" s="77"/>
      <c r="D73" s="77"/>
      <c r="E73" s="77"/>
      <c r="I73" s="77"/>
      <c r="K73" s="77"/>
      <c r="L73" s="77"/>
      <c r="M73" s="77"/>
      <c r="N73" s="77"/>
      <c r="O73" s="77"/>
      <c r="P73" s="77"/>
      <c r="Q73" s="77"/>
      <c r="R73" s="77"/>
      <c r="S73" s="77"/>
      <c r="T73" s="77"/>
      <c r="U73" s="77"/>
      <c r="V73" s="77"/>
      <c r="W73" s="77"/>
      <c r="X73" s="77"/>
      <c r="Y73" s="77"/>
    </row>
    <row r="74" ht="15.75" customHeight="1">
      <c r="A74" s="77"/>
      <c r="C74" s="77"/>
      <c r="D74" s="77"/>
      <c r="E74" s="77"/>
      <c r="I74" s="77"/>
      <c r="K74" s="77"/>
      <c r="L74" s="77"/>
      <c r="M74" s="77"/>
      <c r="N74" s="77"/>
      <c r="O74" s="77"/>
      <c r="P74" s="77"/>
      <c r="Q74" s="77"/>
      <c r="R74" s="77"/>
      <c r="S74" s="77"/>
      <c r="T74" s="77"/>
      <c r="U74" s="77"/>
      <c r="V74" s="77"/>
      <c r="W74" s="77"/>
      <c r="X74" s="77"/>
      <c r="Y74" s="77"/>
    </row>
    <row r="75" ht="15.75" customHeight="1">
      <c r="A75" s="77"/>
      <c r="C75" s="77"/>
      <c r="D75" s="77"/>
      <c r="E75" s="77"/>
      <c r="I75" s="77"/>
      <c r="K75" s="77"/>
      <c r="L75" s="77"/>
      <c r="M75" s="77"/>
      <c r="N75" s="77"/>
      <c r="O75" s="77"/>
      <c r="P75" s="77"/>
      <c r="Q75" s="77"/>
      <c r="R75" s="77"/>
      <c r="S75" s="77"/>
      <c r="T75" s="77"/>
      <c r="U75" s="77"/>
      <c r="V75" s="77"/>
      <c r="W75" s="77"/>
      <c r="X75" s="77"/>
      <c r="Y75" s="77"/>
    </row>
    <row r="76" ht="15.75" customHeight="1">
      <c r="A76" s="77"/>
      <c r="C76" s="77"/>
      <c r="D76" s="77"/>
      <c r="E76" s="77"/>
      <c r="I76" s="77"/>
      <c r="K76" s="77"/>
      <c r="L76" s="77"/>
      <c r="M76" s="77"/>
      <c r="N76" s="77"/>
      <c r="O76" s="77"/>
      <c r="P76" s="77"/>
      <c r="Q76" s="77"/>
      <c r="R76" s="77"/>
      <c r="S76" s="77"/>
      <c r="T76" s="77"/>
      <c r="U76" s="77"/>
      <c r="V76" s="77"/>
      <c r="W76" s="77"/>
      <c r="X76" s="77"/>
      <c r="Y76" s="77"/>
    </row>
    <row r="77" ht="15.75" customHeight="1">
      <c r="A77" s="77"/>
      <c r="C77" s="77"/>
      <c r="D77" s="77"/>
      <c r="E77" s="77"/>
      <c r="I77" s="77"/>
      <c r="K77" s="77"/>
      <c r="L77" s="77"/>
      <c r="M77" s="77"/>
      <c r="N77" s="77"/>
      <c r="O77" s="77"/>
      <c r="P77" s="77"/>
      <c r="Q77" s="77"/>
      <c r="R77" s="77"/>
      <c r="S77" s="77"/>
      <c r="T77" s="77"/>
      <c r="U77" s="77"/>
      <c r="V77" s="77"/>
      <c r="W77" s="77"/>
      <c r="X77" s="77"/>
      <c r="Y77" s="77"/>
    </row>
    <row r="78" ht="15.75" customHeight="1">
      <c r="A78" s="77"/>
      <c r="C78" s="77"/>
      <c r="D78" s="77"/>
      <c r="E78" s="77"/>
      <c r="I78" s="77"/>
      <c r="K78" s="77"/>
      <c r="L78" s="77"/>
      <c r="M78" s="77"/>
      <c r="N78" s="77"/>
      <c r="O78" s="77"/>
      <c r="P78" s="77"/>
      <c r="Q78" s="77"/>
      <c r="R78" s="77"/>
      <c r="S78" s="77"/>
      <c r="T78" s="77"/>
      <c r="U78" s="77"/>
      <c r="V78" s="77"/>
      <c r="W78" s="77"/>
      <c r="X78" s="77"/>
      <c r="Y78" s="77"/>
    </row>
    <row r="79" ht="15.75" customHeight="1">
      <c r="A79" s="77"/>
      <c r="C79" s="77"/>
      <c r="D79" s="77"/>
      <c r="E79" s="77"/>
      <c r="I79" s="77"/>
      <c r="K79" s="77"/>
      <c r="L79" s="77"/>
      <c r="M79" s="77"/>
      <c r="N79" s="77"/>
      <c r="O79" s="77"/>
      <c r="P79" s="77"/>
      <c r="Q79" s="77"/>
      <c r="R79" s="77"/>
      <c r="S79" s="77"/>
      <c r="T79" s="77"/>
      <c r="U79" s="77"/>
      <c r="V79" s="77"/>
      <c r="W79" s="77"/>
      <c r="X79" s="77"/>
      <c r="Y79" s="77"/>
    </row>
    <row r="80" ht="15.75" customHeight="1">
      <c r="A80" s="77"/>
      <c r="C80" s="77"/>
      <c r="D80" s="77"/>
      <c r="E80" s="77"/>
      <c r="I80" s="77"/>
      <c r="K80" s="77"/>
      <c r="L80" s="77"/>
      <c r="M80" s="77"/>
      <c r="N80" s="77"/>
      <c r="O80" s="77"/>
      <c r="P80" s="77"/>
      <c r="Q80" s="77"/>
      <c r="R80" s="77"/>
      <c r="S80" s="77"/>
      <c r="T80" s="77"/>
      <c r="U80" s="77"/>
      <c r="V80" s="77"/>
      <c r="W80" s="77"/>
      <c r="X80" s="77"/>
      <c r="Y80" s="77"/>
    </row>
    <row r="81" ht="15.75" customHeight="1">
      <c r="A81" s="77"/>
      <c r="C81" s="77"/>
      <c r="D81" s="77"/>
      <c r="E81" s="77"/>
      <c r="I81" s="77"/>
      <c r="K81" s="77"/>
      <c r="L81" s="77"/>
      <c r="M81" s="77"/>
      <c r="N81" s="77"/>
      <c r="O81" s="77"/>
      <c r="P81" s="77"/>
      <c r="Q81" s="77"/>
      <c r="R81" s="77"/>
      <c r="S81" s="77"/>
      <c r="T81" s="77"/>
      <c r="U81" s="77"/>
      <c r="V81" s="77"/>
      <c r="W81" s="77"/>
      <c r="X81" s="77"/>
      <c r="Y81" s="77"/>
    </row>
    <row r="82" ht="15.75" customHeight="1">
      <c r="A82" s="77"/>
      <c r="C82" s="77"/>
      <c r="D82" s="77"/>
      <c r="E82" s="77"/>
      <c r="I82" s="77"/>
      <c r="K82" s="77"/>
      <c r="L82" s="77"/>
      <c r="M82" s="77"/>
      <c r="N82" s="77"/>
      <c r="O82" s="77"/>
      <c r="P82" s="77"/>
      <c r="Q82" s="77"/>
      <c r="R82" s="77"/>
      <c r="S82" s="77"/>
      <c r="T82" s="77"/>
      <c r="U82" s="77"/>
      <c r="V82" s="77"/>
      <c r="W82" s="77"/>
      <c r="X82" s="77"/>
      <c r="Y82" s="77"/>
    </row>
    <row r="83" ht="15.75" customHeight="1">
      <c r="A83" s="77"/>
      <c r="C83" s="77"/>
      <c r="D83" s="77"/>
      <c r="E83" s="77"/>
      <c r="I83" s="77"/>
      <c r="K83" s="77"/>
      <c r="L83" s="77"/>
      <c r="M83" s="77"/>
      <c r="N83" s="77"/>
      <c r="O83" s="77"/>
      <c r="P83" s="77"/>
      <c r="Q83" s="77"/>
      <c r="R83" s="77"/>
      <c r="S83" s="77"/>
      <c r="T83" s="77"/>
      <c r="U83" s="77"/>
      <c r="V83" s="77"/>
      <c r="W83" s="77"/>
      <c r="X83" s="77"/>
      <c r="Y83" s="77"/>
    </row>
    <row r="84" ht="15.75" customHeight="1">
      <c r="A84" s="77"/>
      <c r="C84" s="77"/>
      <c r="D84" s="77"/>
      <c r="E84" s="77"/>
      <c r="I84" s="77"/>
      <c r="K84" s="77"/>
      <c r="L84" s="77"/>
      <c r="M84" s="77"/>
      <c r="N84" s="77"/>
      <c r="O84" s="77"/>
      <c r="P84" s="77"/>
      <c r="Q84" s="77"/>
      <c r="R84" s="77"/>
      <c r="S84" s="77"/>
      <c r="T84" s="77"/>
      <c r="U84" s="77"/>
      <c r="V84" s="77"/>
      <c r="W84" s="77"/>
      <c r="X84" s="77"/>
      <c r="Y84" s="77"/>
    </row>
    <row r="85" ht="15.75" customHeight="1">
      <c r="A85" s="77"/>
      <c r="C85" s="77"/>
      <c r="D85" s="77"/>
      <c r="E85" s="77"/>
      <c r="I85" s="77"/>
      <c r="K85" s="77"/>
      <c r="L85" s="77"/>
      <c r="M85" s="77"/>
      <c r="N85" s="77"/>
      <c r="O85" s="77"/>
      <c r="P85" s="77"/>
      <c r="Q85" s="77"/>
      <c r="R85" s="77"/>
      <c r="S85" s="77"/>
      <c r="T85" s="77"/>
      <c r="U85" s="77"/>
      <c r="V85" s="77"/>
      <c r="W85" s="77"/>
      <c r="X85" s="77"/>
      <c r="Y85" s="77"/>
    </row>
    <row r="86" ht="15.75" customHeight="1">
      <c r="A86" s="77"/>
      <c r="C86" s="77"/>
      <c r="D86" s="77"/>
      <c r="E86" s="77"/>
      <c r="I86" s="77"/>
      <c r="K86" s="77"/>
      <c r="L86" s="77"/>
      <c r="M86" s="77"/>
      <c r="N86" s="77"/>
      <c r="O86" s="77"/>
      <c r="P86" s="77"/>
      <c r="Q86" s="77"/>
      <c r="R86" s="77"/>
      <c r="S86" s="77"/>
      <c r="T86" s="77"/>
      <c r="U86" s="77"/>
      <c r="V86" s="77"/>
      <c r="W86" s="77"/>
      <c r="X86" s="77"/>
      <c r="Y86" s="77"/>
    </row>
    <row r="87" ht="15.75" customHeight="1">
      <c r="A87" s="77"/>
      <c r="C87" s="77"/>
      <c r="D87" s="77"/>
      <c r="E87" s="77"/>
      <c r="I87" s="77"/>
      <c r="K87" s="77"/>
      <c r="L87" s="77"/>
      <c r="M87" s="77"/>
      <c r="N87" s="77"/>
      <c r="O87" s="77"/>
      <c r="P87" s="77"/>
      <c r="Q87" s="77"/>
      <c r="R87" s="77"/>
      <c r="S87" s="77"/>
      <c r="T87" s="77"/>
      <c r="U87" s="77"/>
      <c r="V87" s="77"/>
      <c r="W87" s="77"/>
      <c r="X87" s="77"/>
      <c r="Y87" s="77"/>
    </row>
    <row r="88" ht="15.75" customHeight="1">
      <c r="A88" s="77"/>
      <c r="C88" s="77"/>
      <c r="D88" s="77"/>
      <c r="E88" s="77"/>
      <c r="I88" s="77"/>
      <c r="K88" s="77"/>
      <c r="L88" s="77"/>
      <c r="M88" s="77"/>
      <c r="N88" s="77"/>
      <c r="O88" s="77"/>
      <c r="P88" s="77"/>
      <c r="Q88" s="77"/>
      <c r="R88" s="77"/>
      <c r="S88" s="77"/>
      <c r="T88" s="77"/>
      <c r="U88" s="77"/>
      <c r="V88" s="77"/>
      <c r="W88" s="77"/>
      <c r="X88" s="77"/>
      <c r="Y88" s="77"/>
    </row>
    <row r="89" ht="15.75" customHeight="1">
      <c r="A89" s="77"/>
      <c r="C89" s="77"/>
      <c r="D89" s="77"/>
      <c r="E89" s="77"/>
      <c r="I89" s="77"/>
      <c r="K89" s="77"/>
      <c r="L89" s="77"/>
      <c r="M89" s="77"/>
      <c r="N89" s="77"/>
      <c r="O89" s="77"/>
      <c r="P89" s="77"/>
      <c r="Q89" s="77"/>
      <c r="R89" s="77"/>
      <c r="S89" s="77"/>
      <c r="T89" s="77"/>
      <c r="U89" s="77"/>
      <c r="V89" s="77"/>
      <c r="W89" s="77"/>
      <c r="X89" s="77"/>
      <c r="Y89" s="77"/>
    </row>
    <row r="90" ht="15.75" customHeight="1">
      <c r="A90" s="77"/>
      <c r="C90" s="77"/>
      <c r="D90" s="77"/>
      <c r="E90" s="77"/>
      <c r="I90" s="77"/>
      <c r="K90" s="77"/>
      <c r="L90" s="77"/>
      <c r="M90" s="77"/>
      <c r="N90" s="77"/>
      <c r="O90" s="77"/>
      <c r="P90" s="77"/>
      <c r="Q90" s="77"/>
      <c r="R90" s="77"/>
      <c r="S90" s="77"/>
      <c r="T90" s="77"/>
      <c r="U90" s="77"/>
      <c r="V90" s="77"/>
      <c r="W90" s="77"/>
      <c r="X90" s="77"/>
      <c r="Y90" s="77"/>
    </row>
    <row r="91" ht="15.75" customHeight="1">
      <c r="A91" s="77"/>
      <c r="C91" s="77"/>
      <c r="D91" s="77"/>
      <c r="E91" s="77"/>
      <c r="I91" s="77"/>
      <c r="K91" s="77"/>
      <c r="L91" s="77"/>
      <c r="M91" s="77"/>
      <c r="N91" s="77"/>
      <c r="O91" s="77"/>
      <c r="P91" s="77"/>
      <c r="Q91" s="77"/>
      <c r="R91" s="77"/>
      <c r="S91" s="77"/>
      <c r="T91" s="77"/>
      <c r="U91" s="77"/>
      <c r="V91" s="77"/>
      <c r="W91" s="77"/>
      <c r="X91" s="77"/>
      <c r="Y91" s="77"/>
    </row>
    <row r="92" ht="15.75" customHeight="1">
      <c r="A92" s="77"/>
      <c r="C92" s="77"/>
      <c r="D92" s="77"/>
      <c r="E92" s="77"/>
      <c r="I92" s="77"/>
      <c r="K92" s="77"/>
      <c r="L92" s="77"/>
      <c r="M92" s="77"/>
      <c r="N92" s="77"/>
      <c r="O92" s="77"/>
      <c r="P92" s="77"/>
      <c r="Q92" s="77"/>
      <c r="R92" s="77"/>
      <c r="S92" s="77"/>
      <c r="T92" s="77"/>
      <c r="U92" s="77"/>
      <c r="V92" s="77"/>
      <c r="W92" s="77"/>
      <c r="X92" s="77"/>
      <c r="Y92" s="77"/>
    </row>
    <row r="93" ht="15.75" customHeight="1">
      <c r="A93" s="77"/>
      <c r="C93" s="77"/>
      <c r="D93" s="77"/>
      <c r="E93" s="77"/>
      <c r="I93" s="77"/>
      <c r="K93" s="77"/>
      <c r="L93" s="77"/>
      <c r="M93" s="77"/>
      <c r="N93" s="77"/>
      <c r="O93" s="77"/>
      <c r="P93" s="77"/>
      <c r="Q93" s="77"/>
      <c r="R93" s="77"/>
      <c r="S93" s="77"/>
      <c r="T93" s="77"/>
      <c r="U93" s="77"/>
      <c r="V93" s="77"/>
      <c r="W93" s="77"/>
      <c r="X93" s="77"/>
      <c r="Y93" s="77"/>
    </row>
    <row r="94" ht="15.75" customHeight="1">
      <c r="A94" s="77"/>
      <c r="C94" s="77"/>
      <c r="D94" s="77"/>
      <c r="E94" s="77"/>
      <c r="I94" s="77"/>
      <c r="K94" s="77"/>
      <c r="L94" s="77"/>
      <c r="M94" s="77"/>
      <c r="N94" s="77"/>
      <c r="O94" s="77"/>
      <c r="P94" s="77"/>
      <c r="Q94" s="77"/>
      <c r="R94" s="77"/>
      <c r="S94" s="77"/>
      <c r="T94" s="77"/>
      <c r="U94" s="77"/>
      <c r="V94" s="77"/>
      <c r="W94" s="77"/>
      <c r="X94" s="77"/>
      <c r="Y94" s="77"/>
    </row>
    <row r="95" ht="15.75" customHeight="1">
      <c r="A95" s="77"/>
      <c r="C95" s="77"/>
      <c r="D95" s="77"/>
      <c r="E95" s="77"/>
      <c r="I95" s="77"/>
      <c r="K95" s="77"/>
      <c r="L95" s="77"/>
      <c r="M95" s="77"/>
      <c r="N95" s="77"/>
      <c r="O95" s="77"/>
      <c r="P95" s="77"/>
      <c r="Q95" s="77"/>
      <c r="R95" s="77"/>
      <c r="S95" s="77"/>
      <c r="T95" s="77"/>
      <c r="U95" s="77"/>
      <c r="V95" s="77"/>
      <c r="W95" s="77"/>
      <c r="X95" s="77"/>
      <c r="Y95" s="77"/>
    </row>
    <row r="96" ht="15.75" customHeight="1">
      <c r="A96" s="77"/>
      <c r="C96" s="77"/>
      <c r="D96" s="77"/>
      <c r="E96" s="77"/>
      <c r="I96" s="77"/>
      <c r="K96" s="77"/>
      <c r="L96" s="77"/>
      <c r="M96" s="77"/>
      <c r="N96" s="77"/>
      <c r="O96" s="77"/>
      <c r="P96" s="77"/>
      <c r="Q96" s="77"/>
      <c r="R96" s="77"/>
      <c r="S96" s="77"/>
      <c r="T96" s="77"/>
      <c r="U96" s="77"/>
      <c r="V96" s="77"/>
      <c r="W96" s="77"/>
      <c r="X96" s="77"/>
      <c r="Y96" s="77"/>
    </row>
    <row r="97" ht="15.75" customHeight="1">
      <c r="A97" s="77"/>
      <c r="C97" s="77"/>
      <c r="D97" s="77"/>
      <c r="E97" s="77"/>
      <c r="I97" s="77"/>
      <c r="K97" s="77"/>
      <c r="L97" s="77"/>
      <c r="M97" s="77"/>
      <c r="N97" s="77"/>
      <c r="O97" s="77"/>
      <c r="P97" s="77"/>
      <c r="Q97" s="77"/>
      <c r="R97" s="77"/>
      <c r="S97" s="77"/>
      <c r="T97" s="77"/>
      <c r="U97" s="77"/>
      <c r="V97" s="77"/>
      <c r="W97" s="77"/>
      <c r="X97" s="77"/>
      <c r="Y97" s="77"/>
    </row>
    <row r="98" ht="15.75" customHeight="1">
      <c r="A98" s="77"/>
      <c r="C98" s="77"/>
      <c r="D98" s="77"/>
      <c r="E98" s="77"/>
      <c r="I98" s="77"/>
      <c r="K98" s="77"/>
      <c r="L98" s="77"/>
      <c r="M98" s="77"/>
      <c r="N98" s="77"/>
      <c r="O98" s="77"/>
      <c r="P98" s="77"/>
      <c r="Q98" s="77"/>
      <c r="R98" s="77"/>
      <c r="S98" s="77"/>
      <c r="T98" s="77"/>
      <c r="U98" s="77"/>
      <c r="V98" s="77"/>
      <c r="W98" s="77"/>
      <c r="X98" s="77"/>
      <c r="Y98" s="77"/>
    </row>
    <row r="99" ht="15.75" customHeight="1">
      <c r="A99" s="77"/>
      <c r="C99" s="77"/>
      <c r="D99" s="77"/>
      <c r="E99" s="77"/>
      <c r="I99" s="77"/>
      <c r="K99" s="77"/>
      <c r="L99" s="77"/>
      <c r="M99" s="77"/>
      <c r="N99" s="77"/>
      <c r="O99" s="77"/>
      <c r="P99" s="77"/>
      <c r="Q99" s="77"/>
      <c r="R99" s="77"/>
      <c r="S99" s="77"/>
      <c r="T99" s="77"/>
      <c r="U99" s="77"/>
      <c r="V99" s="77"/>
      <c r="W99" s="77"/>
      <c r="X99" s="77"/>
      <c r="Y99" s="77"/>
    </row>
    <row r="100" ht="15.75" customHeight="1">
      <c r="A100" s="77"/>
      <c r="C100" s="77"/>
      <c r="D100" s="77"/>
      <c r="E100" s="77"/>
      <c r="I100" s="77"/>
      <c r="K100" s="77"/>
      <c r="L100" s="77"/>
      <c r="M100" s="77"/>
      <c r="N100" s="77"/>
      <c r="O100" s="77"/>
      <c r="P100" s="77"/>
      <c r="Q100" s="77"/>
      <c r="R100" s="77"/>
      <c r="S100" s="77"/>
      <c r="T100" s="77"/>
      <c r="U100" s="77"/>
      <c r="V100" s="77"/>
      <c r="W100" s="77"/>
      <c r="X100" s="77"/>
      <c r="Y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38"/>
  </cols>
  <sheetData>
    <row r="1" ht="37.5" customHeight="1">
      <c r="A1" s="33" t="s">
        <v>72</v>
      </c>
      <c r="B1" s="35">
        <f>'Input sheet'!B1</f>
        <v>0.0</v>
      </c>
      <c r="C1" s="33" t="s">
        <v>57</v>
      </c>
      <c r="D1" s="37">
        <f>'Input sheet'!D1</f>
        <v>39.4</v>
      </c>
      <c r="E1" s="7"/>
      <c r="F1" s="7"/>
      <c r="G1" s="7"/>
      <c r="H1" s="7"/>
      <c r="I1" s="7"/>
      <c r="J1" s="7"/>
      <c r="K1" s="7"/>
      <c r="L1" s="7"/>
      <c r="M1" s="7"/>
      <c r="N1" s="7"/>
      <c r="O1" s="7"/>
      <c r="P1" s="7"/>
      <c r="Q1" s="7"/>
      <c r="R1" s="7"/>
      <c r="S1" s="7"/>
      <c r="T1" s="7"/>
      <c r="U1" s="7"/>
      <c r="V1" s="7"/>
      <c r="W1" s="7"/>
      <c r="X1" s="7"/>
      <c r="Y1" s="7"/>
      <c r="Z1" s="7"/>
    </row>
    <row r="2" ht="12.75" customHeight="1">
      <c r="A2" s="741" t="s">
        <v>1073</v>
      </c>
      <c r="B2" s="741"/>
      <c r="C2" s="741"/>
      <c r="D2" s="741"/>
      <c r="E2" s="741"/>
      <c r="F2" s="741"/>
      <c r="G2" s="741"/>
      <c r="H2" s="741"/>
      <c r="I2" s="741"/>
      <c r="J2" s="741"/>
      <c r="K2" s="741"/>
      <c r="L2" s="741"/>
      <c r="M2" s="741"/>
      <c r="N2" s="741"/>
      <c r="O2" s="741"/>
      <c r="P2" s="741"/>
      <c r="Q2" s="741"/>
      <c r="R2" s="741"/>
      <c r="S2" s="741"/>
      <c r="T2" s="741"/>
      <c r="U2" s="741"/>
      <c r="V2" s="741"/>
      <c r="W2" s="741"/>
      <c r="X2" s="741"/>
      <c r="Y2" s="741"/>
      <c r="Z2" s="741"/>
    </row>
    <row r="3" ht="12.75" customHeight="1">
      <c r="A3" s="702" t="s">
        <v>1075</v>
      </c>
      <c r="B3" s="702"/>
      <c r="C3" s="702"/>
      <c r="D3" s="702"/>
      <c r="E3" s="702"/>
      <c r="F3" s="702"/>
      <c r="G3" s="702"/>
      <c r="H3" s="702"/>
      <c r="I3" s="702"/>
      <c r="J3" s="702"/>
      <c r="K3" s="702"/>
      <c r="L3" s="702"/>
      <c r="M3" s="702"/>
      <c r="N3" s="702"/>
      <c r="O3" s="702"/>
      <c r="P3" s="702"/>
      <c r="Q3" s="702"/>
      <c r="R3" s="702"/>
      <c r="S3" s="702"/>
      <c r="T3" s="702"/>
      <c r="U3" s="702"/>
      <c r="V3" s="702"/>
      <c r="W3" s="702"/>
      <c r="X3" s="702"/>
      <c r="Y3" s="702"/>
      <c r="Z3" s="702"/>
    </row>
    <row r="4" ht="12.75" customHeight="1">
      <c r="A4" s="9"/>
      <c r="B4" s="9"/>
      <c r="C4" s="9"/>
      <c r="D4" s="9"/>
      <c r="E4" s="9"/>
      <c r="F4" s="9"/>
      <c r="G4" s="9"/>
      <c r="H4" s="9"/>
      <c r="I4" s="9"/>
      <c r="J4" s="9"/>
      <c r="K4" s="9"/>
      <c r="L4" s="9"/>
      <c r="M4" s="9"/>
      <c r="N4" s="9"/>
      <c r="O4" s="9"/>
      <c r="P4" s="9"/>
      <c r="Q4" s="9"/>
      <c r="R4" s="9"/>
      <c r="S4" s="9"/>
      <c r="T4" s="9"/>
      <c r="U4" s="9"/>
      <c r="V4" s="9"/>
      <c r="W4" s="9"/>
      <c r="X4" s="9"/>
      <c r="Y4" s="9"/>
      <c r="Z4" s="9"/>
    </row>
    <row r="5" ht="12.75" customHeight="1">
      <c r="A5" s="742" t="s">
        <v>840</v>
      </c>
      <c r="B5" s="218"/>
      <c r="C5" s="218"/>
      <c r="D5" s="218"/>
      <c r="E5" s="218"/>
      <c r="F5" s="218"/>
      <c r="G5" s="218"/>
      <c r="H5" s="218"/>
      <c r="I5" s="218"/>
      <c r="J5" s="218"/>
      <c r="K5" s="219"/>
      <c r="L5" s="9"/>
      <c r="M5" s="9"/>
      <c r="N5" s="9"/>
      <c r="O5" s="9"/>
      <c r="P5" s="9"/>
      <c r="Q5" s="9"/>
      <c r="R5" s="9"/>
      <c r="S5" s="9"/>
      <c r="T5" s="9"/>
      <c r="U5" s="9"/>
      <c r="V5" s="9"/>
      <c r="W5" s="9"/>
      <c r="X5" s="9"/>
      <c r="Y5" s="9"/>
      <c r="Z5" s="9"/>
    </row>
    <row r="6" ht="12.75" customHeight="1">
      <c r="A6" s="662" t="s">
        <v>842</v>
      </c>
      <c r="B6" s="663">
        <v>1.0</v>
      </c>
      <c r="C6" s="663">
        <v>2.0</v>
      </c>
      <c r="D6" s="663">
        <v>3.0</v>
      </c>
      <c r="E6" s="663">
        <v>4.0</v>
      </c>
      <c r="F6" s="663">
        <v>5.0</v>
      </c>
      <c r="G6" s="663">
        <v>6.0</v>
      </c>
      <c r="H6" s="663">
        <v>7.0</v>
      </c>
      <c r="I6" s="663">
        <v>8.0</v>
      </c>
      <c r="J6" s="663">
        <v>9.0</v>
      </c>
      <c r="K6" s="663">
        <v>10.0</v>
      </c>
      <c r="L6" s="9"/>
      <c r="M6" s="9"/>
      <c r="N6" s="9"/>
      <c r="O6" s="9"/>
      <c r="P6" s="9"/>
      <c r="Q6" s="9"/>
      <c r="R6" s="9"/>
      <c r="S6" s="9"/>
      <c r="T6" s="9"/>
      <c r="U6" s="9"/>
      <c r="V6" s="9"/>
      <c r="W6" s="9"/>
      <c r="X6" s="9"/>
      <c r="Y6" s="9"/>
      <c r="Z6" s="9"/>
    </row>
    <row r="7" ht="12.75" customHeight="1">
      <c r="A7" s="665" t="s">
        <v>848</v>
      </c>
      <c r="B7" s="666">
        <v>0.0</v>
      </c>
      <c r="C7" s="666">
        <v>3.0E-4</v>
      </c>
      <c r="D7" s="666">
        <v>0.0013</v>
      </c>
      <c r="E7" s="666">
        <v>0.0024</v>
      </c>
      <c r="F7" s="666">
        <v>0.0035</v>
      </c>
      <c r="G7" s="666">
        <v>0.004500000000000001</v>
      </c>
      <c r="H7" s="666">
        <v>0.0051</v>
      </c>
      <c r="I7" s="666">
        <v>0.0059</v>
      </c>
      <c r="J7" s="666">
        <v>0.0064</v>
      </c>
      <c r="K7" s="666">
        <v>0.006999999999999999</v>
      </c>
      <c r="L7" s="9"/>
      <c r="M7" s="9"/>
      <c r="N7" s="9"/>
      <c r="O7" s="9"/>
      <c r="P7" s="9"/>
      <c r="Q7" s="9"/>
      <c r="R7" s="9"/>
      <c r="S7" s="9"/>
      <c r="T7" s="9"/>
      <c r="U7" s="9"/>
      <c r="V7" s="9"/>
      <c r="W7" s="9"/>
      <c r="X7" s="9"/>
      <c r="Y7" s="9"/>
      <c r="Z7" s="9"/>
    </row>
    <row r="8" ht="12.75" customHeight="1">
      <c r="A8" s="665" t="s">
        <v>852</v>
      </c>
      <c r="B8" s="666">
        <v>2.0E-4</v>
      </c>
      <c r="C8" s="666">
        <v>6.0E-4</v>
      </c>
      <c r="D8" s="666">
        <v>0.0012</v>
      </c>
      <c r="E8" s="666">
        <v>0.0021</v>
      </c>
      <c r="F8" s="666">
        <v>0.0031</v>
      </c>
      <c r="G8" s="666">
        <v>0.0042</v>
      </c>
      <c r="H8" s="666">
        <v>0.005</v>
      </c>
      <c r="I8" s="666">
        <v>0.0058</v>
      </c>
      <c r="J8" s="666">
        <v>0.006500000000000001</v>
      </c>
      <c r="K8" s="666">
        <v>0.0072</v>
      </c>
      <c r="L8" s="9"/>
      <c r="M8" s="9"/>
      <c r="N8" s="9"/>
      <c r="O8" s="9"/>
      <c r="P8" s="9"/>
      <c r="Q8" s="9"/>
      <c r="R8" s="9"/>
      <c r="S8" s="9"/>
      <c r="T8" s="9"/>
      <c r="U8" s="9"/>
      <c r="V8" s="9"/>
      <c r="W8" s="9"/>
      <c r="X8" s="9"/>
      <c r="Y8" s="9"/>
      <c r="Z8" s="9"/>
    </row>
    <row r="9" ht="12.75" customHeight="1">
      <c r="A9" s="665" t="s">
        <v>854</v>
      </c>
      <c r="B9" s="666">
        <v>5.0E-4</v>
      </c>
      <c r="C9" s="666">
        <v>0.0014</v>
      </c>
      <c r="D9" s="666">
        <v>0.0023</v>
      </c>
      <c r="E9" s="666">
        <v>0.0035</v>
      </c>
      <c r="F9" s="666">
        <v>0.004699999999999999</v>
      </c>
      <c r="G9" s="666">
        <v>0.0062</v>
      </c>
      <c r="H9" s="666">
        <v>0.0079</v>
      </c>
      <c r="I9" s="666">
        <v>0.009300000000000001</v>
      </c>
      <c r="J9" s="666">
        <v>0.0108</v>
      </c>
      <c r="K9" s="666">
        <v>0.0124</v>
      </c>
      <c r="L9" s="9"/>
      <c r="M9" s="9"/>
      <c r="N9" s="9"/>
      <c r="O9" s="9"/>
      <c r="P9" s="9"/>
      <c r="Q9" s="9"/>
      <c r="R9" s="9"/>
      <c r="S9" s="9"/>
      <c r="T9" s="9"/>
      <c r="U9" s="9"/>
      <c r="V9" s="9"/>
      <c r="W9" s="9"/>
      <c r="X9" s="9"/>
      <c r="Y9" s="9"/>
      <c r="Z9" s="9"/>
    </row>
    <row r="10" ht="12.75" customHeight="1">
      <c r="A10" s="665" t="s">
        <v>857</v>
      </c>
      <c r="B10" s="666">
        <v>0.0016</v>
      </c>
      <c r="C10" s="666">
        <v>0.004500000000000001</v>
      </c>
      <c r="D10" s="666">
        <v>0.007800000000000001</v>
      </c>
      <c r="E10" s="666">
        <v>0.0117</v>
      </c>
      <c r="F10" s="666">
        <v>0.0158</v>
      </c>
      <c r="G10" s="666">
        <v>0.0198</v>
      </c>
      <c r="H10" s="666">
        <v>0.0233</v>
      </c>
      <c r="I10" s="666">
        <v>0.0267</v>
      </c>
      <c r="J10" s="666">
        <v>0.03</v>
      </c>
      <c r="K10" s="666">
        <v>0.0332</v>
      </c>
      <c r="L10" s="9"/>
      <c r="M10" s="9"/>
      <c r="N10" s="9"/>
      <c r="O10" s="9"/>
      <c r="P10" s="9"/>
      <c r="Q10" s="9"/>
      <c r="R10" s="9"/>
      <c r="S10" s="9"/>
      <c r="T10" s="9"/>
      <c r="U10" s="9"/>
      <c r="V10" s="9"/>
      <c r="W10" s="9"/>
      <c r="X10" s="9"/>
      <c r="Y10" s="9"/>
      <c r="Z10" s="9"/>
    </row>
    <row r="11" ht="12.75" customHeight="1">
      <c r="A11" s="665" t="s">
        <v>860</v>
      </c>
      <c r="B11" s="666">
        <v>0.0061</v>
      </c>
      <c r="C11" s="666">
        <v>0.0192</v>
      </c>
      <c r="D11" s="666">
        <v>0.0348</v>
      </c>
      <c r="E11" s="666">
        <v>0.0505</v>
      </c>
      <c r="F11" s="666">
        <v>0.0652</v>
      </c>
      <c r="G11" s="666">
        <v>0.0785</v>
      </c>
      <c r="H11" s="666">
        <v>0.0901</v>
      </c>
      <c r="I11" s="666">
        <v>0.1004</v>
      </c>
      <c r="J11" s="666">
        <v>0.1097</v>
      </c>
      <c r="K11" s="666">
        <v>0.1178</v>
      </c>
      <c r="L11" s="9"/>
      <c r="M11" s="9"/>
      <c r="N11" s="9"/>
      <c r="O11" s="9"/>
      <c r="P11" s="9"/>
      <c r="Q11" s="9"/>
      <c r="R11" s="9"/>
      <c r="S11" s="9"/>
      <c r="T11" s="9"/>
      <c r="U11" s="9"/>
      <c r="V11" s="9"/>
      <c r="W11" s="9"/>
      <c r="X11" s="9"/>
      <c r="Y11" s="9"/>
      <c r="Z11" s="9"/>
    </row>
    <row r="12" ht="12.75" customHeight="1">
      <c r="A12" s="665" t="s">
        <v>863</v>
      </c>
      <c r="B12" s="666">
        <v>0.0333</v>
      </c>
      <c r="C12" s="666">
        <v>0.0771</v>
      </c>
      <c r="D12" s="666">
        <v>0.1155</v>
      </c>
      <c r="E12" s="666">
        <v>0.1458</v>
      </c>
      <c r="F12" s="666">
        <v>0.1693</v>
      </c>
      <c r="G12" s="666">
        <v>0.1883</v>
      </c>
      <c r="H12" s="666">
        <v>0.2036</v>
      </c>
      <c r="I12" s="666">
        <v>0.216</v>
      </c>
      <c r="J12" s="666">
        <v>0.227</v>
      </c>
      <c r="K12" s="666">
        <v>0.2374</v>
      </c>
      <c r="L12" s="9"/>
      <c r="M12" s="9"/>
      <c r="N12" s="9"/>
      <c r="O12" s="9"/>
      <c r="P12" s="9"/>
      <c r="Q12" s="9"/>
      <c r="R12" s="9"/>
      <c r="S12" s="9"/>
      <c r="T12" s="9"/>
      <c r="U12" s="9"/>
      <c r="V12" s="9"/>
      <c r="W12" s="9"/>
      <c r="X12" s="9"/>
      <c r="Y12" s="9"/>
      <c r="Z12" s="9"/>
    </row>
    <row r="13" ht="12.75" customHeight="1">
      <c r="A13" s="665" t="s">
        <v>865</v>
      </c>
      <c r="B13" s="666">
        <v>0.2708</v>
      </c>
      <c r="C13" s="666">
        <v>0.3664</v>
      </c>
      <c r="D13" s="666">
        <v>0.4141</v>
      </c>
      <c r="E13" s="666">
        <v>0.441</v>
      </c>
      <c r="F13" s="666">
        <v>0.4619</v>
      </c>
      <c r="G13" s="666">
        <v>0.4709</v>
      </c>
      <c r="H13" s="666">
        <v>0.4826</v>
      </c>
      <c r="I13" s="666">
        <v>0.4905</v>
      </c>
      <c r="J13" s="666">
        <v>0.4976</v>
      </c>
      <c r="K13" s="666">
        <v>0.5038</v>
      </c>
      <c r="L13" s="9"/>
      <c r="M13" s="9"/>
      <c r="N13" s="9"/>
      <c r="O13" s="9"/>
      <c r="P13" s="9"/>
      <c r="Q13" s="9"/>
      <c r="R13" s="9"/>
      <c r="S13" s="9"/>
      <c r="T13" s="9"/>
      <c r="U13" s="9"/>
      <c r="V13" s="9"/>
      <c r="W13" s="9"/>
      <c r="X13" s="9"/>
      <c r="Y13" s="9"/>
      <c r="Z13" s="9"/>
    </row>
    <row r="14" ht="12.75" customHeight="1">
      <c r="A14" s="9"/>
      <c r="B14" s="9"/>
      <c r="C14" s="9"/>
      <c r="D14" s="9"/>
      <c r="E14" s="9"/>
      <c r="F14" s="9"/>
      <c r="G14" s="9"/>
      <c r="H14" s="9"/>
      <c r="I14" s="9"/>
      <c r="J14" s="9"/>
      <c r="K14" s="9"/>
      <c r="L14" s="9"/>
      <c r="M14" s="9"/>
      <c r="N14" s="9"/>
      <c r="O14" s="9"/>
      <c r="P14" s="9"/>
      <c r="Q14" s="9"/>
      <c r="R14" s="9"/>
      <c r="S14" s="9"/>
      <c r="T14" s="9"/>
      <c r="U14" s="9"/>
      <c r="V14" s="9"/>
      <c r="W14" s="9"/>
      <c r="X14" s="9"/>
      <c r="Y14" s="9"/>
      <c r="Z14" s="9"/>
    </row>
    <row r="15" ht="12.75" customHeight="1">
      <c r="A15" s="747" t="s">
        <v>1089</v>
      </c>
      <c r="B15" s="9"/>
      <c r="C15" s="9"/>
      <c r="D15" s="9"/>
      <c r="E15" s="9"/>
      <c r="F15" s="9"/>
      <c r="G15" s="9"/>
      <c r="H15" s="9"/>
      <c r="I15" s="9"/>
      <c r="J15" s="9"/>
      <c r="K15" s="9"/>
      <c r="L15" s="9"/>
      <c r="M15" s="9"/>
      <c r="N15" s="9"/>
      <c r="O15" s="9"/>
      <c r="P15" s="9"/>
      <c r="Q15" s="9"/>
      <c r="R15" s="9"/>
      <c r="S15" s="9"/>
      <c r="T15" s="9"/>
      <c r="U15" s="9"/>
      <c r="V15" s="9"/>
      <c r="W15" s="9"/>
      <c r="X15" s="9"/>
      <c r="Y15" s="9"/>
      <c r="Z15" s="9"/>
    </row>
    <row r="16" ht="12.75" customHeight="1">
      <c r="A16" s="9"/>
      <c r="B16" s="9"/>
      <c r="C16" s="9"/>
      <c r="D16" s="9"/>
      <c r="E16" s="9"/>
      <c r="F16" s="9"/>
      <c r="G16" s="9"/>
      <c r="H16" s="9"/>
      <c r="I16" s="9"/>
      <c r="J16" s="9"/>
      <c r="K16" s="9"/>
      <c r="L16" s="9"/>
      <c r="M16" s="9"/>
      <c r="N16" s="9"/>
      <c r="O16" s="9"/>
      <c r="P16" s="9"/>
      <c r="Q16" s="9"/>
      <c r="R16" s="9"/>
      <c r="S16" s="9"/>
      <c r="T16" s="9"/>
      <c r="U16" s="9"/>
      <c r="V16" s="9"/>
      <c r="W16" s="9"/>
      <c r="X16" s="9"/>
      <c r="Y16" s="9"/>
      <c r="Z16" s="9"/>
    </row>
    <row r="17" ht="12.75" customHeight="1">
      <c r="A17" s="702" t="s">
        <v>1091</v>
      </c>
      <c r="B17" s="702"/>
      <c r="C17" s="702"/>
      <c r="D17" s="702"/>
      <c r="E17" s="702"/>
      <c r="F17" s="702"/>
      <c r="G17" s="702"/>
      <c r="H17" s="702"/>
      <c r="I17" s="702"/>
      <c r="J17" s="702"/>
      <c r="K17" s="702"/>
      <c r="L17" s="702"/>
      <c r="M17" s="702"/>
      <c r="N17" s="702"/>
      <c r="O17" s="702"/>
      <c r="P17" s="702"/>
      <c r="Q17" s="702"/>
      <c r="R17" s="702"/>
      <c r="S17" s="702"/>
      <c r="T17" s="702"/>
      <c r="U17" s="702"/>
      <c r="V17" s="702"/>
      <c r="W17" s="702"/>
      <c r="X17" s="702"/>
      <c r="Y17" s="702"/>
      <c r="Z17" s="702"/>
    </row>
    <row r="18" ht="12.75" customHeight="1">
      <c r="A18" s="9"/>
      <c r="B18" s="9"/>
      <c r="C18" s="9"/>
      <c r="D18" s="9"/>
      <c r="E18" s="9"/>
      <c r="F18" s="9"/>
      <c r="G18" s="9"/>
      <c r="H18" s="9"/>
      <c r="I18" s="9"/>
      <c r="J18" s="9"/>
      <c r="K18" s="9"/>
      <c r="L18" s="9"/>
      <c r="M18" s="9"/>
      <c r="N18" s="9"/>
      <c r="O18" s="748" t="s">
        <v>1092</v>
      </c>
      <c r="Y18" s="9"/>
      <c r="Z18" s="9"/>
    </row>
    <row r="19" ht="12.75" customHeight="1">
      <c r="A19" s="206"/>
      <c r="B19" s="227"/>
      <c r="C19" s="225" t="s">
        <v>1093</v>
      </c>
      <c r="D19" s="225" t="s">
        <v>1094</v>
      </c>
      <c r="E19" s="225" t="s">
        <v>1095</v>
      </c>
      <c r="F19" s="225" t="s">
        <v>1096</v>
      </c>
      <c r="G19" s="225" t="s">
        <v>1097</v>
      </c>
      <c r="H19" s="225" t="s">
        <v>1098</v>
      </c>
      <c r="I19" s="225" t="s">
        <v>1099</v>
      </c>
      <c r="J19" s="225" t="s">
        <v>1100</v>
      </c>
      <c r="K19" s="225" t="s">
        <v>1101</v>
      </c>
      <c r="L19" s="225" t="s">
        <v>1103</v>
      </c>
      <c r="M19" s="9"/>
      <c r="N19" s="9"/>
      <c r="O19" s="225" t="s">
        <v>1093</v>
      </c>
      <c r="P19" s="225" t="s">
        <v>1094</v>
      </c>
      <c r="Q19" s="225" t="s">
        <v>1095</v>
      </c>
      <c r="R19" s="225" t="s">
        <v>1096</v>
      </c>
      <c r="S19" s="225" t="s">
        <v>1097</v>
      </c>
      <c r="T19" s="225" t="s">
        <v>1098</v>
      </c>
      <c r="U19" s="225" t="s">
        <v>1099</v>
      </c>
      <c r="V19" s="225" t="s">
        <v>1100</v>
      </c>
      <c r="W19" s="225" t="s">
        <v>1101</v>
      </c>
      <c r="X19" s="225" t="s">
        <v>1103</v>
      </c>
      <c r="Y19" s="9"/>
      <c r="Z19" s="9"/>
    </row>
    <row r="20" ht="15.75" customHeight="1">
      <c r="A20" s="750" t="s">
        <v>1104</v>
      </c>
      <c r="B20" s="252">
        <v>0.0</v>
      </c>
      <c r="C20" s="525">
        <f t="shared" ref="C20:L20" si="1">1-O29</f>
        <v>0.551</v>
      </c>
      <c r="D20" s="525">
        <f t="shared" si="1"/>
        <v>0.677</v>
      </c>
      <c r="E20" s="525">
        <f t="shared" si="1"/>
        <v>0.551</v>
      </c>
      <c r="F20" s="525">
        <f t="shared" si="1"/>
        <v>0.753</v>
      </c>
      <c r="G20" s="525">
        <f t="shared" si="1"/>
        <v>0.619</v>
      </c>
      <c r="H20" s="525">
        <f t="shared" si="1"/>
        <v>0.61</v>
      </c>
      <c r="I20" s="525">
        <f t="shared" si="1"/>
        <v>0.716</v>
      </c>
      <c r="J20" s="525">
        <f t="shared" si="1"/>
        <v>0.745</v>
      </c>
      <c r="K20" s="525">
        <f t="shared" si="1"/>
        <v>0.575</v>
      </c>
      <c r="L20" s="525">
        <f t="shared" si="1"/>
        <v>0.672</v>
      </c>
      <c r="M20" s="9"/>
      <c r="N20" s="9">
        <v>1.0</v>
      </c>
      <c r="O20" s="753">
        <v>0.823</v>
      </c>
      <c r="P20" s="753">
        <v>0.818</v>
      </c>
      <c r="Q20" s="753">
        <v>0.84</v>
      </c>
      <c r="R20" s="753">
        <v>0.743</v>
      </c>
      <c r="S20" s="753">
        <v>0.828</v>
      </c>
      <c r="T20" s="753">
        <v>0.831</v>
      </c>
      <c r="U20" s="753">
        <v>0.769</v>
      </c>
      <c r="V20" s="753">
        <v>0.752</v>
      </c>
      <c r="W20" s="753">
        <v>0.8140000000000001</v>
      </c>
      <c r="X20" s="753">
        <v>0.7829999999999999</v>
      </c>
      <c r="Y20" s="9"/>
      <c r="Z20" s="9"/>
    </row>
    <row r="21" ht="12.75" customHeight="1">
      <c r="A21" s="235"/>
      <c r="B21" s="252">
        <v>1.0</v>
      </c>
      <c r="C21" s="525">
        <f t="shared" ref="C21:L21" si="2">O20-O$29</f>
        <v>0.374</v>
      </c>
      <c r="D21" s="525">
        <f t="shared" si="2"/>
        <v>0.495</v>
      </c>
      <c r="E21" s="525">
        <f t="shared" si="2"/>
        <v>0.391</v>
      </c>
      <c r="F21" s="525">
        <f t="shared" si="2"/>
        <v>0.496</v>
      </c>
      <c r="G21" s="525">
        <f t="shared" si="2"/>
        <v>0.447</v>
      </c>
      <c r="H21" s="525">
        <f t="shared" si="2"/>
        <v>0.441</v>
      </c>
      <c r="I21" s="525">
        <f t="shared" si="2"/>
        <v>0.485</v>
      </c>
      <c r="J21" s="525">
        <f t="shared" si="2"/>
        <v>0.497</v>
      </c>
      <c r="K21" s="525">
        <f t="shared" si="2"/>
        <v>0.389</v>
      </c>
      <c r="L21" s="525">
        <f t="shared" si="2"/>
        <v>0.455</v>
      </c>
      <c r="M21" s="9"/>
      <c r="N21" s="9">
        <v>2.0</v>
      </c>
      <c r="O21" s="753">
        <v>0.748</v>
      </c>
      <c r="P21" s="753">
        <v>0.7120000000000001</v>
      </c>
      <c r="Q21" s="753">
        <v>0.735</v>
      </c>
      <c r="R21" s="753">
        <v>0.598</v>
      </c>
      <c r="S21" s="753">
        <v>0.7240000000000001</v>
      </c>
      <c r="T21" s="753">
        <v>0.7240000000000001</v>
      </c>
      <c r="U21" s="753">
        <v>0.636</v>
      </c>
      <c r="V21" s="753">
        <v>0.627</v>
      </c>
      <c r="W21" s="753">
        <v>0.722</v>
      </c>
      <c r="X21" s="753">
        <v>0.662</v>
      </c>
      <c r="Y21" s="9"/>
      <c r="Z21" s="9"/>
    </row>
    <row r="22" ht="12.75" customHeight="1">
      <c r="A22" s="235"/>
      <c r="B22" s="252">
        <v>2.0</v>
      </c>
      <c r="C22" s="525">
        <f t="shared" ref="C22:L22" si="3">O21-O$29</f>
        <v>0.299</v>
      </c>
      <c r="D22" s="525">
        <f t="shared" si="3"/>
        <v>0.389</v>
      </c>
      <c r="E22" s="525">
        <f t="shared" si="3"/>
        <v>0.286</v>
      </c>
      <c r="F22" s="525">
        <f t="shared" si="3"/>
        <v>0.351</v>
      </c>
      <c r="G22" s="525">
        <f t="shared" si="3"/>
        <v>0.343</v>
      </c>
      <c r="H22" s="525">
        <f t="shared" si="3"/>
        <v>0.334</v>
      </c>
      <c r="I22" s="525">
        <f t="shared" si="3"/>
        <v>0.352</v>
      </c>
      <c r="J22" s="525">
        <f t="shared" si="3"/>
        <v>0.372</v>
      </c>
      <c r="K22" s="525">
        <f t="shared" si="3"/>
        <v>0.297</v>
      </c>
      <c r="L22" s="525">
        <f t="shared" si="3"/>
        <v>0.334</v>
      </c>
      <c r="M22" s="9"/>
      <c r="N22" s="9">
        <v>3.0</v>
      </c>
      <c r="O22" s="753">
        <v>0.6609999999999999</v>
      </c>
      <c r="P22" s="753">
        <v>0.629</v>
      </c>
      <c r="Q22" s="753">
        <v>0.67</v>
      </c>
      <c r="R22" s="753">
        <v>0.456</v>
      </c>
      <c r="S22" s="753">
        <v>0.622</v>
      </c>
      <c r="T22" s="753">
        <v>0.631</v>
      </c>
      <c r="U22" s="753">
        <v>0.523</v>
      </c>
      <c r="V22" s="753">
        <v>0.5329999999999999</v>
      </c>
      <c r="W22" s="753">
        <v>0.674</v>
      </c>
      <c r="X22" s="753">
        <v>0.5660000000000001</v>
      </c>
      <c r="Y22" s="9"/>
      <c r="Z22" s="9"/>
    </row>
    <row r="23" ht="12.75" customHeight="1">
      <c r="A23" s="235"/>
      <c r="B23" s="252">
        <v>3.0</v>
      </c>
      <c r="C23" s="525">
        <f t="shared" ref="C23:L23" si="4">O22-O$29</f>
        <v>0.212</v>
      </c>
      <c r="D23" s="525">
        <f t="shared" si="4"/>
        <v>0.306</v>
      </c>
      <c r="E23" s="525">
        <f t="shared" si="4"/>
        <v>0.221</v>
      </c>
      <c r="F23" s="525">
        <f t="shared" si="4"/>
        <v>0.209</v>
      </c>
      <c r="G23" s="525">
        <f t="shared" si="4"/>
        <v>0.241</v>
      </c>
      <c r="H23" s="525">
        <f t="shared" si="4"/>
        <v>0.241</v>
      </c>
      <c r="I23" s="525">
        <f t="shared" si="4"/>
        <v>0.239</v>
      </c>
      <c r="J23" s="525">
        <f t="shared" si="4"/>
        <v>0.278</v>
      </c>
      <c r="K23" s="525">
        <f t="shared" si="4"/>
        <v>0.249</v>
      </c>
      <c r="L23" s="525">
        <f t="shared" si="4"/>
        <v>0.238</v>
      </c>
      <c r="M23" s="9"/>
      <c r="N23" s="9">
        <v>4.0</v>
      </c>
      <c r="O23" s="753">
        <v>0.612</v>
      </c>
      <c r="P23" s="753">
        <v>0.5379999999999999</v>
      </c>
      <c r="Q23" s="753">
        <v>0.629</v>
      </c>
      <c r="R23" s="753">
        <v>0.371</v>
      </c>
      <c r="S23" s="753">
        <v>0.541</v>
      </c>
      <c r="T23" s="753">
        <v>0.565</v>
      </c>
      <c r="U23" s="753">
        <v>0.45</v>
      </c>
      <c r="V23" s="753">
        <v>0.464</v>
      </c>
      <c r="W23" s="753">
        <v>0.613</v>
      </c>
      <c r="X23" s="753">
        <v>0.498</v>
      </c>
      <c r="Y23" s="9"/>
      <c r="Z23" s="9"/>
    </row>
    <row r="24" ht="12.75" customHeight="1">
      <c r="A24" s="235"/>
      <c r="B24" s="252">
        <v>4.0</v>
      </c>
      <c r="C24" s="525">
        <f t="shared" ref="C24:L24" si="5">O23-O$29</f>
        <v>0.163</v>
      </c>
      <c r="D24" s="525">
        <f t="shared" si="5"/>
        <v>0.215</v>
      </c>
      <c r="E24" s="525">
        <f t="shared" si="5"/>
        <v>0.18</v>
      </c>
      <c r="F24" s="525">
        <f t="shared" si="5"/>
        <v>0.124</v>
      </c>
      <c r="G24" s="525">
        <f t="shared" si="5"/>
        <v>0.16</v>
      </c>
      <c r="H24" s="525">
        <f t="shared" si="5"/>
        <v>0.175</v>
      </c>
      <c r="I24" s="525">
        <f t="shared" si="5"/>
        <v>0.166</v>
      </c>
      <c r="J24" s="525">
        <f t="shared" si="5"/>
        <v>0.209</v>
      </c>
      <c r="K24" s="525">
        <f t="shared" si="5"/>
        <v>0.188</v>
      </c>
      <c r="L24" s="525">
        <f t="shared" si="5"/>
        <v>0.17</v>
      </c>
      <c r="M24" s="9"/>
      <c r="N24" s="9">
        <v>5.0</v>
      </c>
      <c r="O24" s="753">
        <v>0.574</v>
      </c>
      <c r="P24" s="753">
        <v>0.512</v>
      </c>
      <c r="Q24" s="753">
        <v>0.565</v>
      </c>
      <c r="R24" s="753">
        <v>0.332</v>
      </c>
      <c r="S24" s="753">
        <v>0.494</v>
      </c>
      <c r="T24" s="753">
        <v>0.521</v>
      </c>
      <c r="U24" s="753">
        <v>0.411</v>
      </c>
      <c r="V24" s="753">
        <v>0.419</v>
      </c>
      <c r="W24" s="753">
        <v>0.5589999999999999</v>
      </c>
      <c r="X24" s="753">
        <v>0.454</v>
      </c>
      <c r="Y24" s="9"/>
      <c r="Z24" s="9"/>
    </row>
    <row r="25" ht="12.75" customHeight="1">
      <c r="A25" s="235"/>
      <c r="B25" s="252">
        <v>5.0</v>
      </c>
      <c r="C25" s="525">
        <f t="shared" ref="C25:L25" si="6">O24-O$29</f>
        <v>0.125</v>
      </c>
      <c r="D25" s="525">
        <f t="shared" si="6"/>
        <v>0.189</v>
      </c>
      <c r="E25" s="525">
        <f t="shared" si="6"/>
        <v>0.116</v>
      </c>
      <c r="F25" s="525">
        <f t="shared" si="6"/>
        <v>0.085</v>
      </c>
      <c r="G25" s="525">
        <f t="shared" si="6"/>
        <v>0.113</v>
      </c>
      <c r="H25" s="525">
        <f t="shared" si="6"/>
        <v>0.131</v>
      </c>
      <c r="I25" s="525">
        <f t="shared" si="6"/>
        <v>0.127</v>
      </c>
      <c r="J25" s="525">
        <f t="shared" si="6"/>
        <v>0.164</v>
      </c>
      <c r="K25" s="525">
        <f t="shared" si="6"/>
        <v>0.134</v>
      </c>
      <c r="L25" s="525">
        <f t="shared" si="6"/>
        <v>0.126</v>
      </c>
      <c r="M25" s="9"/>
      <c r="N25" s="9">
        <v>6.0</v>
      </c>
      <c r="O25" s="753">
        <v>0.541</v>
      </c>
      <c r="P25" s="753">
        <v>0.472</v>
      </c>
      <c r="Q25" s="753">
        <v>0.556</v>
      </c>
      <c r="R25" s="753">
        <v>0.306</v>
      </c>
      <c r="S25" s="753">
        <v>0.463</v>
      </c>
      <c r="T25" s="753">
        <v>0.485</v>
      </c>
      <c r="U25" s="753">
        <v>0.377</v>
      </c>
      <c r="V25" s="753">
        <v>0.3720000000000001</v>
      </c>
      <c r="W25" s="753">
        <v>0.5479999999999999</v>
      </c>
      <c r="X25" s="753">
        <v>0.423</v>
      </c>
      <c r="Y25" s="9"/>
      <c r="Z25" s="9"/>
    </row>
    <row r="26" ht="12.75" customHeight="1">
      <c r="A26" s="235"/>
      <c r="B26" s="252">
        <v>6.0</v>
      </c>
      <c r="C26" s="525">
        <f t="shared" ref="C26:L26" si="7">O25-O$29</f>
        <v>0.092</v>
      </c>
      <c r="D26" s="525">
        <f t="shared" si="7"/>
        <v>0.149</v>
      </c>
      <c r="E26" s="525">
        <f t="shared" si="7"/>
        <v>0.107</v>
      </c>
      <c r="F26" s="525">
        <f t="shared" si="7"/>
        <v>0.059</v>
      </c>
      <c r="G26" s="525">
        <f t="shared" si="7"/>
        <v>0.082</v>
      </c>
      <c r="H26" s="525">
        <f t="shared" si="7"/>
        <v>0.095</v>
      </c>
      <c r="I26" s="525">
        <f t="shared" si="7"/>
        <v>0.093</v>
      </c>
      <c r="J26" s="525">
        <f t="shared" si="7"/>
        <v>0.117</v>
      </c>
      <c r="K26" s="525">
        <f t="shared" si="7"/>
        <v>0.123</v>
      </c>
      <c r="L26" s="525">
        <f t="shared" si="7"/>
        <v>0.095</v>
      </c>
      <c r="M26" s="9"/>
      <c r="N26" s="9">
        <v>7.0</v>
      </c>
      <c r="O26" s="753">
        <v>0.516</v>
      </c>
      <c r="P26" s="753">
        <v>0.429</v>
      </c>
      <c r="Q26" s="753">
        <v>0.516</v>
      </c>
      <c r="R26" s="753">
        <v>0.284</v>
      </c>
      <c r="S26" s="753">
        <v>0.4379999999999999</v>
      </c>
      <c r="T26" s="753">
        <v>0.457</v>
      </c>
      <c r="U26" s="753">
        <v>0.349</v>
      </c>
      <c r="V26" s="753">
        <v>0.34</v>
      </c>
      <c r="W26" s="753">
        <v>0.529</v>
      </c>
      <c r="X26" s="753">
        <v>0.396</v>
      </c>
      <c r="Y26" s="9"/>
      <c r="Z26" s="9"/>
    </row>
    <row r="27" ht="12.75" customHeight="1">
      <c r="A27" s="235"/>
      <c r="B27" s="252">
        <v>7.0</v>
      </c>
      <c r="C27" s="525">
        <f t="shared" ref="C27:L27" si="8">O26-O$29</f>
        <v>0.067</v>
      </c>
      <c r="D27" s="525">
        <f t="shared" si="8"/>
        <v>0.106</v>
      </c>
      <c r="E27" s="525">
        <f t="shared" si="8"/>
        <v>0.067</v>
      </c>
      <c r="F27" s="525">
        <f t="shared" si="8"/>
        <v>0.037</v>
      </c>
      <c r="G27" s="525">
        <f t="shared" si="8"/>
        <v>0.0569999999999999</v>
      </c>
      <c r="H27" s="525">
        <f t="shared" si="8"/>
        <v>0.067</v>
      </c>
      <c r="I27" s="525">
        <f t="shared" si="8"/>
        <v>0.065</v>
      </c>
      <c r="J27" s="525">
        <f t="shared" si="8"/>
        <v>0.085</v>
      </c>
      <c r="K27" s="525">
        <f t="shared" si="8"/>
        <v>0.104</v>
      </c>
      <c r="L27" s="525">
        <f t="shared" si="8"/>
        <v>0.068</v>
      </c>
      <c r="M27" s="9"/>
      <c r="N27" s="9">
        <v>8.0</v>
      </c>
      <c r="O27" s="753">
        <v>0.495</v>
      </c>
      <c r="P27" s="753">
        <v>0.405</v>
      </c>
      <c r="Q27" s="753">
        <v>0.503</v>
      </c>
      <c r="R27" s="753">
        <v>0.271</v>
      </c>
      <c r="S27" s="753">
        <v>0.415</v>
      </c>
      <c r="T27" s="753">
        <v>0.433</v>
      </c>
      <c r="U27" s="753">
        <v>0.324</v>
      </c>
      <c r="V27" s="753">
        <v>0.314</v>
      </c>
      <c r="W27" s="753">
        <v>0.484</v>
      </c>
      <c r="X27" s="753">
        <v>0.371</v>
      </c>
      <c r="Y27" s="9"/>
      <c r="Z27" s="9"/>
    </row>
    <row r="28" ht="12.75" customHeight="1">
      <c r="A28" s="235"/>
      <c r="B28" s="252">
        <v>8.0</v>
      </c>
      <c r="C28" s="525">
        <f t="shared" ref="C28:L28" si="9">O27-O$29</f>
        <v>0.046</v>
      </c>
      <c r="D28" s="525">
        <f t="shared" si="9"/>
        <v>0.082</v>
      </c>
      <c r="E28" s="525">
        <f t="shared" si="9"/>
        <v>0.054</v>
      </c>
      <c r="F28" s="525">
        <f t="shared" si="9"/>
        <v>0.024</v>
      </c>
      <c r="G28" s="525">
        <f t="shared" si="9"/>
        <v>0.034</v>
      </c>
      <c r="H28" s="525">
        <f t="shared" si="9"/>
        <v>0.043</v>
      </c>
      <c r="I28" s="525">
        <f t="shared" si="9"/>
        <v>0.04</v>
      </c>
      <c r="J28" s="525">
        <f t="shared" si="9"/>
        <v>0.059</v>
      </c>
      <c r="K28" s="525">
        <f t="shared" si="9"/>
        <v>0.059</v>
      </c>
      <c r="L28" s="525">
        <f t="shared" si="9"/>
        <v>0.043</v>
      </c>
      <c r="M28" s="9"/>
      <c r="N28" s="9">
        <v>9.0</v>
      </c>
      <c r="O28" s="753">
        <v>0.465</v>
      </c>
      <c r="P28" s="753">
        <v>0.371</v>
      </c>
      <c r="Q28" s="753">
        <v>0.476</v>
      </c>
      <c r="R28" s="753">
        <v>0.258</v>
      </c>
      <c r="S28" s="753">
        <v>0.4</v>
      </c>
      <c r="T28" s="753">
        <v>0.41</v>
      </c>
      <c r="U28" s="753">
        <v>0.305</v>
      </c>
      <c r="V28" s="753">
        <v>0.274</v>
      </c>
      <c r="W28" s="753">
        <v>0.455</v>
      </c>
      <c r="X28" s="753">
        <v>0.348</v>
      </c>
      <c r="Y28" s="9"/>
      <c r="Z28" s="9"/>
    </row>
    <row r="29" ht="12.75" customHeight="1">
      <c r="A29" s="240"/>
      <c r="B29" s="252">
        <v>9.0</v>
      </c>
      <c r="C29" s="525">
        <f t="shared" ref="C29:L29" si="10">O28-O$29</f>
        <v>0.016</v>
      </c>
      <c r="D29" s="525">
        <f t="shared" si="10"/>
        <v>0.048</v>
      </c>
      <c r="E29" s="525">
        <f t="shared" si="10"/>
        <v>0.027</v>
      </c>
      <c r="F29" s="525">
        <f t="shared" si="10"/>
        <v>0.011</v>
      </c>
      <c r="G29" s="525">
        <f t="shared" si="10"/>
        <v>0.019</v>
      </c>
      <c r="H29" s="525">
        <f t="shared" si="10"/>
        <v>0.02</v>
      </c>
      <c r="I29" s="525">
        <f t="shared" si="10"/>
        <v>0.021</v>
      </c>
      <c r="J29" s="525">
        <f t="shared" si="10"/>
        <v>0.019</v>
      </c>
      <c r="K29" s="525">
        <f t="shared" si="10"/>
        <v>0.03</v>
      </c>
      <c r="L29" s="525">
        <f t="shared" si="10"/>
        <v>0.02</v>
      </c>
      <c r="M29" s="9"/>
      <c r="N29" s="9">
        <v>10.0</v>
      </c>
      <c r="O29" s="753">
        <v>0.449</v>
      </c>
      <c r="P29" s="753">
        <v>0.323</v>
      </c>
      <c r="Q29" s="753">
        <v>0.449</v>
      </c>
      <c r="R29" s="753">
        <v>0.247</v>
      </c>
      <c r="S29" s="753">
        <v>0.381</v>
      </c>
      <c r="T29" s="753">
        <v>0.39</v>
      </c>
      <c r="U29" s="753">
        <v>0.284</v>
      </c>
      <c r="V29" s="753">
        <v>0.255</v>
      </c>
      <c r="W29" s="753">
        <v>0.425</v>
      </c>
      <c r="X29" s="753">
        <v>0.328</v>
      </c>
      <c r="Y29" s="9"/>
      <c r="Z29" s="9"/>
    </row>
    <row r="30" ht="12.75" customHeight="1">
      <c r="A30" s="9"/>
      <c r="B30" s="252">
        <v>10.0</v>
      </c>
      <c r="C30" s="525">
        <f t="shared" ref="C30:L30" si="11">O29-O$29</f>
        <v>0.0</v>
      </c>
      <c r="D30" s="525">
        <f t="shared" si="11"/>
        <v>0.0</v>
      </c>
      <c r="E30" s="525">
        <f t="shared" si="11"/>
        <v>0.0</v>
      </c>
      <c r="F30" s="525">
        <f t="shared" si="11"/>
        <v>0.0</v>
      </c>
      <c r="G30" s="525">
        <f t="shared" si="11"/>
        <v>0.0</v>
      </c>
      <c r="H30" s="525">
        <f t="shared" si="11"/>
        <v>0.0</v>
      </c>
      <c r="I30" s="525">
        <f t="shared" si="11"/>
        <v>0.0</v>
      </c>
      <c r="J30" s="525">
        <f t="shared" si="11"/>
        <v>0.0</v>
      </c>
      <c r="K30" s="525">
        <f t="shared" si="11"/>
        <v>0.0</v>
      </c>
      <c r="L30" s="525">
        <f t="shared" si="11"/>
        <v>0.0</v>
      </c>
      <c r="M30" s="9"/>
      <c r="N30" s="9"/>
      <c r="O30" s="9"/>
      <c r="P30" s="9"/>
      <c r="Q30" s="9"/>
      <c r="R30" s="9"/>
      <c r="S30" s="9"/>
      <c r="T30" s="9"/>
      <c r="U30" s="9"/>
      <c r="V30" s="9"/>
      <c r="W30" s="9"/>
      <c r="X30" s="9"/>
      <c r="Y30" s="9"/>
      <c r="Z30" s="9"/>
    </row>
    <row r="31" ht="12.75" customHeight="1">
      <c r="A31" s="9" t="s">
        <v>1113</v>
      </c>
      <c r="B31" s="249"/>
      <c r="C31" s="303"/>
      <c r="D31" s="303"/>
      <c r="E31" s="303"/>
      <c r="F31" s="303"/>
      <c r="G31" s="303"/>
      <c r="H31" s="303"/>
      <c r="I31" s="303"/>
      <c r="J31" s="303"/>
      <c r="K31" s="303"/>
      <c r="L31" s="303"/>
      <c r="M31" s="9"/>
      <c r="N31" s="9"/>
      <c r="O31" s="9"/>
      <c r="P31" s="9"/>
      <c r="Q31" s="9"/>
      <c r="R31" s="9"/>
      <c r="S31" s="9"/>
      <c r="T31" s="9"/>
      <c r="U31" s="9"/>
      <c r="V31" s="9"/>
      <c r="W31" s="9"/>
      <c r="X31" s="9"/>
      <c r="Y31" s="9"/>
      <c r="Z31" s="9"/>
    </row>
    <row r="32" ht="12.75" customHeight="1">
      <c r="A32" s="206" t="s">
        <v>1115</v>
      </c>
      <c r="B32" s="9"/>
      <c r="C32" s="9"/>
      <c r="D32" s="9"/>
      <c r="E32" s="9"/>
      <c r="F32" s="9"/>
      <c r="G32" s="9"/>
      <c r="H32" s="9"/>
      <c r="I32" s="9"/>
      <c r="J32" s="9"/>
      <c r="K32" s="9"/>
      <c r="L32" s="9"/>
      <c r="M32" s="206"/>
      <c r="N32" s="206"/>
      <c r="O32" s="206"/>
      <c r="P32" s="206"/>
      <c r="Q32" s="206"/>
      <c r="R32" s="206"/>
      <c r="S32" s="206"/>
      <c r="T32" s="206"/>
      <c r="U32" s="206"/>
      <c r="V32" s="206"/>
      <c r="W32" s="206"/>
      <c r="X32" s="206"/>
      <c r="Y32" s="206"/>
      <c r="Z32" s="206"/>
    </row>
    <row r="33" ht="12.75" customHeight="1">
      <c r="A33" s="9"/>
      <c r="B33" s="206"/>
      <c r="C33" s="206"/>
      <c r="D33" s="206"/>
      <c r="E33" s="206"/>
      <c r="F33" s="206"/>
      <c r="G33" s="206"/>
      <c r="H33" s="206"/>
      <c r="I33" s="206"/>
      <c r="J33" s="206"/>
      <c r="K33" s="206"/>
      <c r="L33" s="206"/>
      <c r="M33" s="9"/>
      <c r="N33" s="9"/>
      <c r="O33" s="9"/>
      <c r="P33" s="9"/>
      <c r="Q33" s="9"/>
      <c r="R33" s="9"/>
      <c r="S33" s="9"/>
      <c r="T33" s="9"/>
      <c r="U33" s="9"/>
      <c r="V33" s="9"/>
      <c r="W33" s="9"/>
      <c r="X33" s="9"/>
      <c r="Y33" s="9"/>
      <c r="Z33" s="9"/>
    </row>
    <row r="34" ht="12.75" customHeight="1">
      <c r="A34" s="209" t="s">
        <v>1116</v>
      </c>
      <c r="B34" s="9"/>
      <c r="C34" s="9"/>
      <c r="D34" s="9"/>
      <c r="E34" s="9"/>
      <c r="F34" s="9"/>
      <c r="G34" s="9"/>
      <c r="H34" s="9"/>
      <c r="I34" s="9"/>
      <c r="J34" s="9"/>
      <c r="K34" s="9"/>
      <c r="L34" s="9"/>
      <c r="M34" s="9"/>
      <c r="N34" s="9"/>
      <c r="O34" s="9"/>
      <c r="P34" s="9"/>
      <c r="Q34" s="9"/>
      <c r="R34" s="9"/>
      <c r="S34" s="9"/>
      <c r="T34" s="9"/>
      <c r="U34" s="9"/>
      <c r="V34" s="9"/>
      <c r="W34" s="9"/>
      <c r="X34" s="9"/>
      <c r="Y34" s="9"/>
      <c r="Z34" s="9"/>
    </row>
    <row r="35" ht="12.75" customHeight="1">
      <c r="A35" s="206" t="s">
        <v>1118</v>
      </c>
      <c r="B35" s="9"/>
      <c r="C35" s="9"/>
      <c r="D35" s="9"/>
      <c r="E35" s="9"/>
      <c r="F35" s="9"/>
      <c r="G35" s="9"/>
      <c r="H35" s="9"/>
      <c r="I35" s="9"/>
      <c r="J35" s="9"/>
      <c r="K35" s="9"/>
      <c r="L35" s="9"/>
      <c r="M35" s="9"/>
      <c r="N35" s="9"/>
      <c r="O35" s="9"/>
      <c r="P35" s="9"/>
      <c r="Q35" s="9"/>
      <c r="R35" s="9"/>
      <c r="S35" s="9"/>
      <c r="T35" s="9"/>
      <c r="U35" s="9"/>
      <c r="V35" s="9"/>
      <c r="W35" s="9"/>
      <c r="X35" s="9"/>
      <c r="Y35" s="9"/>
      <c r="Z35" s="9"/>
    </row>
    <row r="36" ht="12.75" customHeight="1">
      <c r="A36" s="206" t="s">
        <v>1119</v>
      </c>
      <c r="B36" s="9"/>
      <c r="C36" s="9"/>
      <c r="D36" s="9"/>
      <c r="E36" s="9"/>
      <c r="F36" s="9"/>
      <c r="G36" s="9"/>
      <c r="H36" s="9"/>
      <c r="I36" s="9"/>
      <c r="J36" s="9"/>
      <c r="K36" s="9"/>
      <c r="L36" s="9"/>
      <c r="M36" s="9"/>
      <c r="N36" s="9"/>
      <c r="O36" s="9"/>
      <c r="P36" s="9"/>
      <c r="Q36" s="9"/>
      <c r="R36" s="9"/>
      <c r="S36" s="9"/>
      <c r="T36" s="9"/>
      <c r="U36" s="9"/>
      <c r="V36" s="9"/>
      <c r="W36" s="9"/>
      <c r="X36" s="9"/>
      <c r="Y36" s="9"/>
      <c r="Z36" s="9"/>
    </row>
    <row r="37" ht="12.75" customHeight="1">
      <c r="A37" s="206" t="s">
        <v>1120</v>
      </c>
      <c r="B37" s="9"/>
      <c r="C37" s="9"/>
      <c r="D37" s="9"/>
      <c r="E37" s="9"/>
      <c r="F37" s="9"/>
      <c r="G37" s="9"/>
      <c r="H37" s="9"/>
      <c r="I37" s="9"/>
      <c r="J37" s="9"/>
      <c r="K37" s="9"/>
      <c r="L37" s="9"/>
      <c r="M37" s="9"/>
      <c r="N37" s="9"/>
      <c r="O37" s="9"/>
      <c r="P37" s="9"/>
      <c r="Q37" s="9"/>
      <c r="R37" s="9"/>
      <c r="S37" s="9"/>
      <c r="T37" s="9"/>
      <c r="U37" s="9"/>
      <c r="V37" s="9"/>
      <c r="W37" s="9"/>
      <c r="X37" s="9"/>
      <c r="Y37" s="9"/>
      <c r="Z37" s="9"/>
    </row>
    <row r="38" ht="12.75" customHeight="1">
      <c r="A38" s="206" t="s">
        <v>1121</v>
      </c>
      <c r="B38" s="9"/>
      <c r="C38" s="9"/>
      <c r="D38" s="9"/>
      <c r="E38" s="9"/>
      <c r="F38" s="9"/>
      <c r="G38" s="9"/>
      <c r="H38" s="9"/>
      <c r="I38" s="9"/>
      <c r="J38" s="9"/>
      <c r="K38" s="9"/>
      <c r="L38" s="9"/>
      <c r="M38" s="9"/>
      <c r="N38" s="9"/>
      <c r="O38" s="9"/>
      <c r="P38" s="9"/>
      <c r="Q38" s="9"/>
      <c r="R38" s="9"/>
      <c r="S38" s="9"/>
      <c r="T38" s="9"/>
      <c r="U38" s="9"/>
      <c r="V38" s="9"/>
      <c r="W38" s="9"/>
      <c r="X38" s="9"/>
      <c r="Y38" s="9"/>
      <c r="Z38" s="9"/>
    </row>
    <row r="39" ht="12.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2.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2.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2.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2.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2.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2.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2.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2.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2.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2.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2.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2.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2.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2.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5.7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5.7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5.7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5.7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5.7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5.7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5.7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5.7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5.7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5.7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5.7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5.7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5.7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5.7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5.7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5.7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5.7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5.7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5.7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5.7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5.7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5.7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5.7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5.7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5.7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5.7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5.7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5.7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5.7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5.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5.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5.7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5.7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5.7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5.7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5.7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5.7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5.7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5.7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5.7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5.7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5.7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5.7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5.7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5.7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K5"/>
    <mergeCell ref="O18:X18"/>
    <mergeCell ref="A20:A29"/>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1.63"/>
    <col customWidth="1" min="3" max="3" width="14.38"/>
    <col customWidth="1" min="4" max="4" width="16.38"/>
    <col customWidth="1" min="5" max="5" width="15.5"/>
    <col customWidth="1" min="6" max="6" width="13.75"/>
    <col customWidth="1" min="7" max="9" width="8.38"/>
    <col customWidth="1" min="10" max="26" width="11.25"/>
  </cols>
  <sheetData>
    <row r="1" ht="37.5" customHeight="1">
      <c r="A1" s="33" t="s">
        <v>72</v>
      </c>
      <c r="B1" s="35">
        <f>'Input sheet'!B1</f>
        <v>0.0</v>
      </c>
      <c r="C1" s="33" t="s">
        <v>57</v>
      </c>
      <c r="D1" s="37">
        <f>'Input sheet'!D1</f>
        <v>39.4</v>
      </c>
      <c r="E1" s="7"/>
      <c r="F1" s="7"/>
      <c r="G1" s="7"/>
      <c r="H1" s="7"/>
      <c r="I1" s="7"/>
      <c r="J1" s="77"/>
      <c r="K1" s="77"/>
    </row>
    <row r="2" ht="12.75" customHeight="1">
      <c r="A2" s="9" t="s">
        <v>1128</v>
      </c>
      <c r="B2" s="719">
        <v>0.0423</v>
      </c>
      <c r="C2" s="9" t="s">
        <v>1129</v>
      </c>
      <c r="D2" s="748"/>
      <c r="E2" s="9"/>
      <c r="F2" s="9"/>
      <c r="G2" s="9"/>
      <c r="H2" s="9"/>
      <c r="I2" s="9"/>
      <c r="J2" s="77"/>
      <c r="K2" s="77"/>
    </row>
    <row r="3" ht="12.75" customHeight="1">
      <c r="A3" s="517" t="s">
        <v>1130</v>
      </c>
      <c r="B3" s="517"/>
      <c r="C3" s="517"/>
      <c r="D3" s="740"/>
      <c r="E3" s="517"/>
      <c r="F3" s="517"/>
      <c r="G3" s="517"/>
      <c r="H3" s="517"/>
      <c r="I3" s="517"/>
      <c r="J3" s="77"/>
      <c r="K3" s="77"/>
    </row>
    <row r="4" ht="12.75" customHeight="1">
      <c r="A4" s="9"/>
      <c r="B4" s="9"/>
      <c r="C4" s="9"/>
      <c r="D4" s="748"/>
      <c r="E4" s="9"/>
      <c r="F4" s="9"/>
      <c r="G4" s="9"/>
      <c r="H4" s="9"/>
      <c r="I4" s="9"/>
      <c r="J4" s="77"/>
      <c r="K4" s="77"/>
    </row>
    <row r="5" ht="12.75" customHeight="1">
      <c r="A5" s="763" t="s">
        <v>931</v>
      </c>
      <c r="B5" s="765" t="s">
        <v>1131</v>
      </c>
      <c r="C5" s="766" t="s">
        <v>1132</v>
      </c>
      <c r="D5" s="766" t="s">
        <v>1133</v>
      </c>
      <c r="E5" s="766" t="s">
        <v>1134</v>
      </c>
      <c r="F5" s="766" t="s">
        <v>1135</v>
      </c>
      <c r="G5" s="9"/>
      <c r="H5" s="9"/>
      <c r="I5" s="9"/>
      <c r="J5" s="77"/>
      <c r="K5" s="77"/>
    </row>
    <row r="6" ht="12.75" customHeight="1">
      <c r="A6" s="767" t="s">
        <v>1136</v>
      </c>
      <c r="B6" s="768" t="s">
        <v>1137</v>
      </c>
      <c r="C6" s="269">
        <v>0.0042</v>
      </c>
      <c r="D6" s="269">
        <f t="shared" ref="D6:D197" si="1">$B$2+E6</f>
        <v>0.0487</v>
      </c>
      <c r="E6" s="769">
        <v>0.0064</v>
      </c>
      <c r="F6" s="769">
        <v>0.09</v>
      </c>
      <c r="G6" s="9"/>
      <c r="H6" s="9"/>
      <c r="I6" s="9"/>
      <c r="J6" s="77"/>
      <c r="K6" s="77"/>
    </row>
    <row r="7" ht="12.75" customHeight="1">
      <c r="A7" s="767" t="s">
        <v>1138</v>
      </c>
      <c r="B7" s="768" t="s">
        <v>1139</v>
      </c>
      <c r="C7" s="269">
        <v>0.0306</v>
      </c>
      <c r="D7" s="269">
        <f t="shared" si="1"/>
        <v>0.0889</v>
      </c>
      <c r="E7" s="769">
        <v>0.0466</v>
      </c>
      <c r="F7" s="769">
        <v>0.15</v>
      </c>
      <c r="G7" s="9"/>
      <c r="H7" s="9"/>
      <c r="I7" s="9"/>
      <c r="J7" s="77"/>
      <c r="K7" s="77"/>
    </row>
    <row r="8" ht="12.75" customHeight="1">
      <c r="A8" s="767" t="s">
        <v>1140</v>
      </c>
      <c r="B8" s="768" t="s">
        <v>1141</v>
      </c>
      <c r="C8" s="269">
        <v>0.0383</v>
      </c>
      <c r="D8" s="269">
        <f t="shared" si="1"/>
        <v>0.1006</v>
      </c>
      <c r="E8" s="769">
        <v>0.0583</v>
      </c>
      <c r="F8" s="769">
        <v>0.1007</v>
      </c>
      <c r="G8" s="9"/>
      <c r="H8" s="9"/>
      <c r="I8" s="9"/>
      <c r="J8" s="77"/>
      <c r="K8" s="77"/>
    </row>
    <row r="9" ht="12.75" customHeight="1">
      <c r="A9" s="767" t="s">
        <v>1142</v>
      </c>
      <c r="B9" s="768" t="s">
        <v>1143</v>
      </c>
      <c r="C9" s="269">
        <v>0.0136</v>
      </c>
      <c r="D9" s="269">
        <f t="shared" si="1"/>
        <v>0.063</v>
      </c>
      <c r="E9" s="769">
        <v>0.0207</v>
      </c>
      <c r="F9" s="769">
        <v>0.1</v>
      </c>
      <c r="G9" s="9"/>
      <c r="H9" s="9"/>
      <c r="I9" s="9"/>
      <c r="J9" s="77"/>
      <c r="K9" s="77"/>
    </row>
    <row r="10" ht="12.75" customHeight="1">
      <c r="A10" s="767" t="s">
        <v>1144</v>
      </c>
      <c r="B10" s="768" t="s">
        <v>1145</v>
      </c>
      <c r="C10" s="269">
        <v>0.0552</v>
      </c>
      <c r="D10" s="269">
        <f t="shared" si="1"/>
        <v>0.1264</v>
      </c>
      <c r="E10" s="769">
        <v>0.0841</v>
      </c>
      <c r="F10" s="769">
        <v>0.25</v>
      </c>
      <c r="G10" s="9"/>
      <c r="H10" s="9"/>
      <c r="I10" s="9"/>
      <c r="J10" s="77"/>
      <c r="K10" s="77"/>
    </row>
    <row r="11" ht="12.75" customHeight="1">
      <c r="A11" s="767" t="s">
        <v>1146</v>
      </c>
      <c r="B11" s="768" t="s">
        <v>1141</v>
      </c>
      <c r="C11" s="269">
        <v>0.04915183026184869</v>
      </c>
      <c r="D11" s="269">
        <f t="shared" si="1"/>
        <v>0.117176823349771</v>
      </c>
      <c r="E11" s="769">
        <v>0.074876823349771</v>
      </c>
      <c r="F11" s="769">
        <v>0.2652654754337485</v>
      </c>
      <c r="G11" s="9"/>
      <c r="H11" s="9"/>
      <c r="I11" s="9"/>
      <c r="J11" s="77"/>
      <c r="K11" s="77"/>
    </row>
    <row r="12" ht="12.75" customHeight="1">
      <c r="A12" s="767" t="s">
        <v>1147</v>
      </c>
      <c r="B12" s="768" t="s">
        <v>1141</v>
      </c>
      <c r="C12" s="269">
        <v>0.02778594186678078</v>
      </c>
      <c r="D12" s="269">
        <f t="shared" si="1"/>
        <v>0.0846284962061898</v>
      </c>
      <c r="E12" s="769">
        <v>0.04232849620618983</v>
      </c>
      <c r="F12" s="769">
        <v>0.3154669136565696</v>
      </c>
      <c r="G12" s="9"/>
      <c r="H12" s="9"/>
      <c r="I12" s="9"/>
      <c r="J12" s="77"/>
      <c r="K12" s="77"/>
    </row>
    <row r="13" ht="12.75" customHeight="1">
      <c r="A13" s="767" t="s">
        <v>1148</v>
      </c>
      <c r="B13" s="768" t="s">
        <v>1149</v>
      </c>
      <c r="C13" s="269">
        <v>0.0637</v>
      </c>
      <c r="D13" s="269">
        <f t="shared" si="1"/>
        <v>0.1394</v>
      </c>
      <c r="E13" s="769">
        <v>0.0971</v>
      </c>
      <c r="F13" s="769">
        <v>0.35</v>
      </c>
      <c r="G13" s="9"/>
      <c r="H13" s="9"/>
      <c r="I13" s="9"/>
      <c r="J13" s="77"/>
      <c r="K13" s="77"/>
    </row>
    <row r="14" ht="12.75" customHeight="1">
      <c r="A14" s="767" t="s">
        <v>1150</v>
      </c>
      <c r="B14" s="768" t="s">
        <v>1139</v>
      </c>
      <c r="C14" s="269">
        <v>0.0306</v>
      </c>
      <c r="D14" s="269">
        <f t="shared" si="1"/>
        <v>0.0889</v>
      </c>
      <c r="E14" s="769">
        <v>0.0466</v>
      </c>
      <c r="F14" s="769">
        <v>0.18</v>
      </c>
      <c r="G14" s="9"/>
      <c r="H14" s="9"/>
      <c r="I14" s="9"/>
      <c r="J14" s="77"/>
      <c r="K14" s="77"/>
    </row>
    <row r="15" ht="12.75" customHeight="1">
      <c r="A15" s="767" t="s">
        <v>1151</v>
      </c>
      <c r="B15" s="768" t="s">
        <v>1152</v>
      </c>
      <c r="C15" s="269">
        <v>0.0187</v>
      </c>
      <c r="D15" s="269">
        <f t="shared" si="1"/>
        <v>0.0708</v>
      </c>
      <c r="E15" s="769">
        <v>0.0285</v>
      </c>
      <c r="F15" s="769">
        <v>0.22</v>
      </c>
      <c r="G15" s="9"/>
      <c r="H15" s="9"/>
      <c r="I15" s="9"/>
      <c r="J15" s="77"/>
      <c r="K15" s="77"/>
    </row>
    <row r="16" ht="12.75" customHeight="1">
      <c r="A16" s="767" t="s">
        <v>1154</v>
      </c>
      <c r="B16" s="768" t="s">
        <v>1155</v>
      </c>
      <c r="C16" s="269">
        <v>0.0</v>
      </c>
      <c r="D16" s="269">
        <f t="shared" si="1"/>
        <v>0.0423</v>
      </c>
      <c r="E16" s="769">
        <v>0.0</v>
      </c>
      <c r="F16" s="769">
        <v>0.3</v>
      </c>
      <c r="G16" s="9"/>
      <c r="H16" s="9"/>
      <c r="I16" s="9"/>
      <c r="J16" s="77"/>
      <c r="K16" s="77"/>
    </row>
    <row r="17" ht="12.75" customHeight="1">
      <c r="A17" s="767" t="s">
        <v>1156</v>
      </c>
      <c r="B17" s="768" t="s">
        <v>1157</v>
      </c>
      <c r="C17" s="269">
        <v>0.0023</v>
      </c>
      <c r="D17" s="269">
        <f t="shared" si="1"/>
        <v>0.0459</v>
      </c>
      <c r="E17" s="769">
        <v>0.0036</v>
      </c>
      <c r="F17" s="769">
        <v>0.23</v>
      </c>
      <c r="G17" s="9"/>
      <c r="H17" s="9"/>
      <c r="I17" s="9"/>
      <c r="J17" s="77"/>
      <c r="K17" s="77"/>
    </row>
    <row r="18" ht="12.75" customHeight="1">
      <c r="A18" s="767" t="s">
        <v>1160</v>
      </c>
      <c r="B18" s="768" t="s">
        <v>1152</v>
      </c>
      <c r="C18" s="269">
        <v>0.0187</v>
      </c>
      <c r="D18" s="269">
        <f t="shared" si="1"/>
        <v>0.0708</v>
      </c>
      <c r="E18" s="769">
        <v>0.0285</v>
      </c>
      <c r="F18" s="769">
        <v>0.2</v>
      </c>
      <c r="G18" s="9"/>
      <c r="H18" s="9"/>
      <c r="I18" s="9"/>
      <c r="J18" s="77"/>
      <c r="K18" s="77"/>
    </row>
    <row r="19" ht="12.75" customHeight="1">
      <c r="A19" s="767" t="s">
        <v>1161</v>
      </c>
      <c r="B19" s="768" t="s">
        <v>1162</v>
      </c>
      <c r="C19" s="269">
        <v>0.0383</v>
      </c>
      <c r="D19" s="269">
        <f t="shared" si="1"/>
        <v>0.1006</v>
      </c>
      <c r="E19" s="769">
        <v>0.0583</v>
      </c>
      <c r="F19" s="769">
        <v>0.0</v>
      </c>
      <c r="G19" s="9"/>
      <c r="H19" s="9"/>
      <c r="I19" s="9"/>
      <c r="J19" s="77"/>
      <c r="K19" s="77"/>
    </row>
    <row r="20" ht="12.75" customHeight="1">
      <c r="A20" s="767" t="s">
        <v>1164</v>
      </c>
      <c r="B20" s="768" t="s">
        <v>1165</v>
      </c>
      <c r="C20" s="269">
        <v>0.0467</v>
      </c>
      <c r="D20" s="269">
        <f t="shared" si="1"/>
        <v>0.1135</v>
      </c>
      <c r="E20" s="769">
        <v>0.0712</v>
      </c>
      <c r="F20" s="769">
        <v>0.0</v>
      </c>
      <c r="G20" s="9"/>
      <c r="H20" s="9"/>
      <c r="I20" s="9"/>
      <c r="J20" s="77"/>
      <c r="K20" s="77"/>
    </row>
    <row r="21" ht="12.75" customHeight="1">
      <c r="A21" s="767" t="s">
        <v>1166</v>
      </c>
      <c r="B21" s="768" t="s">
        <v>1165</v>
      </c>
      <c r="C21" s="269">
        <v>0.0467</v>
      </c>
      <c r="D21" s="269">
        <f t="shared" si="1"/>
        <v>0.1135</v>
      </c>
      <c r="E21" s="769">
        <v>0.0712</v>
      </c>
      <c r="F21" s="769">
        <v>0.275</v>
      </c>
      <c r="G21" s="9"/>
      <c r="H21" s="9"/>
      <c r="I21" s="9"/>
      <c r="J21" s="77"/>
      <c r="K21" s="77"/>
    </row>
    <row r="22" ht="12.75" customHeight="1">
      <c r="A22" s="767" t="s">
        <v>1167</v>
      </c>
      <c r="B22" s="768" t="s">
        <v>1165</v>
      </c>
      <c r="C22" s="269">
        <v>0.0467</v>
      </c>
      <c r="D22" s="269">
        <f t="shared" si="1"/>
        <v>0.1135</v>
      </c>
      <c r="E22" s="769">
        <v>0.0712</v>
      </c>
      <c r="F22" s="769">
        <v>0.09</v>
      </c>
      <c r="G22" s="9"/>
      <c r="H22" s="9"/>
      <c r="I22" s="9"/>
      <c r="J22" s="77"/>
      <c r="K22" s="77"/>
    </row>
    <row r="23" ht="12.75" customHeight="1">
      <c r="A23" s="767" t="s">
        <v>1168</v>
      </c>
      <c r="B23" s="768" t="s">
        <v>1169</v>
      </c>
      <c r="C23" s="269">
        <v>0.175</v>
      </c>
      <c r="D23" s="269">
        <f t="shared" si="1"/>
        <v>0.3089</v>
      </c>
      <c r="E23" s="769">
        <v>0.2666</v>
      </c>
      <c r="F23" s="769">
        <v>0.25</v>
      </c>
      <c r="G23" s="9"/>
      <c r="H23" s="9"/>
      <c r="I23" s="9"/>
      <c r="J23" s="77"/>
      <c r="K23" s="77"/>
    </row>
    <row r="24" ht="12.75" customHeight="1">
      <c r="A24" s="767" t="s">
        <v>1170</v>
      </c>
      <c r="B24" s="768" t="s">
        <v>1171</v>
      </c>
      <c r="C24" s="269">
        <v>0.0051</v>
      </c>
      <c r="D24" s="269">
        <f t="shared" si="1"/>
        <v>0.0501</v>
      </c>
      <c r="E24" s="769">
        <v>0.0078</v>
      </c>
      <c r="F24" s="769">
        <v>0.25</v>
      </c>
      <c r="G24" s="9"/>
      <c r="H24" s="9"/>
      <c r="I24" s="9"/>
      <c r="J24" s="77"/>
      <c r="K24" s="77"/>
    </row>
    <row r="25" ht="12.75" customHeight="1">
      <c r="A25" s="767" t="s">
        <v>1172</v>
      </c>
      <c r="B25" s="768" t="s">
        <v>1149</v>
      </c>
      <c r="C25" s="269">
        <v>0.0637</v>
      </c>
      <c r="D25" s="269">
        <f t="shared" si="1"/>
        <v>0.1394</v>
      </c>
      <c r="E25" s="769">
        <v>0.0971</v>
      </c>
      <c r="F25" s="769">
        <v>0.0</v>
      </c>
      <c r="G25" s="9"/>
      <c r="H25" s="9"/>
      <c r="I25" s="9"/>
      <c r="J25" s="77"/>
      <c r="K25" s="77"/>
    </row>
    <row r="26" ht="12.75" customHeight="1">
      <c r="A26" s="767" t="s">
        <v>1173</v>
      </c>
      <c r="B26" s="768" t="s">
        <v>1162</v>
      </c>
      <c r="C26" s="269">
        <v>0.0383</v>
      </c>
      <c r="D26" s="269">
        <f t="shared" si="1"/>
        <v>0.1006</v>
      </c>
      <c r="E26" s="769">
        <v>0.0583</v>
      </c>
      <c r="F26" s="769">
        <v>0.3</v>
      </c>
      <c r="G26" s="9"/>
      <c r="H26" s="9"/>
      <c r="I26" s="9"/>
      <c r="J26" s="77"/>
      <c r="K26" s="77"/>
    </row>
    <row r="27" ht="12.75" customHeight="1">
      <c r="A27" s="767" t="s">
        <v>1174</v>
      </c>
      <c r="B27" s="768" t="s">
        <v>1175</v>
      </c>
      <c r="C27" s="269">
        <v>0.0072</v>
      </c>
      <c r="D27" s="269">
        <f t="shared" si="1"/>
        <v>0.0533</v>
      </c>
      <c r="E27" s="769">
        <v>0.011</v>
      </c>
      <c r="F27" s="769">
        <v>0.0</v>
      </c>
      <c r="G27" s="9"/>
      <c r="H27" s="9"/>
      <c r="I27" s="9"/>
      <c r="J27" s="77"/>
      <c r="K27" s="77"/>
    </row>
    <row r="28" ht="12.75" customHeight="1">
      <c r="A28" s="767" t="s">
        <v>1176</v>
      </c>
      <c r="B28" s="768" t="s">
        <v>1177</v>
      </c>
      <c r="C28" s="269">
        <v>0.102</v>
      </c>
      <c r="D28" s="269">
        <f t="shared" si="1"/>
        <v>0.1977</v>
      </c>
      <c r="E28" s="769">
        <v>0.1554</v>
      </c>
      <c r="F28" s="769">
        <v>0.25</v>
      </c>
      <c r="G28" s="9"/>
      <c r="H28" s="9"/>
      <c r="I28" s="9"/>
      <c r="J28" s="77"/>
      <c r="K28" s="77"/>
    </row>
    <row r="29" ht="12.75" customHeight="1">
      <c r="A29" s="767" t="s">
        <v>1178</v>
      </c>
      <c r="B29" s="768" t="s">
        <v>1145</v>
      </c>
      <c r="C29" s="269">
        <v>0.0552</v>
      </c>
      <c r="D29" s="269">
        <f t="shared" si="1"/>
        <v>0.1264</v>
      </c>
      <c r="E29" s="769">
        <v>0.0841</v>
      </c>
      <c r="F29" s="769">
        <v>0.1</v>
      </c>
      <c r="G29" s="9"/>
      <c r="H29" s="9"/>
      <c r="I29" s="9"/>
      <c r="J29" s="77"/>
      <c r="K29" s="77"/>
    </row>
    <row r="30" ht="12.75" customHeight="1">
      <c r="A30" s="767" t="s">
        <v>1179</v>
      </c>
      <c r="B30" s="768" t="s">
        <v>1143</v>
      </c>
      <c r="C30" s="269">
        <v>0.0136</v>
      </c>
      <c r="D30" s="269">
        <f t="shared" si="1"/>
        <v>0.063</v>
      </c>
      <c r="E30" s="769">
        <v>0.0207</v>
      </c>
      <c r="F30" s="769">
        <v>0.22</v>
      </c>
      <c r="G30" s="9"/>
      <c r="H30" s="9"/>
      <c r="I30" s="9"/>
      <c r="J30" s="77"/>
      <c r="K30" s="77"/>
    </row>
    <row r="31" ht="12.75" customHeight="1">
      <c r="A31" s="767" t="s">
        <v>952</v>
      </c>
      <c r="B31" s="768" t="s">
        <v>1181</v>
      </c>
      <c r="C31" s="269">
        <v>0.0213</v>
      </c>
      <c r="D31" s="269">
        <f t="shared" si="1"/>
        <v>0.0747</v>
      </c>
      <c r="E31" s="769">
        <v>0.0324</v>
      </c>
      <c r="F31" s="769">
        <v>0.34</v>
      </c>
      <c r="G31" s="9"/>
      <c r="H31" s="9"/>
      <c r="I31" s="9"/>
      <c r="J31" s="77"/>
      <c r="K31" s="77"/>
    </row>
    <row r="32" ht="12.75" customHeight="1">
      <c r="A32" s="767" t="s">
        <v>1183</v>
      </c>
      <c r="B32" s="768" t="s">
        <v>1141</v>
      </c>
      <c r="C32" s="269">
        <v>0.04915183026184869</v>
      </c>
      <c r="D32" s="269">
        <f t="shared" si="1"/>
        <v>0.117176823349771</v>
      </c>
      <c r="E32" s="769">
        <v>0.074876823349771</v>
      </c>
      <c r="F32" s="769">
        <v>0.2652654754337485</v>
      </c>
      <c r="G32" s="9"/>
      <c r="H32" s="9"/>
      <c r="I32" s="9"/>
      <c r="J32" s="77"/>
      <c r="K32" s="77"/>
    </row>
    <row r="33" ht="12.75" customHeight="1">
      <c r="A33" s="767" t="s">
        <v>1184</v>
      </c>
      <c r="B33" s="768" t="s">
        <v>1141</v>
      </c>
      <c r="C33" s="269">
        <v>0.0051</v>
      </c>
      <c r="D33" s="269">
        <f t="shared" si="1"/>
        <v>0.0501</v>
      </c>
      <c r="E33" s="769">
        <v>0.0078</v>
      </c>
      <c r="F33" s="769">
        <v>0.0502</v>
      </c>
      <c r="G33" s="9"/>
      <c r="H33" s="9"/>
      <c r="I33" s="9"/>
      <c r="J33" s="77"/>
      <c r="K33" s="77"/>
    </row>
    <row r="34" ht="12.75" customHeight="1">
      <c r="A34" s="767" t="s">
        <v>1185</v>
      </c>
      <c r="B34" s="768" t="s">
        <v>1143</v>
      </c>
      <c r="C34" s="269">
        <v>0.0136</v>
      </c>
      <c r="D34" s="269">
        <f t="shared" si="1"/>
        <v>0.063</v>
      </c>
      <c r="E34" s="769">
        <v>0.0207</v>
      </c>
      <c r="F34" s="769">
        <v>0.1</v>
      </c>
      <c r="G34" s="9"/>
      <c r="H34" s="9"/>
      <c r="I34" s="9"/>
      <c r="J34" s="77"/>
      <c r="K34" s="77"/>
    </row>
    <row r="35" ht="12.75" customHeight="1">
      <c r="A35" s="767" t="s">
        <v>1186</v>
      </c>
      <c r="B35" s="768" t="s">
        <v>1149</v>
      </c>
      <c r="C35" s="269">
        <v>0.0637</v>
      </c>
      <c r="D35" s="269">
        <f t="shared" si="1"/>
        <v>0.1394</v>
      </c>
      <c r="E35" s="769">
        <v>0.0971</v>
      </c>
      <c r="F35" s="769">
        <v>0.275</v>
      </c>
      <c r="G35" s="9"/>
      <c r="H35" s="9"/>
      <c r="I35" s="9"/>
      <c r="J35" s="77"/>
      <c r="K35" s="77"/>
    </row>
    <row r="36" ht="12.75" customHeight="1">
      <c r="A36" s="767" t="s">
        <v>1188</v>
      </c>
      <c r="B36" s="768" t="s">
        <v>1165</v>
      </c>
      <c r="C36" s="269">
        <v>0.0467</v>
      </c>
      <c r="D36" s="269">
        <f t="shared" si="1"/>
        <v>0.1135</v>
      </c>
      <c r="E36" s="769">
        <v>0.0712</v>
      </c>
      <c r="F36" s="769">
        <v>0.2</v>
      </c>
      <c r="G36" s="9"/>
      <c r="H36" s="9"/>
      <c r="I36" s="9"/>
      <c r="J36" s="77"/>
      <c r="K36" s="77"/>
    </row>
    <row r="37" ht="12.75" customHeight="1">
      <c r="A37" s="767" t="s">
        <v>1190</v>
      </c>
      <c r="B37" s="768" t="s">
        <v>1149</v>
      </c>
      <c r="C37" s="269">
        <v>0.0637</v>
      </c>
      <c r="D37" s="269">
        <f t="shared" si="1"/>
        <v>0.1394</v>
      </c>
      <c r="E37" s="769">
        <v>0.0971</v>
      </c>
      <c r="F37" s="769">
        <v>0.33</v>
      </c>
      <c r="G37" s="9"/>
      <c r="H37" s="9"/>
      <c r="I37" s="9"/>
      <c r="J37" s="77"/>
      <c r="K37" s="77"/>
    </row>
    <row r="38" ht="12.75" customHeight="1">
      <c r="A38" s="767" t="s">
        <v>1192</v>
      </c>
      <c r="B38" s="768" t="s">
        <v>1155</v>
      </c>
      <c r="C38" s="269">
        <v>0.0</v>
      </c>
      <c r="D38" s="269">
        <f t="shared" si="1"/>
        <v>0.0423</v>
      </c>
      <c r="E38" s="769">
        <v>0.0</v>
      </c>
      <c r="F38" s="769">
        <v>0.2614</v>
      </c>
      <c r="G38" s="9"/>
      <c r="H38" s="9"/>
      <c r="I38" s="9"/>
      <c r="J38" s="77"/>
      <c r="K38" s="77"/>
    </row>
    <row r="39" ht="12.75" customHeight="1">
      <c r="A39" s="767" t="s">
        <v>1193</v>
      </c>
      <c r="B39" s="768" t="s">
        <v>1165</v>
      </c>
      <c r="C39" s="269">
        <v>0.0467</v>
      </c>
      <c r="D39" s="269">
        <f t="shared" si="1"/>
        <v>0.1135</v>
      </c>
      <c r="E39" s="769">
        <v>0.0712</v>
      </c>
      <c r="F39" s="769">
        <v>0.2686</v>
      </c>
      <c r="G39" s="9"/>
      <c r="H39" s="9"/>
      <c r="I39" s="9"/>
      <c r="J39" s="77"/>
      <c r="K39" s="77"/>
    </row>
    <row r="40" ht="12.75" customHeight="1">
      <c r="A40" s="767" t="s">
        <v>1194</v>
      </c>
      <c r="B40" s="768" t="s">
        <v>1141</v>
      </c>
      <c r="C40" s="269">
        <v>0.0051</v>
      </c>
      <c r="D40" s="269">
        <f t="shared" si="1"/>
        <v>0.0501</v>
      </c>
      <c r="E40" s="769">
        <v>0.0078</v>
      </c>
      <c r="F40" s="769">
        <v>0.0</v>
      </c>
      <c r="G40" s="9"/>
      <c r="H40" s="9"/>
      <c r="I40" s="9"/>
      <c r="J40" s="77"/>
      <c r="K40" s="77"/>
    </row>
    <row r="41" ht="12.75" customHeight="1">
      <c r="A41" s="767" t="s">
        <v>1195</v>
      </c>
      <c r="B41" s="768" t="s">
        <v>1141</v>
      </c>
      <c r="C41" s="269">
        <v>0.006804264459189996</v>
      </c>
      <c r="D41" s="269">
        <f t="shared" si="1"/>
        <v>0.0526654676788577</v>
      </c>
      <c r="E41" s="769">
        <v>0.01036546767885774</v>
      </c>
      <c r="F41" s="769">
        <v>0.2555723115658393</v>
      </c>
      <c r="G41" s="9"/>
      <c r="H41" s="9"/>
      <c r="I41" s="9"/>
      <c r="J41" s="77"/>
      <c r="K41" s="77"/>
    </row>
    <row r="42" ht="12.75" customHeight="1">
      <c r="A42" s="767" t="s">
        <v>1196</v>
      </c>
      <c r="B42" s="768" t="s">
        <v>1175</v>
      </c>
      <c r="C42" s="269">
        <v>0.0072</v>
      </c>
      <c r="D42" s="269">
        <f t="shared" si="1"/>
        <v>0.0533</v>
      </c>
      <c r="E42" s="769">
        <v>0.011</v>
      </c>
      <c r="F42" s="769">
        <v>0.27</v>
      </c>
      <c r="G42" s="9"/>
      <c r="H42" s="9"/>
      <c r="I42" s="9"/>
      <c r="J42" s="77"/>
      <c r="K42" s="77"/>
    </row>
    <row r="43" ht="12.75" customHeight="1">
      <c r="A43" s="767" t="s">
        <v>949</v>
      </c>
      <c r="B43" s="768" t="s">
        <v>1197</v>
      </c>
      <c r="C43" s="269">
        <v>0.006</v>
      </c>
      <c r="D43" s="269">
        <f t="shared" si="1"/>
        <v>0.0514</v>
      </c>
      <c r="E43" s="769">
        <v>0.0091</v>
      </c>
      <c r="F43" s="769">
        <v>0.25</v>
      </c>
      <c r="G43" s="9"/>
      <c r="H43" s="9"/>
      <c r="I43" s="9"/>
      <c r="J43" s="77"/>
      <c r="K43" s="77"/>
    </row>
    <row r="44" ht="12.75" customHeight="1">
      <c r="A44" s="767" t="s">
        <v>1198</v>
      </c>
      <c r="B44" s="768" t="s">
        <v>1152</v>
      </c>
      <c r="C44" s="269">
        <v>0.0187</v>
      </c>
      <c r="D44" s="269">
        <f t="shared" si="1"/>
        <v>0.0708</v>
      </c>
      <c r="E44" s="769">
        <v>0.0285</v>
      </c>
      <c r="F44" s="769">
        <v>0.35</v>
      </c>
      <c r="G44" s="9"/>
      <c r="H44" s="9"/>
      <c r="I44" s="9"/>
      <c r="J44" s="77"/>
      <c r="K44" s="77"/>
    </row>
    <row r="45" ht="12.75" customHeight="1">
      <c r="A45" s="767" t="s">
        <v>1199</v>
      </c>
      <c r="B45" s="768" t="s">
        <v>1145</v>
      </c>
      <c r="C45" s="269">
        <v>0.0552</v>
      </c>
      <c r="D45" s="269">
        <f t="shared" si="1"/>
        <v>0.1264</v>
      </c>
      <c r="E45" s="769">
        <v>0.0841</v>
      </c>
      <c r="F45" s="769">
        <v>0.3</v>
      </c>
      <c r="G45" s="9"/>
      <c r="H45" s="9"/>
      <c r="I45" s="9"/>
      <c r="J45" s="77"/>
      <c r="K45" s="77"/>
    </row>
    <row r="46" ht="12.75" customHeight="1">
      <c r="A46" s="767" t="s">
        <v>1202</v>
      </c>
      <c r="B46" s="768" t="s">
        <v>1203</v>
      </c>
      <c r="C46" s="269">
        <v>0.0765</v>
      </c>
      <c r="D46" s="269">
        <f t="shared" si="1"/>
        <v>0.1589</v>
      </c>
      <c r="E46" s="769">
        <v>0.1166</v>
      </c>
      <c r="F46" s="769">
        <v>0.2686</v>
      </c>
      <c r="G46" s="9"/>
      <c r="H46" s="9"/>
      <c r="I46" s="9"/>
      <c r="J46" s="77"/>
      <c r="K46" s="77"/>
    </row>
    <row r="47" ht="12.75" customHeight="1">
      <c r="A47" s="767" t="s">
        <v>1207</v>
      </c>
      <c r="B47" s="768" t="s">
        <v>1162</v>
      </c>
      <c r="C47" s="269">
        <v>0.0383</v>
      </c>
      <c r="D47" s="269">
        <f t="shared" si="1"/>
        <v>0.1006</v>
      </c>
      <c r="E47" s="769">
        <v>0.0583</v>
      </c>
      <c r="F47" s="769">
        <v>0.2</v>
      </c>
      <c r="G47" s="9"/>
      <c r="H47" s="9"/>
      <c r="I47" s="9"/>
      <c r="J47" s="77"/>
      <c r="K47" s="77"/>
    </row>
    <row r="48" ht="12.75" customHeight="1">
      <c r="A48" s="767" t="s">
        <v>1208</v>
      </c>
      <c r="B48" s="768" t="s">
        <v>1209</v>
      </c>
      <c r="C48" s="269">
        <v>0.0256</v>
      </c>
      <c r="D48" s="269">
        <f t="shared" si="1"/>
        <v>0.0813</v>
      </c>
      <c r="E48" s="769">
        <v>0.039</v>
      </c>
      <c r="F48" s="769">
        <v>0.3</v>
      </c>
      <c r="G48" s="9"/>
      <c r="H48" s="9"/>
      <c r="I48" s="9"/>
      <c r="J48" s="77"/>
      <c r="K48" s="77"/>
    </row>
    <row r="49" ht="12.75" customHeight="1">
      <c r="A49" s="767" t="s">
        <v>1211</v>
      </c>
      <c r="B49" s="768" t="s">
        <v>1212</v>
      </c>
      <c r="C49" s="269">
        <v>0.0102</v>
      </c>
      <c r="D49" s="269">
        <f t="shared" si="1"/>
        <v>0.0578</v>
      </c>
      <c r="E49" s="769">
        <v>0.0155</v>
      </c>
      <c r="F49" s="769">
        <v>0.18</v>
      </c>
      <c r="G49" s="9"/>
      <c r="H49" s="9"/>
      <c r="I49" s="9"/>
      <c r="J49" s="77"/>
      <c r="K49" s="77"/>
    </row>
    <row r="50" ht="12.75" customHeight="1">
      <c r="A50" s="767" t="s">
        <v>1214</v>
      </c>
      <c r="B50" s="768" t="s">
        <v>1177</v>
      </c>
      <c r="C50" s="269">
        <v>0.102</v>
      </c>
      <c r="D50" s="269">
        <f t="shared" si="1"/>
        <v>0.1977</v>
      </c>
      <c r="E50" s="769">
        <v>0.1554</v>
      </c>
      <c r="F50" s="769">
        <v>0.35</v>
      </c>
      <c r="G50" s="9"/>
      <c r="H50" s="9"/>
      <c r="I50" s="9"/>
      <c r="J50" s="77"/>
      <c r="K50" s="77"/>
    </row>
    <row r="51" ht="12.75" customHeight="1">
      <c r="A51" s="779" t="s">
        <v>1216</v>
      </c>
      <c r="B51" s="768" t="s">
        <v>1141</v>
      </c>
      <c r="C51" s="269">
        <v>0.02778594186678078</v>
      </c>
      <c r="D51" s="269">
        <f t="shared" si="1"/>
        <v>0.0846284962061898</v>
      </c>
      <c r="E51" s="769">
        <v>0.04232849620618983</v>
      </c>
      <c r="F51" s="769">
        <v>0.3154669136565696</v>
      </c>
      <c r="G51" s="9"/>
      <c r="H51" s="9"/>
      <c r="I51" s="9"/>
      <c r="J51" s="77"/>
      <c r="K51" s="77"/>
    </row>
    <row r="52" ht="12.75" customHeight="1">
      <c r="A52" s="767" t="s">
        <v>1218</v>
      </c>
      <c r="B52" s="768" t="s">
        <v>1212</v>
      </c>
      <c r="C52" s="269">
        <v>0.0102</v>
      </c>
      <c r="D52" s="269">
        <f t="shared" si="1"/>
        <v>0.0578</v>
      </c>
      <c r="E52" s="769">
        <v>0.0155</v>
      </c>
      <c r="F52" s="769">
        <v>0.125</v>
      </c>
      <c r="G52" s="9"/>
      <c r="H52" s="9"/>
      <c r="I52" s="9"/>
      <c r="J52" s="77"/>
      <c r="K52" s="77"/>
    </row>
    <row r="53" ht="12.75" customHeight="1">
      <c r="A53" s="767" t="s">
        <v>1219</v>
      </c>
      <c r="B53" s="768" t="s">
        <v>1171</v>
      </c>
      <c r="C53" s="269">
        <v>0.0051</v>
      </c>
      <c r="D53" s="269">
        <f t="shared" si="1"/>
        <v>0.0501</v>
      </c>
      <c r="E53" s="769">
        <v>0.0078</v>
      </c>
      <c r="F53" s="769">
        <v>0.21</v>
      </c>
      <c r="G53" s="9"/>
      <c r="H53" s="9"/>
      <c r="I53" s="9"/>
      <c r="J53" s="77"/>
      <c r="K53" s="77"/>
    </row>
    <row r="54" ht="12.75" customHeight="1">
      <c r="A54" s="767" t="s">
        <v>1220</v>
      </c>
      <c r="B54" s="768" t="s">
        <v>1155</v>
      </c>
      <c r="C54" s="269">
        <v>0.0</v>
      </c>
      <c r="D54" s="269">
        <f t="shared" si="1"/>
        <v>0.0423</v>
      </c>
      <c r="E54" s="769">
        <v>0.0</v>
      </c>
      <c r="F54" s="769">
        <v>0.22</v>
      </c>
      <c r="G54" s="9"/>
      <c r="H54" s="9"/>
      <c r="I54" s="9"/>
      <c r="J54" s="77"/>
      <c r="K54" s="77"/>
    </row>
    <row r="55" ht="12.75" customHeight="1">
      <c r="A55" s="767" t="s">
        <v>1221</v>
      </c>
      <c r="B55" s="768" t="s">
        <v>1209</v>
      </c>
      <c r="C55" s="269">
        <v>0.0256</v>
      </c>
      <c r="D55" s="269">
        <f t="shared" si="1"/>
        <v>0.0813</v>
      </c>
      <c r="E55" s="769">
        <v>0.039</v>
      </c>
      <c r="F55" s="769">
        <v>0.27</v>
      </c>
      <c r="G55" s="9"/>
      <c r="H55" s="9"/>
      <c r="I55" s="9"/>
      <c r="J55" s="77"/>
      <c r="K55" s="77"/>
    </row>
    <row r="56" ht="12.75" customHeight="1">
      <c r="A56" s="767" t="s">
        <v>1222</v>
      </c>
      <c r="B56" s="768" t="s">
        <v>1223</v>
      </c>
      <c r="C56" s="269">
        <v>0.085</v>
      </c>
      <c r="D56" s="269">
        <f t="shared" si="1"/>
        <v>0.1718</v>
      </c>
      <c r="E56" s="769">
        <v>0.1295</v>
      </c>
      <c r="F56" s="769">
        <v>0.25</v>
      </c>
      <c r="G56" s="9"/>
      <c r="H56" s="9"/>
      <c r="I56" s="9"/>
      <c r="J56" s="77"/>
      <c r="K56" s="77"/>
    </row>
    <row r="57" ht="12.75" customHeight="1">
      <c r="A57" s="767" t="s">
        <v>1224</v>
      </c>
      <c r="B57" s="768" t="s">
        <v>1149</v>
      </c>
      <c r="C57" s="269">
        <v>0.0637</v>
      </c>
      <c r="D57" s="269">
        <f t="shared" si="1"/>
        <v>0.1394</v>
      </c>
      <c r="E57" s="769">
        <v>0.0971</v>
      </c>
      <c r="F57" s="769">
        <v>0.225</v>
      </c>
      <c r="G57" s="9"/>
      <c r="H57" s="9"/>
      <c r="I57" s="9"/>
      <c r="J57" s="77"/>
      <c r="K57" s="77"/>
    </row>
    <row r="58" ht="12.75" customHeight="1">
      <c r="A58" s="767" t="s">
        <v>1225</v>
      </c>
      <c r="B58" s="768" t="s">
        <v>1145</v>
      </c>
      <c r="C58" s="269">
        <v>0.0552</v>
      </c>
      <c r="D58" s="269">
        <f t="shared" si="1"/>
        <v>0.1264</v>
      </c>
      <c r="E58" s="769">
        <v>0.0841</v>
      </c>
      <c r="F58" s="769">
        <v>0.3</v>
      </c>
      <c r="G58" s="9"/>
      <c r="H58" s="9"/>
      <c r="I58" s="9"/>
      <c r="J58" s="77"/>
      <c r="K58" s="77"/>
    </row>
    <row r="59" ht="12.75" customHeight="1">
      <c r="A59" s="767" t="s">
        <v>1226</v>
      </c>
      <c r="B59" s="768" t="s">
        <v>1197</v>
      </c>
      <c r="C59" s="269">
        <v>0.006</v>
      </c>
      <c r="D59" s="269">
        <f t="shared" si="1"/>
        <v>0.0514</v>
      </c>
      <c r="E59" s="769">
        <v>0.0091</v>
      </c>
      <c r="F59" s="769">
        <v>0.2</v>
      </c>
      <c r="G59" s="9"/>
      <c r="H59" s="9"/>
      <c r="I59" s="9"/>
      <c r="J59" s="77"/>
      <c r="K59" s="77"/>
    </row>
    <row r="60" ht="12.75" customHeight="1">
      <c r="A60" s="767" t="s">
        <v>1227</v>
      </c>
      <c r="B60" s="768" t="s">
        <v>1203</v>
      </c>
      <c r="C60" s="269">
        <v>0.0765</v>
      </c>
      <c r="D60" s="269">
        <f t="shared" si="1"/>
        <v>0.1589</v>
      </c>
      <c r="E60" s="769">
        <v>0.1166</v>
      </c>
      <c r="F60" s="769">
        <v>0.3</v>
      </c>
      <c r="G60" s="9"/>
      <c r="H60" s="9"/>
      <c r="I60" s="9"/>
      <c r="J60" s="77"/>
      <c r="K60" s="77"/>
    </row>
    <row r="61" ht="12.75" customHeight="1">
      <c r="A61" s="767" t="s">
        <v>1228</v>
      </c>
      <c r="B61" s="768" t="s">
        <v>1141</v>
      </c>
      <c r="C61" s="784">
        <v>0.02778594186678078</v>
      </c>
      <c r="D61" s="269">
        <f t="shared" si="1"/>
        <v>0.0846284962061898</v>
      </c>
      <c r="E61" s="769">
        <v>0.04232849620618983</v>
      </c>
      <c r="F61" s="769">
        <v>0.3154669136565696</v>
      </c>
      <c r="G61" s="9"/>
      <c r="H61" s="9"/>
      <c r="I61" s="9"/>
      <c r="J61" s="77"/>
      <c r="K61" s="77"/>
    </row>
    <row r="62" ht="12.75" customHeight="1">
      <c r="A62" s="767" t="s">
        <v>1229</v>
      </c>
      <c r="B62" s="768" t="s">
        <v>1162</v>
      </c>
      <c r="C62" s="269">
        <v>0.0383</v>
      </c>
      <c r="D62" s="269">
        <f t="shared" si="1"/>
        <v>0.1006</v>
      </c>
      <c r="E62" s="769">
        <v>0.0583</v>
      </c>
      <c r="F62" s="769">
        <v>0.25</v>
      </c>
      <c r="G62" s="9"/>
      <c r="H62" s="9"/>
      <c r="I62" s="9"/>
      <c r="J62" s="77"/>
      <c r="K62" s="77"/>
    </row>
    <row r="63" ht="12.75" customHeight="1">
      <c r="A63" s="767" t="s">
        <v>1230</v>
      </c>
      <c r="B63" s="768" t="s">
        <v>1157</v>
      </c>
      <c r="C63" s="269">
        <v>0.0023</v>
      </c>
      <c r="D63" s="269">
        <f t="shared" si="1"/>
        <v>0.0459</v>
      </c>
      <c r="E63" s="769">
        <v>0.0036</v>
      </c>
      <c r="F63" s="769">
        <v>0.2</v>
      </c>
      <c r="G63" s="9"/>
      <c r="H63" s="9"/>
      <c r="I63" s="9"/>
      <c r="J63" s="77"/>
      <c r="K63" s="77"/>
    </row>
    <row r="64" ht="12.75" customHeight="1">
      <c r="A64" s="767" t="s">
        <v>946</v>
      </c>
      <c r="B64" s="768" t="s">
        <v>1171</v>
      </c>
      <c r="C64" s="269">
        <v>0.0051</v>
      </c>
      <c r="D64" s="269">
        <f t="shared" si="1"/>
        <v>0.0501</v>
      </c>
      <c r="E64" s="769">
        <v>0.0078</v>
      </c>
      <c r="F64" s="769">
        <v>0.2583</v>
      </c>
      <c r="G64" s="9"/>
      <c r="H64" s="9"/>
      <c r="I64" s="9"/>
      <c r="J64" s="77"/>
      <c r="K64" s="77"/>
    </row>
    <row r="65" ht="12.75" customHeight="1">
      <c r="A65" s="767" t="s">
        <v>1231</v>
      </c>
      <c r="B65" s="768" t="s">
        <v>1141</v>
      </c>
      <c r="C65" s="784">
        <v>0.02778594186678078</v>
      </c>
      <c r="D65" s="269">
        <f t="shared" si="1"/>
        <v>0.0846284962061898</v>
      </c>
      <c r="E65" s="769">
        <v>0.04232849620618983</v>
      </c>
      <c r="F65" s="769">
        <v>0.3154669136565696</v>
      </c>
      <c r="G65" s="9"/>
      <c r="H65" s="9"/>
      <c r="I65" s="9"/>
      <c r="J65" s="77"/>
      <c r="K65" s="77"/>
    </row>
    <row r="66" ht="12.75" customHeight="1">
      <c r="A66" s="767" t="s">
        <v>1232</v>
      </c>
      <c r="B66" s="768" t="s">
        <v>1203</v>
      </c>
      <c r="C66" s="269">
        <v>0.0765</v>
      </c>
      <c r="D66" s="269">
        <f t="shared" si="1"/>
        <v>0.1589</v>
      </c>
      <c r="E66" s="769">
        <v>0.1166</v>
      </c>
      <c r="F66" s="769">
        <v>0.3</v>
      </c>
      <c r="G66" s="9"/>
      <c r="H66" s="9"/>
      <c r="I66" s="9"/>
      <c r="J66" s="77"/>
      <c r="K66" s="77"/>
    </row>
    <row r="67" ht="12.75" customHeight="1">
      <c r="A67" s="767" t="s">
        <v>1233</v>
      </c>
      <c r="B67" s="768" t="s">
        <v>1141</v>
      </c>
      <c r="C67" s="269">
        <v>0.0467</v>
      </c>
      <c r="D67" s="269">
        <f t="shared" si="1"/>
        <v>0.1135</v>
      </c>
      <c r="E67" s="769">
        <v>0.0712</v>
      </c>
      <c r="F67" s="769">
        <v>0.1136</v>
      </c>
      <c r="G67" s="9"/>
      <c r="H67" s="9"/>
      <c r="I67" s="9"/>
      <c r="J67" s="77"/>
      <c r="K67" s="77"/>
    </row>
    <row r="68" ht="12.75" customHeight="1">
      <c r="A68" s="767" t="s">
        <v>1234</v>
      </c>
      <c r="B68" s="768" t="s">
        <v>1209</v>
      </c>
      <c r="C68" s="269">
        <v>0.0256</v>
      </c>
      <c r="D68" s="269">
        <f t="shared" si="1"/>
        <v>0.0813</v>
      </c>
      <c r="E68" s="769">
        <v>0.039</v>
      </c>
      <c r="F68" s="769">
        <v>0.15</v>
      </c>
      <c r="G68" s="9"/>
      <c r="H68" s="9"/>
      <c r="I68" s="9"/>
      <c r="J68" s="77"/>
      <c r="K68" s="77"/>
    </row>
    <row r="69" ht="12.75" customHeight="1">
      <c r="A69" s="767" t="s">
        <v>1235</v>
      </c>
      <c r="B69" s="768" t="s">
        <v>1155</v>
      </c>
      <c r="C69" s="269">
        <v>0.0</v>
      </c>
      <c r="D69" s="269">
        <f t="shared" si="1"/>
        <v>0.0423</v>
      </c>
      <c r="E69" s="769">
        <v>0.0</v>
      </c>
      <c r="F69" s="769">
        <v>0.2993</v>
      </c>
      <c r="G69" s="9"/>
      <c r="H69" s="9"/>
      <c r="I69" s="9"/>
      <c r="J69" s="77"/>
      <c r="K69" s="77"/>
    </row>
    <row r="70" ht="12.75" customHeight="1">
      <c r="A70" s="767" t="s">
        <v>1236</v>
      </c>
      <c r="B70" s="768" t="s">
        <v>1149</v>
      </c>
      <c r="C70" s="269">
        <v>0.0637</v>
      </c>
      <c r="D70" s="269">
        <f t="shared" si="1"/>
        <v>0.1394</v>
      </c>
      <c r="E70" s="769">
        <v>0.0971</v>
      </c>
      <c r="F70" s="769">
        <v>0.25</v>
      </c>
      <c r="G70" s="9"/>
      <c r="H70" s="9"/>
      <c r="I70" s="9"/>
      <c r="J70" s="77"/>
      <c r="K70" s="77"/>
    </row>
    <row r="71" ht="12.75" customHeight="1">
      <c r="A71" s="767" t="s">
        <v>1237</v>
      </c>
      <c r="B71" s="768" t="s">
        <v>1141</v>
      </c>
      <c r="C71" s="269">
        <v>0.006804264459189996</v>
      </c>
      <c r="D71" s="269">
        <f t="shared" si="1"/>
        <v>0.0526654676788577</v>
      </c>
      <c r="E71" s="769">
        <v>0.01036546767885774</v>
      </c>
      <c r="F71" s="769">
        <v>0.2555723115658393</v>
      </c>
      <c r="G71" s="9"/>
      <c r="H71" s="9"/>
      <c r="I71" s="9"/>
      <c r="J71" s="77"/>
      <c r="K71" s="77"/>
    </row>
    <row r="72" ht="12.75" customHeight="1">
      <c r="A72" s="767" t="s">
        <v>1238</v>
      </c>
      <c r="B72" s="768" t="s">
        <v>1152</v>
      </c>
      <c r="C72" s="269">
        <v>0.0187</v>
      </c>
      <c r="D72" s="269">
        <f t="shared" si="1"/>
        <v>0.0708</v>
      </c>
      <c r="E72" s="769">
        <v>0.0285</v>
      </c>
      <c r="F72" s="769">
        <v>0.22</v>
      </c>
      <c r="G72" s="9"/>
      <c r="H72" s="9"/>
      <c r="I72" s="9"/>
      <c r="J72" s="77"/>
      <c r="K72" s="77"/>
    </row>
    <row r="73" ht="12.75" customHeight="1">
      <c r="A73" s="767" t="s">
        <v>1239</v>
      </c>
      <c r="B73" s="768" t="s">
        <v>1155</v>
      </c>
      <c r="C73" s="269">
        <v>0.0</v>
      </c>
      <c r="D73" s="269">
        <f t="shared" si="1"/>
        <v>0.0423</v>
      </c>
      <c r="E73" s="769">
        <v>0.0</v>
      </c>
      <c r="F73" s="769">
        <v>0.22</v>
      </c>
      <c r="G73" s="9"/>
      <c r="H73" s="9"/>
      <c r="I73" s="9"/>
      <c r="J73" s="77"/>
      <c r="K73" s="77"/>
    </row>
    <row r="74" ht="12.75" customHeight="1">
      <c r="A74" s="767" t="s">
        <v>1240</v>
      </c>
      <c r="B74" s="768" t="s">
        <v>1181</v>
      </c>
      <c r="C74" s="269">
        <v>0.0213</v>
      </c>
      <c r="D74" s="269">
        <f t="shared" si="1"/>
        <v>0.0747</v>
      </c>
      <c r="E74" s="769">
        <v>0.0324</v>
      </c>
      <c r="F74" s="769">
        <v>0.25</v>
      </c>
      <c r="G74" s="9"/>
      <c r="H74" s="9"/>
      <c r="I74" s="9"/>
      <c r="J74" s="77"/>
      <c r="K74" s="77"/>
    </row>
    <row r="75" ht="12.75" customHeight="1">
      <c r="A75" s="767" t="s">
        <v>1241</v>
      </c>
      <c r="B75" s="768" t="s">
        <v>1197</v>
      </c>
      <c r="C75" s="269">
        <v>0.006</v>
      </c>
      <c r="D75" s="269">
        <f t="shared" si="1"/>
        <v>0.0514</v>
      </c>
      <c r="E75" s="769">
        <v>0.0091</v>
      </c>
      <c r="F75" s="769">
        <v>0.0</v>
      </c>
      <c r="G75" s="9"/>
      <c r="H75" s="9"/>
      <c r="I75" s="9"/>
      <c r="J75" s="77"/>
      <c r="K75" s="77"/>
    </row>
    <row r="76" ht="12.75" customHeight="1">
      <c r="A76" s="767" t="s">
        <v>1242</v>
      </c>
      <c r="B76" s="768" t="s">
        <v>1141</v>
      </c>
      <c r="C76" s="269">
        <v>0.0765</v>
      </c>
      <c r="D76" s="269">
        <f t="shared" si="1"/>
        <v>0.1589</v>
      </c>
      <c r="E76" s="769">
        <v>0.1166</v>
      </c>
      <c r="F76" s="769">
        <v>0.159</v>
      </c>
      <c r="G76" s="9"/>
      <c r="H76" s="9"/>
      <c r="I76" s="9"/>
      <c r="J76" s="77"/>
      <c r="K76" s="77"/>
    </row>
    <row r="77" ht="12.75" customHeight="1">
      <c r="A77" s="767" t="s">
        <v>1243</v>
      </c>
      <c r="B77" s="768" t="s">
        <v>1141</v>
      </c>
      <c r="C77" s="269">
        <v>0.0637</v>
      </c>
      <c r="D77" s="269">
        <f t="shared" si="1"/>
        <v>0.1394</v>
      </c>
      <c r="E77" s="769">
        <v>0.0971</v>
      </c>
      <c r="F77" s="769">
        <v>0.1395</v>
      </c>
      <c r="G77" s="9"/>
      <c r="H77" s="9"/>
      <c r="I77" s="9"/>
      <c r="J77" s="77"/>
      <c r="K77" s="77"/>
    </row>
    <row r="78" ht="12.75" customHeight="1">
      <c r="A78" s="767" t="s">
        <v>1244</v>
      </c>
      <c r="B78" s="768" t="s">
        <v>1141</v>
      </c>
      <c r="C78" s="269">
        <v>0.0136</v>
      </c>
      <c r="D78" s="269">
        <f t="shared" si="1"/>
        <v>0.063</v>
      </c>
      <c r="E78" s="769">
        <v>0.0207</v>
      </c>
      <c r="F78" s="769">
        <v>0.0631</v>
      </c>
      <c r="G78" s="9"/>
      <c r="H78" s="9"/>
      <c r="I78" s="9"/>
      <c r="J78" s="77"/>
      <c r="K78" s="77"/>
    </row>
    <row r="79" ht="12.75" customHeight="1">
      <c r="A79" s="767" t="s">
        <v>1245</v>
      </c>
      <c r="B79" s="768" t="s">
        <v>1141</v>
      </c>
      <c r="C79" s="269">
        <v>0.085</v>
      </c>
      <c r="D79" s="269">
        <f t="shared" si="1"/>
        <v>0.1718</v>
      </c>
      <c r="E79" s="769">
        <v>0.1295</v>
      </c>
      <c r="F79" s="769">
        <v>0.1719</v>
      </c>
      <c r="G79" s="9"/>
      <c r="H79" s="9"/>
      <c r="I79" s="9"/>
      <c r="J79" s="77"/>
      <c r="K79" s="77"/>
    </row>
    <row r="80" ht="12.75" customHeight="1">
      <c r="A80" s="767" t="s">
        <v>1246</v>
      </c>
      <c r="B80" s="768" t="s">
        <v>1162</v>
      </c>
      <c r="C80" s="269">
        <v>0.0383</v>
      </c>
      <c r="D80" s="269">
        <f t="shared" si="1"/>
        <v>0.1006</v>
      </c>
      <c r="E80" s="769">
        <v>0.0583</v>
      </c>
      <c r="F80" s="769">
        <v>0.3</v>
      </c>
      <c r="G80" s="9"/>
      <c r="H80" s="9"/>
      <c r="I80" s="9"/>
      <c r="J80" s="77"/>
      <c r="K80" s="77"/>
    </row>
    <row r="81" ht="12.75" customHeight="1">
      <c r="A81" s="767" t="s">
        <v>1247</v>
      </c>
      <c r="B81" s="768" t="s">
        <v>1171</v>
      </c>
      <c r="C81" s="269">
        <v>0.0051</v>
      </c>
      <c r="D81" s="269">
        <f t="shared" si="1"/>
        <v>0.0501</v>
      </c>
      <c r="E81" s="769">
        <v>0.0078</v>
      </c>
      <c r="F81" s="769">
        <v>0.165</v>
      </c>
      <c r="G81" s="9"/>
      <c r="H81" s="9"/>
      <c r="I81" s="9"/>
      <c r="J81" s="77"/>
      <c r="K81" s="77"/>
    </row>
    <row r="82" ht="12.75" customHeight="1">
      <c r="A82" s="767" t="s">
        <v>1248</v>
      </c>
      <c r="B82" s="768" t="s">
        <v>1249</v>
      </c>
      <c r="C82" s="269">
        <v>0.0162</v>
      </c>
      <c r="D82" s="269">
        <f t="shared" si="1"/>
        <v>0.0669</v>
      </c>
      <c r="E82" s="769">
        <v>0.0246</v>
      </c>
      <c r="F82" s="769">
        <v>0.09</v>
      </c>
      <c r="G82" s="9"/>
      <c r="H82" s="9"/>
      <c r="I82" s="9"/>
      <c r="J82" s="77"/>
      <c r="K82" s="77"/>
    </row>
    <row r="83" ht="12.75" customHeight="1">
      <c r="A83" s="767" t="s">
        <v>1250</v>
      </c>
      <c r="B83" s="768" t="s">
        <v>1197</v>
      </c>
      <c r="C83" s="269">
        <v>0.006</v>
      </c>
      <c r="D83" s="269">
        <f t="shared" si="1"/>
        <v>0.0514</v>
      </c>
      <c r="E83" s="769">
        <v>0.0091</v>
      </c>
      <c r="F83" s="769">
        <v>0.21</v>
      </c>
      <c r="G83" s="9"/>
      <c r="H83" s="9"/>
      <c r="I83" s="9"/>
      <c r="J83" s="77"/>
      <c r="K83" s="77"/>
    </row>
    <row r="84" ht="12.75" customHeight="1">
      <c r="A84" s="767" t="s">
        <v>1251</v>
      </c>
      <c r="B84" s="768" t="s">
        <v>1152</v>
      </c>
      <c r="C84" s="269">
        <v>0.0187</v>
      </c>
      <c r="D84" s="269">
        <f t="shared" si="1"/>
        <v>0.0708</v>
      </c>
      <c r="E84" s="769">
        <v>0.0285</v>
      </c>
      <c r="F84" s="769">
        <v>0.3</v>
      </c>
      <c r="G84" s="9"/>
      <c r="H84" s="9"/>
      <c r="I84" s="9"/>
      <c r="J84" s="77"/>
      <c r="K84" s="77"/>
    </row>
    <row r="85" ht="12.75" customHeight="1">
      <c r="A85" s="767" t="s">
        <v>1252</v>
      </c>
      <c r="B85" s="768" t="s">
        <v>1249</v>
      </c>
      <c r="C85" s="269">
        <v>0.0162</v>
      </c>
      <c r="D85" s="269">
        <f t="shared" si="1"/>
        <v>0.0669</v>
      </c>
      <c r="E85" s="769">
        <v>0.0246</v>
      </c>
      <c r="F85" s="769">
        <v>0.22</v>
      </c>
      <c r="G85" s="9"/>
      <c r="H85" s="9"/>
      <c r="I85" s="9"/>
      <c r="J85" s="77"/>
      <c r="K85" s="77"/>
    </row>
    <row r="86" ht="12.75" customHeight="1">
      <c r="A86" s="767" t="s">
        <v>1253</v>
      </c>
      <c r="B86" s="768" t="s">
        <v>1141</v>
      </c>
      <c r="C86" s="269">
        <v>0.0637</v>
      </c>
      <c r="D86" s="269">
        <f t="shared" si="1"/>
        <v>0.1394</v>
      </c>
      <c r="E86" s="769">
        <v>0.0971</v>
      </c>
      <c r="F86" s="769">
        <v>0.1395</v>
      </c>
      <c r="G86" s="9"/>
      <c r="H86" s="9"/>
      <c r="I86" s="9"/>
      <c r="J86" s="77"/>
      <c r="K86" s="77"/>
    </row>
    <row r="87" ht="12.75" customHeight="1">
      <c r="A87" s="767" t="s">
        <v>1254</v>
      </c>
      <c r="B87" s="768" t="s">
        <v>1149</v>
      </c>
      <c r="C87" s="269">
        <v>0.0637</v>
      </c>
      <c r="D87" s="269">
        <f t="shared" si="1"/>
        <v>0.1394</v>
      </c>
      <c r="E87" s="769">
        <v>0.0971</v>
      </c>
      <c r="F87" s="769">
        <v>0.15</v>
      </c>
      <c r="G87" s="9"/>
      <c r="H87" s="9"/>
      <c r="I87" s="9"/>
      <c r="J87" s="77"/>
      <c r="K87" s="77"/>
    </row>
    <row r="88" ht="12.75" customHeight="1">
      <c r="A88" s="767" t="s">
        <v>1255</v>
      </c>
      <c r="B88" s="768" t="s">
        <v>1171</v>
      </c>
      <c r="C88" s="269">
        <v>0.0051</v>
      </c>
      <c r="D88" s="269">
        <f t="shared" si="1"/>
        <v>0.0501</v>
      </c>
      <c r="E88" s="769">
        <v>0.0078</v>
      </c>
      <c r="F88" s="769">
        <v>0.125</v>
      </c>
      <c r="G88" s="9"/>
      <c r="H88" s="9"/>
      <c r="I88" s="9"/>
      <c r="J88" s="77"/>
      <c r="K88" s="77"/>
    </row>
    <row r="89" ht="12.75" customHeight="1">
      <c r="A89" s="767" t="s">
        <v>1256</v>
      </c>
      <c r="B89" s="768" t="s">
        <v>1171</v>
      </c>
      <c r="C89" s="269">
        <v>0.0051</v>
      </c>
      <c r="D89" s="269">
        <f t="shared" si="1"/>
        <v>0.0501</v>
      </c>
      <c r="E89" s="769">
        <v>0.0078</v>
      </c>
      <c r="F89" s="769">
        <v>0.0</v>
      </c>
      <c r="G89" s="9"/>
      <c r="H89" s="9"/>
      <c r="I89" s="9"/>
      <c r="J89" s="77"/>
      <c r="K89" s="77"/>
    </row>
    <row r="90" ht="12.75" customHeight="1">
      <c r="A90" s="767" t="s">
        <v>1257</v>
      </c>
      <c r="B90" s="768" t="s">
        <v>1143</v>
      </c>
      <c r="C90" s="269">
        <v>0.0136</v>
      </c>
      <c r="D90" s="269">
        <f t="shared" si="1"/>
        <v>0.063</v>
      </c>
      <c r="E90" s="769">
        <v>0.0207</v>
      </c>
      <c r="F90" s="769">
        <v>0.23</v>
      </c>
      <c r="G90" s="9"/>
      <c r="H90" s="9"/>
      <c r="I90" s="9"/>
      <c r="J90" s="77"/>
      <c r="K90" s="77"/>
    </row>
    <row r="91" ht="12.75" customHeight="1">
      <c r="A91" s="767" t="s">
        <v>1258</v>
      </c>
      <c r="B91" s="768" t="s">
        <v>1249</v>
      </c>
      <c r="C91" s="269">
        <v>0.0162</v>
      </c>
      <c r="D91" s="269">
        <f t="shared" si="1"/>
        <v>0.0669</v>
      </c>
      <c r="E91" s="769">
        <v>0.0246</v>
      </c>
      <c r="F91" s="769">
        <v>0.2781</v>
      </c>
      <c r="G91" s="9"/>
      <c r="H91" s="9"/>
      <c r="I91" s="9"/>
      <c r="J91" s="77"/>
      <c r="K91" s="77"/>
    </row>
    <row r="92" ht="12.75" customHeight="1">
      <c r="A92" s="767" t="s">
        <v>1259</v>
      </c>
      <c r="B92" s="768" t="s">
        <v>1209</v>
      </c>
      <c r="C92" s="269">
        <v>0.0256</v>
      </c>
      <c r="D92" s="269">
        <f t="shared" si="1"/>
        <v>0.0813</v>
      </c>
      <c r="E92" s="769">
        <v>0.039</v>
      </c>
      <c r="F92" s="769">
        <v>0.25</v>
      </c>
      <c r="G92" s="9"/>
      <c r="H92" s="9"/>
      <c r="I92" s="9"/>
      <c r="J92" s="77"/>
      <c r="K92" s="77"/>
    </row>
    <row r="93" ht="12.75" customHeight="1">
      <c r="A93" s="767" t="s">
        <v>1260</v>
      </c>
      <c r="B93" s="768" t="s">
        <v>1139</v>
      </c>
      <c r="C93" s="269">
        <v>0.0306</v>
      </c>
      <c r="D93" s="269">
        <f t="shared" si="1"/>
        <v>0.0889</v>
      </c>
      <c r="E93" s="769">
        <v>0.0466</v>
      </c>
      <c r="F93" s="769">
        <v>0.25</v>
      </c>
      <c r="G93" s="9"/>
      <c r="H93" s="9"/>
      <c r="I93" s="9"/>
      <c r="J93" s="77"/>
      <c r="K93" s="77"/>
    </row>
    <row r="94" ht="12.75" customHeight="1">
      <c r="A94" s="767" t="s">
        <v>1215</v>
      </c>
      <c r="B94" s="768" t="s">
        <v>1197</v>
      </c>
      <c r="C94" s="269">
        <v>0.006</v>
      </c>
      <c r="D94" s="269">
        <f t="shared" si="1"/>
        <v>0.0514</v>
      </c>
      <c r="E94" s="769">
        <v>0.0091</v>
      </c>
      <c r="F94" s="769">
        <v>0.2974</v>
      </c>
      <c r="G94" s="9"/>
      <c r="H94" s="9"/>
      <c r="I94" s="9"/>
      <c r="J94" s="77"/>
      <c r="K94" s="77"/>
    </row>
    <row r="95" ht="12.75" customHeight="1">
      <c r="A95" s="767" t="s">
        <v>1261</v>
      </c>
      <c r="B95" s="768" t="s">
        <v>1171</v>
      </c>
      <c r="C95" s="269">
        <v>0.0051</v>
      </c>
      <c r="D95" s="269">
        <f t="shared" si="1"/>
        <v>0.0501</v>
      </c>
      <c r="E95" s="769">
        <v>0.0078</v>
      </c>
      <c r="F95" s="769">
        <v>0.0</v>
      </c>
      <c r="G95" s="9"/>
      <c r="H95" s="9"/>
      <c r="I95" s="9"/>
      <c r="J95" s="77"/>
      <c r="K95" s="77"/>
    </row>
    <row r="96" ht="12.75" customHeight="1">
      <c r="A96" s="767" t="s">
        <v>1262</v>
      </c>
      <c r="B96" s="768" t="s">
        <v>1139</v>
      </c>
      <c r="C96" s="269">
        <v>0.0306</v>
      </c>
      <c r="D96" s="269">
        <f t="shared" si="1"/>
        <v>0.0889</v>
      </c>
      <c r="E96" s="769">
        <v>0.0466</v>
      </c>
      <c r="F96" s="769">
        <v>0.2</v>
      </c>
      <c r="G96" s="9"/>
      <c r="H96" s="9"/>
      <c r="I96" s="9"/>
      <c r="J96" s="77"/>
      <c r="K96" s="77"/>
    </row>
    <row r="97" ht="12.75" customHeight="1">
      <c r="A97" s="767" t="s">
        <v>1263</v>
      </c>
      <c r="B97" s="768" t="s">
        <v>1143</v>
      </c>
      <c r="C97" s="269">
        <v>0.0136</v>
      </c>
      <c r="D97" s="269">
        <f t="shared" si="1"/>
        <v>0.063</v>
      </c>
      <c r="E97" s="769">
        <v>0.0207</v>
      </c>
      <c r="F97" s="769">
        <v>0.2</v>
      </c>
      <c r="G97" s="9"/>
      <c r="H97" s="9"/>
      <c r="I97" s="9"/>
      <c r="J97" s="77"/>
      <c r="K97" s="77"/>
    </row>
    <row r="98" ht="12.75" customHeight="1">
      <c r="A98" s="767" t="s">
        <v>1264</v>
      </c>
      <c r="B98" s="768" t="s">
        <v>1149</v>
      </c>
      <c r="C98" s="269">
        <v>0.0637</v>
      </c>
      <c r="D98" s="269">
        <f t="shared" si="1"/>
        <v>0.1394</v>
      </c>
      <c r="E98" s="769">
        <v>0.0971</v>
      </c>
      <c r="F98" s="769">
        <v>0.3</v>
      </c>
      <c r="G98" s="9"/>
      <c r="H98" s="9"/>
      <c r="I98" s="9"/>
      <c r="J98" s="77"/>
      <c r="K98" s="77"/>
    </row>
    <row r="99" ht="12.75" customHeight="1">
      <c r="A99" s="767" t="s">
        <v>1265</v>
      </c>
      <c r="B99" s="768" t="s">
        <v>1141</v>
      </c>
      <c r="C99" s="269">
        <v>0.102</v>
      </c>
      <c r="D99" s="269">
        <f t="shared" si="1"/>
        <v>0.1977</v>
      </c>
      <c r="E99" s="769">
        <v>0.1554</v>
      </c>
      <c r="F99" s="769">
        <v>0.1978</v>
      </c>
      <c r="G99" s="9"/>
      <c r="H99" s="9"/>
      <c r="I99" s="9"/>
      <c r="J99" s="77"/>
      <c r="K99" s="77"/>
    </row>
    <row r="100" ht="12.75" customHeight="1">
      <c r="A100" s="767" t="s">
        <v>1266</v>
      </c>
      <c r="B100" s="768" t="s">
        <v>1197</v>
      </c>
      <c r="C100" s="269">
        <v>0.006</v>
      </c>
      <c r="D100" s="269">
        <f t="shared" si="1"/>
        <v>0.0514</v>
      </c>
      <c r="E100" s="769">
        <v>0.0091</v>
      </c>
      <c r="F100" s="769">
        <v>0.15</v>
      </c>
      <c r="G100" s="9"/>
      <c r="H100" s="9"/>
      <c r="I100" s="9"/>
      <c r="J100" s="77"/>
      <c r="K100" s="77"/>
    </row>
    <row r="101" ht="12.75" customHeight="1">
      <c r="A101" s="767" t="s">
        <v>1267</v>
      </c>
      <c r="B101" s="768" t="s">
        <v>1145</v>
      </c>
      <c r="C101" s="269">
        <v>0.0552</v>
      </c>
      <c r="D101" s="269">
        <f t="shared" si="1"/>
        <v>0.1264</v>
      </c>
      <c r="E101" s="769">
        <v>0.0841</v>
      </c>
      <c r="F101" s="769">
        <v>0.1</v>
      </c>
      <c r="G101" s="9"/>
      <c r="H101" s="9"/>
      <c r="I101" s="9"/>
      <c r="J101" s="77"/>
      <c r="K101" s="77"/>
    </row>
    <row r="102" ht="12.75" customHeight="1">
      <c r="A102" s="767" t="s">
        <v>1268</v>
      </c>
      <c r="B102" s="768" t="s">
        <v>1203</v>
      </c>
      <c r="C102" s="269">
        <v>0.0765</v>
      </c>
      <c r="D102" s="269">
        <f t="shared" si="1"/>
        <v>0.1589</v>
      </c>
      <c r="E102" s="769">
        <v>0.1166</v>
      </c>
      <c r="F102" s="769">
        <v>0.2</v>
      </c>
      <c r="G102" s="9"/>
      <c r="H102" s="9"/>
      <c r="I102" s="9"/>
      <c r="J102" s="77"/>
      <c r="K102" s="77"/>
    </row>
    <row r="103" ht="12.75" customHeight="1">
      <c r="A103" s="767" t="s">
        <v>1269</v>
      </c>
      <c r="B103" s="768" t="s">
        <v>1212</v>
      </c>
      <c r="C103" s="269">
        <v>0.0102</v>
      </c>
      <c r="D103" s="269">
        <f t="shared" si="1"/>
        <v>0.0578</v>
      </c>
      <c r="E103" s="769">
        <v>0.0155</v>
      </c>
      <c r="F103" s="769">
        <v>0.2</v>
      </c>
      <c r="G103" s="9"/>
      <c r="H103" s="9"/>
      <c r="I103" s="9"/>
      <c r="J103" s="77"/>
      <c r="K103" s="77"/>
    </row>
    <row r="104" ht="12.75" customHeight="1">
      <c r="A104" s="767" t="s">
        <v>1270</v>
      </c>
      <c r="B104" s="768" t="s">
        <v>1169</v>
      </c>
      <c r="C104" s="269">
        <v>0.175</v>
      </c>
      <c r="D104" s="269">
        <f t="shared" si="1"/>
        <v>0.3089</v>
      </c>
      <c r="E104" s="769">
        <v>0.2666</v>
      </c>
      <c r="F104" s="769">
        <v>0.17</v>
      </c>
      <c r="G104" s="9"/>
      <c r="H104" s="9"/>
      <c r="I104" s="9"/>
      <c r="J104" s="77"/>
      <c r="K104" s="77"/>
    </row>
    <row r="105" ht="12.75" customHeight="1">
      <c r="A105" s="767" t="s">
        <v>1271</v>
      </c>
      <c r="B105" s="768" t="s">
        <v>1141</v>
      </c>
      <c r="C105" s="269">
        <v>0.0765</v>
      </c>
      <c r="D105" s="269">
        <f t="shared" si="1"/>
        <v>0.1589</v>
      </c>
      <c r="E105" s="769">
        <v>0.1166</v>
      </c>
      <c r="F105" s="769">
        <v>0.159</v>
      </c>
      <c r="G105" s="9"/>
      <c r="H105" s="9"/>
      <c r="I105" s="9"/>
      <c r="J105" s="77"/>
      <c r="K105" s="77"/>
    </row>
    <row r="106" ht="12.75" customHeight="1">
      <c r="A106" s="767" t="s">
        <v>1272</v>
      </c>
      <c r="B106" s="768" t="s">
        <v>1141</v>
      </c>
      <c r="C106" s="269">
        <v>0.0256</v>
      </c>
      <c r="D106" s="269">
        <f t="shared" si="1"/>
        <v>0.0813</v>
      </c>
      <c r="E106" s="769">
        <v>0.039</v>
      </c>
      <c r="F106" s="769">
        <v>0.0814</v>
      </c>
      <c r="G106" s="9"/>
      <c r="H106" s="9"/>
      <c r="I106" s="9"/>
      <c r="J106" s="77"/>
      <c r="K106" s="77"/>
    </row>
    <row r="107" ht="12.75" customHeight="1">
      <c r="A107" s="767" t="s">
        <v>1273</v>
      </c>
      <c r="B107" s="768" t="s">
        <v>1155</v>
      </c>
      <c r="C107" s="269">
        <v>0.0</v>
      </c>
      <c r="D107" s="269">
        <f t="shared" si="1"/>
        <v>0.0423</v>
      </c>
      <c r="E107" s="769">
        <v>0.0</v>
      </c>
      <c r="F107" s="769">
        <v>0.125</v>
      </c>
      <c r="G107" s="9"/>
      <c r="H107" s="9"/>
      <c r="I107" s="9"/>
      <c r="J107" s="77"/>
      <c r="K107" s="77"/>
    </row>
    <row r="108" ht="12.75" customHeight="1">
      <c r="A108" s="767" t="s">
        <v>1274</v>
      </c>
      <c r="B108" s="768" t="s">
        <v>1175</v>
      </c>
      <c r="C108" s="269">
        <v>0.0072</v>
      </c>
      <c r="D108" s="269">
        <f t="shared" si="1"/>
        <v>0.0533</v>
      </c>
      <c r="E108" s="769">
        <v>0.011</v>
      </c>
      <c r="F108" s="769">
        <v>0.15</v>
      </c>
      <c r="G108" s="9"/>
      <c r="H108" s="9"/>
      <c r="I108" s="9"/>
      <c r="J108" s="77"/>
      <c r="K108" s="77"/>
    </row>
    <row r="109" ht="12.75" customHeight="1">
      <c r="A109" s="767" t="s">
        <v>1275</v>
      </c>
      <c r="B109" s="768" t="s">
        <v>1155</v>
      </c>
      <c r="C109" s="269">
        <v>0.0</v>
      </c>
      <c r="D109" s="269">
        <f t="shared" si="1"/>
        <v>0.0423</v>
      </c>
      <c r="E109" s="769">
        <v>0.0</v>
      </c>
      <c r="F109" s="769">
        <v>0.2494</v>
      </c>
      <c r="G109" s="9"/>
      <c r="H109" s="9"/>
      <c r="I109" s="9"/>
      <c r="J109" s="77"/>
      <c r="K109" s="77"/>
    </row>
    <row r="110" ht="12.75" customHeight="1">
      <c r="A110" s="767" t="s">
        <v>1276</v>
      </c>
      <c r="B110" s="768" t="s">
        <v>1171</v>
      </c>
      <c r="C110" s="269">
        <v>0.0051</v>
      </c>
      <c r="D110" s="269">
        <f t="shared" si="1"/>
        <v>0.0501</v>
      </c>
      <c r="E110" s="769">
        <v>0.0078</v>
      </c>
      <c r="F110" s="769">
        <v>0.25</v>
      </c>
      <c r="G110" s="9"/>
      <c r="H110" s="9"/>
      <c r="I110" s="9"/>
      <c r="J110" s="77"/>
      <c r="K110" s="77"/>
    </row>
    <row r="111" ht="12.75" customHeight="1">
      <c r="A111" s="767" t="s">
        <v>1277</v>
      </c>
      <c r="B111" s="768" t="s">
        <v>1139</v>
      </c>
      <c r="C111" s="269">
        <v>0.0306</v>
      </c>
      <c r="D111" s="269">
        <f t="shared" si="1"/>
        <v>0.0889</v>
      </c>
      <c r="E111" s="769">
        <v>0.0466</v>
      </c>
      <c r="F111" s="769">
        <v>0.1</v>
      </c>
      <c r="G111" s="9"/>
      <c r="H111" s="9"/>
      <c r="I111" s="9"/>
      <c r="J111" s="77"/>
      <c r="K111" s="77"/>
    </row>
    <row r="112" ht="12.75" customHeight="1">
      <c r="A112" s="767" t="s">
        <v>1278</v>
      </c>
      <c r="B112" s="768" t="s">
        <v>1141</v>
      </c>
      <c r="C112" s="269">
        <v>0.0552</v>
      </c>
      <c r="D112" s="269">
        <f t="shared" si="1"/>
        <v>0.1264</v>
      </c>
      <c r="E112" s="769">
        <v>0.0841</v>
      </c>
      <c r="F112" s="769">
        <v>0.1265</v>
      </c>
      <c r="G112" s="9"/>
      <c r="H112" s="9"/>
      <c r="I112" s="9"/>
      <c r="J112" s="77"/>
      <c r="K112" s="77"/>
    </row>
    <row r="113" ht="12.75" customHeight="1">
      <c r="A113" s="767" t="s">
        <v>1279</v>
      </c>
      <c r="B113" s="768" t="s">
        <v>1141</v>
      </c>
      <c r="C113" s="269">
        <v>0.085</v>
      </c>
      <c r="D113" s="269">
        <f t="shared" si="1"/>
        <v>0.1718</v>
      </c>
      <c r="E113" s="769">
        <v>0.1295</v>
      </c>
      <c r="F113" s="769">
        <v>0.1719</v>
      </c>
      <c r="G113" s="9"/>
      <c r="H113" s="9"/>
      <c r="I113" s="9"/>
      <c r="J113" s="77"/>
      <c r="K113" s="77"/>
    </row>
    <row r="114" ht="12.75" customHeight="1">
      <c r="A114" s="767" t="s">
        <v>1280</v>
      </c>
      <c r="B114" s="768" t="s">
        <v>1212</v>
      </c>
      <c r="C114" s="269">
        <v>0.0102</v>
      </c>
      <c r="D114" s="269">
        <f t="shared" si="1"/>
        <v>0.0578</v>
      </c>
      <c r="E114" s="769">
        <v>0.0155</v>
      </c>
      <c r="F114" s="769">
        <v>0.24</v>
      </c>
      <c r="G114" s="9"/>
      <c r="H114" s="9"/>
      <c r="I114" s="9"/>
      <c r="J114" s="77"/>
      <c r="K114" s="77"/>
    </row>
    <row r="115" ht="12.75" customHeight="1">
      <c r="A115" s="767" t="s">
        <v>1281</v>
      </c>
      <c r="B115" s="768" t="s">
        <v>1203</v>
      </c>
      <c r="C115" s="269">
        <v>0.0765</v>
      </c>
      <c r="D115" s="269">
        <f t="shared" si="1"/>
        <v>0.1589</v>
      </c>
      <c r="E115" s="769">
        <v>0.1166</v>
      </c>
      <c r="F115" s="769">
        <v>0.15</v>
      </c>
      <c r="G115" s="9"/>
      <c r="H115" s="9"/>
      <c r="I115" s="9"/>
      <c r="J115" s="77"/>
      <c r="K115" s="77"/>
    </row>
    <row r="116" ht="12.75" customHeight="1">
      <c r="A116" s="767" t="s">
        <v>1282</v>
      </c>
      <c r="B116" s="768" t="s">
        <v>1203</v>
      </c>
      <c r="C116" s="269">
        <v>0.0765</v>
      </c>
      <c r="D116" s="269">
        <f t="shared" si="1"/>
        <v>0.1589</v>
      </c>
      <c r="E116" s="769">
        <v>0.1166</v>
      </c>
      <c r="F116" s="769">
        <v>0.3</v>
      </c>
      <c r="G116" s="9"/>
      <c r="H116" s="9"/>
      <c r="I116" s="9"/>
      <c r="J116" s="77"/>
      <c r="K116" s="77"/>
    </row>
    <row r="117" ht="12.75" customHeight="1">
      <c r="A117" s="767" t="s">
        <v>1283</v>
      </c>
      <c r="B117" s="768" t="s">
        <v>1175</v>
      </c>
      <c r="C117" s="269">
        <v>0.0072</v>
      </c>
      <c r="D117" s="269">
        <f t="shared" si="1"/>
        <v>0.0533</v>
      </c>
      <c r="E117" s="769">
        <v>0.011</v>
      </c>
      <c r="F117" s="769">
        <v>0.35</v>
      </c>
      <c r="G117" s="9"/>
      <c r="H117" s="9"/>
      <c r="I117" s="9"/>
      <c r="J117" s="77"/>
      <c r="K117" s="77"/>
    </row>
    <row r="118" ht="12.75" customHeight="1">
      <c r="A118" s="767" t="s">
        <v>1284</v>
      </c>
      <c r="B118" s="768" t="s">
        <v>1141</v>
      </c>
      <c r="C118" s="269">
        <v>0.04915183026184869</v>
      </c>
      <c r="D118" s="269">
        <f t="shared" si="1"/>
        <v>0.117176823349771</v>
      </c>
      <c r="E118" s="769">
        <v>0.074876823349771</v>
      </c>
      <c r="F118" s="769">
        <v>0.2652654754337485</v>
      </c>
      <c r="G118" s="9"/>
      <c r="H118" s="9"/>
      <c r="I118" s="9"/>
      <c r="J118" s="77"/>
      <c r="K118" s="77"/>
    </row>
    <row r="119" ht="12.75" customHeight="1">
      <c r="A119" s="767" t="s">
        <v>1285</v>
      </c>
      <c r="B119" s="768" t="s">
        <v>1152</v>
      </c>
      <c r="C119" s="269">
        <v>0.0187</v>
      </c>
      <c r="D119" s="269">
        <f t="shared" si="1"/>
        <v>0.0708</v>
      </c>
      <c r="E119" s="769">
        <v>0.0285</v>
      </c>
      <c r="F119" s="769">
        <v>0.15</v>
      </c>
      <c r="G119" s="9"/>
      <c r="H119" s="9"/>
      <c r="I119" s="9"/>
      <c r="J119" s="77"/>
      <c r="K119" s="77"/>
    </row>
    <row r="120" ht="12.75" customHeight="1">
      <c r="A120" s="767" t="s">
        <v>1286</v>
      </c>
      <c r="B120" s="768" t="s">
        <v>1249</v>
      </c>
      <c r="C120" s="269">
        <v>0.0162</v>
      </c>
      <c r="D120" s="269">
        <f t="shared" si="1"/>
        <v>0.0669</v>
      </c>
      <c r="E120" s="769">
        <v>0.0246</v>
      </c>
      <c r="F120" s="769">
        <v>0.3</v>
      </c>
      <c r="G120" s="9"/>
      <c r="H120" s="9"/>
      <c r="I120" s="9"/>
      <c r="J120" s="77"/>
      <c r="K120" s="77"/>
    </row>
    <row r="121" ht="12.75" customHeight="1">
      <c r="A121" s="767" t="s">
        <v>1287</v>
      </c>
      <c r="B121" s="768" t="s">
        <v>1145</v>
      </c>
      <c r="C121" s="269">
        <v>0.0552</v>
      </c>
      <c r="D121" s="269">
        <f t="shared" si="1"/>
        <v>0.1264</v>
      </c>
      <c r="E121" s="769">
        <v>0.0841</v>
      </c>
      <c r="F121" s="769">
        <v>0.12</v>
      </c>
      <c r="G121" s="9"/>
      <c r="H121" s="9"/>
      <c r="I121" s="9"/>
      <c r="J121" s="77"/>
      <c r="K121" s="77"/>
    </row>
    <row r="122" ht="12.75" customHeight="1">
      <c r="A122" s="767" t="s">
        <v>1288</v>
      </c>
      <c r="B122" s="768" t="s">
        <v>1141</v>
      </c>
      <c r="C122" s="269">
        <v>0.0</v>
      </c>
      <c r="D122" s="269">
        <f t="shared" si="1"/>
        <v>0.0423</v>
      </c>
      <c r="E122" s="769">
        <v>0.0</v>
      </c>
      <c r="F122" s="769">
        <v>0.2</v>
      </c>
      <c r="G122" s="9"/>
      <c r="H122" s="9"/>
      <c r="I122" s="9"/>
      <c r="J122" s="77"/>
      <c r="K122" s="77"/>
    </row>
    <row r="123" ht="12.75" customHeight="1">
      <c r="A123" s="767" t="s">
        <v>1289</v>
      </c>
      <c r="B123" s="768" t="s">
        <v>1162</v>
      </c>
      <c r="C123" s="269">
        <v>0.0383</v>
      </c>
      <c r="D123" s="269">
        <f t="shared" si="1"/>
        <v>0.1006</v>
      </c>
      <c r="E123" s="769">
        <v>0.0583</v>
      </c>
      <c r="F123" s="769">
        <v>0.25</v>
      </c>
      <c r="G123" s="9"/>
      <c r="H123" s="9"/>
      <c r="I123" s="9"/>
      <c r="J123" s="77"/>
      <c r="K123" s="77"/>
    </row>
    <row r="124" ht="12.75" customHeight="1">
      <c r="A124" s="767" t="s">
        <v>1290</v>
      </c>
      <c r="B124" s="768" t="s">
        <v>1162</v>
      </c>
      <c r="C124" s="269">
        <v>0.0383</v>
      </c>
      <c r="D124" s="269">
        <f t="shared" si="1"/>
        <v>0.1006</v>
      </c>
      <c r="E124" s="769">
        <v>0.0583</v>
      </c>
      <c r="F124" s="769">
        <v>0.15</v>
      </c>
      <c r="G124" s="9"/>
      <c r="H124" s="9"/>
      <c r="I124" s="9"/>
      <c r="J124" s="77"/>
      <c r="K124" s="77"/>
    </row>
    <row r="125" ht="12.75" customHeight="1">
      <c r="A125" s="767" t="s">
        <v>1291</v>
      </c>
      <c r="B125" s="768" t="s">
        <v>1152</v>
      </c>
      <c r="C125" s="269">
        <v>0.0187</v>
      </c>
      <c r="D125" s="269">
        <f t="shared" si="1"/>
        <v>0.0708</v>
      </c>
      <c r="E125" s="769">
        <v>0.0285</v>
      </c>
      <c r="F125" s="769">
        <v>0.3</v>
      </c>
      <c r="G125" s="9"/>
      <c r="H125" s="9"/>
      <c r="I125" s="9"/>
      <c r="J125" s="77"/>
      <c r="K125" s="77"/>
    </row>
    <row r="126" ht="12.75" customHeight="1">
      <c r="A126" s="767" t="s">
        <v>1292</v>
      </c>
      <c r="B126" s="768" t="s">
        <v>1181</v>
      </c>
      <c r="C126" s="269">
        <v>0.0213</v>
      </c>
      <c r="D126" s="269">
        <f t="shared" si="1"/>
        <v>0.0747</v>
      </c>
      <c r="E126" s="769">
        <v>0.0324</v>
      </c>
      <c r="F126" s="769">
        <v>0.33</v>
      </c>
      <c r="G126" s="9"/>
      <c r="H126" s="9"/>
      <c r="I126" s="9"/>
      <c r="J126" s="77"/>
      <c r="K126" s="77"/>
    </row>
    <row r="127" ht="12.75" customHeight="1">
      <c r="A127" s="767" t="s">
        <v>1293</v>
      </c>
      <c r="B127" s="768" t="s">
        <v>1223</v>
      </c>
      <c r="C127" s="269">
        <v>0.085</v>
      </c>
      <c r="D127" s="269">
        <f t="shared" si="1"/>
        <v>0.1718</v>
      </c>
      <c r="E127" s="769">
        <v>0.1295</v>
      </c>
      <c r="F127" s="769">
        <v>0.32</v>
      </c>
      <c r="G127" s="9"/>
      <c r="H127" s="9"/>
      <c r="I127" s="9"/>
      <c r="J127" s="77"/>
      <c r="K127" s="77"/>
    </row>
    <row r="128" ht="12.75" customHeight="1">
      <c r="A128" s="767" t="s">
        <v>1294</v>
      </c>
      <c r="B128" s="768" t="s">
        <v>1141</v>
      </c>
      <c r="C128" s="269">
        <v>0.102</v>
      </c>
      <c r="D128" s="269">
        <f t="shared" si="1"/>
        <v>0.1977</v>
      </c>
      <c r="E128" s="769">
        <v>0.1554</v>
      </c>
      <c r="F128" s="769">
        <v>0.1978</v>
      </c>
      <c r="G128" s="9"/>
      <c r="H128" s="9"/>
      <c r="I128" s="9"/>
      <c r="J128" s="77"/>
      <c r="K128" s="77"/>
    </row>
    <row r="129" ht="12.75" customHeight="1">
      <c r="A129" s="767" t="s">
        <v>1295</v>
      </c>
      <c r="B129" s="768" t="s">
        <v>1162</v>
      </c>
      <c r="C129" s="269">
        <v>0.0383</v>
      </c>
      <c r="D129" s="269">
        <f t="shared" si="1"/>
        <v>0.1006</v>
      </c>
      <c r="E129" s="769">
        <v>0.0583</v>
      </c>
      <c r="F129" s="769">
        <v>0.32</v>
      </c>
      <c r="G129" s="9"/>
      <c r="H129" s="9"/>
      <c r="I129" s="9"/>
      <c r="J129" s="77"/>
      <c r="K129" s="77"/>
    </row>
    <row r="130" ht="12.75" customHeight="1">
      <c r="A130" s="785" t="s">
        <v>1296</v>
      </c>
      <c r="B130" s="768" t="s">
        <v>1139</v>
      </c>
      <c r="C130" s="269">
        <v>0.0306</v>
      </c>
      <c r="D130" s="269">
        <f t="shared" si="1"/>
        <v>0.0889</v>
      </c>
      <c r="E130" s="769">
        <v>0.0466</v>
      </c>
      <c r="F130" s="769">
        <v>0.25</v>
      </c>
      <c r="G130" s="9"/>
      <c r="H130" s="9"/>
      <c r="I130" s="9"/>
      <c r="J130" s="77"/>
      <c r="K130" s="77"/>
    </row>
    <row r="131" ht="12.75" customHeight="1">
      <c r="A131" s="767" t="s">
        <v>1297</v>
      </c>
      <c r="B131" s="768" t="s">
        <v>1155</v>
      </c>
      <c r="C131" s="269">
        <v>0.0</v>
      </c>
      <c r="D131" s="269">
        <f t="shared" si="1"/>
        <v>0.0423</v>
      </c>
      <c r="E131" s="769">
        <v>0.0</v>
      </c>
      <c r="F131" s="769">
        <v>0.258</v>
      </c>
      <c r="G131" s="9"/>
      <c r="H131" s="9"/>
      <c r="I131" s="9"/>
      <c r="J131" s="77"/>
      <c r="K131" s="77"/>
    </row>
    <row r="132" ht="12.75" customHeight="1">
      <c r="A132" s="767" t="s">
        <v>1298</v>
      </c>
      <c r="B132" s="768" t="s">
        <v>1141</v>
      </c>
      <c r="C132" s="269">
        <v>0.04915183026184869</v>
      </c>
      <c r="D132" s="269">
        <f t="shared" si="1"/>
        <v>0.117176823349771</v>
      </c>
      <c r="E132" s="769">
        <v>0.074876823349771</v>
      </c>
      <c r="F132" s="769">
        <v>0.2652654754337485</v>
      </c>
      <c r="G132" s="9"/>
      <c r="H132" s="9"/>
      <c r="I132" s="9"/>
      <c r="J132" s="77"/>
      <c r="K132" s="77"/>
    </row>
    <row r="133" ht="12.75" customHeight="1">
      <c r="A133" s="767" t="s">
        <v>1299</v>
      </c>
      <c r="B133" s="768" t="s">
        <v>1155</v>
      </c>
      <c r="C133" s="269">
        <v>0.0</v>
      </c>
      <c r="D133" s="269">
        <f t="shared" si="1"/>
        <v>0.0423</v>
      </c>
      <c r="E133" s="769">
        <v>0.0</v>
      </c>
      <c r="F133" s="769">
        <v>0.28</v>
      </c>
      <c r="G133" s="9"/>
      <c r="H133" s="9"/>
      <c r="I133" s="9"/>
      <c r="J133" s="77"/>
      <c r="K133" s="77"/>
    </row>
    <row r="134" ht="12.75" customHeight="1">
      <c r="A134" s="767" t="s">
        <v>1300</v>
      </c>
      <c r="B134" s="768" t="s">
        <v>1165</v>
      </c>
      <c r="C134" s="269">
        <v>0.0467</v>
      </c>
      <c r="D134" s="269">
        <f t="shared" si="1"/>
        <v>0.1135</v>
      </c>
      <c r="E134" s="769">
        <v>0.0712</v>
      </c>
      <c r="F134" s="769">
        <v>0.3</v>
      </c>
      <c r="G134" s="9"/>
      <c r="H134" s="9"/>
      <c r="I134" s="9"/>
      <c r="J134" s="77"/>
      <c r="K134" s="77"/>
    </row>
    <row r="135" ht="12.75" customHeight="1">
      <c r="A135" s="767" t="s">
        <v>1301</v>
      </c>
      <c r="B135" s="768" t="s">
        <v>1223</v>
      </c>
      <c r="C135" s="269">
        <v>0.085</v>
      </c>
      <c r="D135" s="269">
        <f t="shared" si="1"/>
        <v>0.1718</v>
      </c>
      <c r="E135" s="769">
        <v>0.1295</v>
      </c>
      <c r="F135" s="769">
        <v>0.3</v>
      </c>
      <c r="G135" s="9"/>
      <c r="H135" s="9"/>
      <c r="I135" s="9"/>
      <c r="J135" s="77"/>
      <c r="K135" s="77"/>
    </row>
    <row r="136" ht="12.75" customHeight="1">
      <c r="A136" s="767" t="s">
        <v>1302</v>
      </c>
      <c r="B136" s="768" t="s">
        <v>1145</v>
      </c>
      <c r="C136" s="269">
        <v>0.0552</v>
      </c>
      <c r="D136" s="269">
        <f t="shared" si="1"/>
        <v>0.1264</v>
      </c>
      <c r="E136" s="769">
        <v>0.0841</v>
      </c>
      <c r="F136" s="769">
        <v>0.3</v>
      </c>
      <c r="G136" s="9"/>
      <c r="H136" s="9"/>
      <c r="I136" s="9"/>
      <c r="J136" s="77"/>
      <c r="K136" s="77"/>
    </row>
    <row r="137" ht="12.75" customHeight="1">
      <c r="A137" s="767" t="s">
        <v>1303</v>
      </c>
      <c r="B137" s="768" t="s">
        <v>1155</v>
      </c>
      <c r="C137" s="269">
        <v>0.0</v>
      </c>
      <c r="D137" s="269">
        <f t="shared" si="1"/>
        <v>0.0423</v>
      </c>
      <c r="E137" s="769">
        <v>0.0</v>
      </c>
      <c r="F137" s="769">
        <v>0.22</v>
      </c>
      <c r="G137" s="9"/>
      <c r="H137" s="9"/>
      <c r="I137" s="9"/>
      <c r="J137" s="77"/>
      <c r="K137" s="77"/>
    </row>
    <row r="138" ht="12.75" customHeight="1">
      <c r="A138" s="767" t="s">
        <v>1304</v>
      </c>
      <c r="B138" s="768" t="s">
        <v>1152</v>
      </c>
      <c r="C138" s="269">
        <v>0.0187</v>
      </c>
      <c r="D138" s="269">
        <f t="shared" si="1"/>
        <v>0.0708</v>
      </c>
      <c r="E138" s="769">
        <v>0.0285</v>
      </c>
      <c r="F138" s="769">
        <v>0.15</v>
      </c>
      <c r="G138" s="9"/>
      <c r="H138" s="9"/>
      <c r="I138" s="9"/>
      <c r="J138" s="77"/>
      <c r="K138" s="77"/>
    </row>
    <row r="139" ht="12.75" customHeight="1">
      <c r="A139" s="767" t="s">
        <v>1305</v>
      </c>
      <c r="B139" s="768" t="s">
        <v>1149</v>
      </c>
      <c r="C139" s="269">
        <v>0.0637</v>
      </c>
      <c r="D139" s="269">
        <f t="shared" si="1"/>
        <v>0.1394</v>
      </c>
      <c r="E139" s="769">
        <v>0.0971</v>
      </c>
      <c r="F139" s="769">
        <v>0.29</v>
      </c>
      <c r="G139" s="9"/>
      <c r="H139" s="9"/>
      <c r="I139" s="9"/>
      <c r="J139" s="77"/>
      <c r="K139" s="77"/>
    </row>
    <row r="140" ht="12.75" customHeight="1">
      <c r="A140" s="767" t="s">
        <v>1306</v>
      </c>
      <c r="B140" s="768" t="s">
        <v>1141</v>
      </c>
      <c r="C140" s="269">
        <v>0.01317260894535964</v>
      </c>
      <c r="D140" s="269">
        <f t="shared" si="1"/>
        <v>0.0623668644036819</v>
      </c>
      <c r="E140" s="769">
        <v>0.0200668644036819</v>
      </c>
      <c r="F140" s="769">
        <v>0.1612022550597852</v>
      </c>
      <c r="G140" s="9"/>
      <c r="H140" s="9"/>
      <c r="I140" s="9"/>
      <c r="J140" s="77"/>
      <c r="K140" s="77"/>
    </row>
    <row r="141" ht="12.75" customHeight="1">
      <c r="A141" s="767" t="s">
        <v>1307</v>
      </c>
      <c r="B141" s="768" t="s">
        <v>1152</v>
      </c>
      <c r="C141" s="269">
        <v>0.0187</v>
      </c>
      <c r="D141" s="269">
        <f t="shared" si="1"/>
        <v>0.0708</v>
      </c>
      <c r="E141" s="769">
        <v>0.0285</v>
      </c>
      <c r="F141" s="769">
        <v>0.25</v>
      </c>
      <c r="G141" s="9"/>
      <c r="H141" s="9"/>
      <c r="I141" s="9"/>
      <c r="J141" s="77"/>
      <c r="K141" s="77"/>
    </row>
    <row r="142" ht="12.75" customHeight="1">
      <c r="A142" s="767" t="s">
        <v>1308</v>
      </c>
      <c r="B142" s="768" t="s">
        <v>1165</v>
      </c>
      <c r="C142" s="269">
        <v>0.0467</v>
      </c>
      <c r="D142" s="269">
        <f t="shared" si="1"/>
        <v>0.1135</v>
      </c>
      <c r="E142" s="769">
        <v>0.0712</v>
      </c>
      <c r="F142" s="769">
        <v>0.3</v>
      </c>
      <c r="G142" s="9"/>
      <c r="H142" s="9"/>
      <c r="I142" s="9"/>
      <c r="J142" s="77"/>
      <c r="K142" s="77"/>
    </row>
    <row r="143" ht="12.75" customHeight="1">
      <c r="A143" s="767" t="s">
        <v>1309</v>
      </c>
      <c r="B143" s="768" t="s">
        <v>1152</v>
      </c>
      <c r="C143" s="269">
        <v>0.0187</v>
      </c>
      <c r="D143" s="269">
        <f t="shared" si="1"/>
        <v>0.0708</v>
      </c>
      <c r="E143" s="769">
        <v>0.0285</v>
      </c>
      <c r="F143" s="769">
        <v>0.1</v>
      </c>
      <c r="G143" s="9"/>
      <c r="H143" s="9"/>
      <c r="I143" s="9"/>
      <c r="J143" s="77"/>
      <c r="K143" s="77"/>
    </row>
    <row r="144" ht="12.75" customHeight="1">
      <c r="A144" s="767" t="s">
        <v>1310</v>
      </c>
      <c r="B144" s="768" t="s">
        <v>1143</v>
      </c>
      <c r="C144" s="269">
        <v>0.0136</v>
      </c>
      <c r="D144" s="269">
        <f t="shared" si="1"/>
        <v>0.063</v>
      </c>
      <c r="E144" s="769">
        <v>0.0207</v>
      </c>
      <c r="F144" s="769">
        <v>0.295</v>
      </c>
      <c r="G144" s="9"/>
      <c r="H144" s="9"/>
      <c r="I144" s="9"/>
      <c r="J144" s="77"/>
      <c r="K144" s="77"/>
    </row>
    <row r="145" ht="12.75" customHeight="1">
      <c r="A145" s="767" t="s">
        <v>1311</v>
      </c>
      <c r="B145" s="768" t="s">
        <v>1249</v>
      </c>
      <c r="C145" s="269">
        <v>0.0162</v>
      </c>
      <c r="D145" s="269">
        <f t="shared" si="1"/>
        <v>0.0669</v>
      </c>
      <c r="E145" s="769">
        <v>0.0246</v>
      </c>
      <c r="F145" s="769">
        <v>0.25</v>
      </c>
      <c r="G145" s="9"/>
      <c r="H145" s="9"/>
      <c r="I145" s="9"/>
      <c r="J145" s="77"/>
      <c r="K145" s="77"/>
    </row>
    <row r="146" ht="12.75" customHeight="1">
      <c r="A146" s="767" t="s">
        <v>1312</v>
      </c>
      <c r="B146" s="768" t="s">
        <v>1175</v>
      </c>
      <c r="C146" s="269">
        <v>0.0072</v>
      </c>
      <c r="D146" s="269">
        <f t="shared" si="1"/>
        <v>0.0533</v>
      </c>
      <c r="E146" s="769">
        <v>0.011</v>
      </c>
      <c r="F146" s="769">
        <v>0.19</v>
      </c>
      <c r="G146" s="9"/>
      <c r="H146" s="9"/>
      <c r="I146" s="9"/>
      <c r="J146" s="77"/>
      <c r="K146" s="77"/>
    </row>
    <row r="147" ht="12.75" customHeight="1">
      <c r="A147" s="767" t="s">
        <v>1313</v>
      </c>
      <c r="B147" s="768" t="s">
        <v>1212</v>
      </c>
      <c r="C147" s="269">
        <v>0.0102</v>
      </c>
      <c r="D147" s="269">
        <f t="shared" si="1"/>
        <v>0.0578</v>
      </c>
      <c r="E147" s="769">
        <v>0.0155</v>
      </c>
      <c r="F147" s="769">
        <v>0.315</v>
      </c>
      <c r="G147" s="9"/>
      <c r="H147" s="9"/>
      <c r="I147" s="9"/>
      <c r="J147" s="77"/>
      <c r="K147" s="77"/>
    </row>
    <row r="148" ht="12.75" customHeight="1">
      <c r="A148" s="767" t="s">
        <v>1314</v>
      </c>
      <c r="B148" s="768" t="s">
        <v>1137</v>
      </c>
      <c r="C148" s="269">
        <v>0.0042</v>
      </c>
      <c r="D148" s="269">
        <f t="shared" si="1"/>
        <v>0.0487</v>
      </c>
      <c r="E148" s="769">
        <v>0.0064</v>
      </c>
      <c r="F148" s="769">
        <v>0.1</v>
      </c>
      <c r="G148" s="9"/>
      <c r="H148" s="9"/>
      <c r="I148" s="9"/>
      <c r="J148" s="77"/>
      <c r="K148" s="77"/>
    </row>
    <row r="149" ht="12.75" customHeight="1">
      <c r="A149" s="767" t="s">
        <v>1315</v>
      </c>
      <c r="B149" s="768" t="s">
        <v>1212</v>
      </c>
      <c r="C149" s="269">
        <v>0.0102</v>
      </c>
      <c r="D149" s="269">
        <f t="shared" si="1"/>
        <v>0.0578</v>
      </c>
      <c r="E149" s="769">
        <v>0.0155</v>
      </c>
      <c r="F149" s="769">
        <v>0.1894</v>
      </c>
      <c r="G149" s="9"/>
      <c r="H149" s="9"/>
      <c r="I149" s="9"/>
      <c r="J149" s="77"/>
      <c r="K149" s="77"/>
    </row>
    <row r="150" ht="12.75" customHeight="1">
      <c r="A150" s="767" t="s">
        <v>1316</v>
      </c>
      <c r="B150" s="768" t="s">
        <v>1141</v>
      </c>
      <c r="C150" s="269">
        <v>0.05067230446817149</v>
      </c>
      <c r="D150" s="269">
        <f t="shared" si="1"/>
        <v>0.119493080505368</v>
      </c>
      <c r="E150" s="769">
        <v>0.07719308050536838</v>
      </c>
      <c r="F150" s="769">
        <v>0.273901739052763</v>
      </c>
      <c r="G150" s="9"/>
      <c r="H150" s="9"/>
      <c r="I150" s="9"/>
      <c r="J150" s="77"/>
      <c r="K150" s="77"/>
    </row>
    <row r="151" ht="12.75" customHeight="1">
      <c r="A151" s="767" t="s">
        <v>1317</v>
      </c>
      <c r="B151" s="768" t="s">
        <v>1152</v>
      </c>
      <c r="C151" s="269">
        <v>0.0187</v>
      </c>
      <c r="D151" s="269">
        <f t="shared" si="1"/>
        <v>0.0708</v>
      </c>
      <c r="E151" s="769">
        <v>0.0285</v>
      </c>
      <c r="F151" s="769">
        <v>0.16</v>
      </c>
      <c r="G151" s="9"/>
      <c r="H151" s="9"/>
      <c r="I151" s="9"/>
      <c r="J151" s="77"/>
      <c r="K151" s="77"/>
    </row>
    <row r="152" ht="12.75" customHeight="1">
      <c r="A152" s="767" t="s">
        <v>1318</v>
      </c>
      <c r="B152" s="768" t="s">
        <v>1141</v>
      </c>
      <c r="C152" s="269">
        <v>0.0256</v>
      </c>
      <c r="D152" s="269">
        <f t="shared" si="1"/>
        <v>0.0813</v>
      </c>
      <c r="E152" s="769">
        <v>0.039</v>
      </c>
      <c r="F152" s="769">
        <v>0.0814</v>
      </c>
      <c r="G152" s="9"/>
      <c r="H152" s="9"/>
      <c r="I152" s="9"/>
      <c r="J152" s="77"/>
      <c r="K152" s="77"/>
    </row>
    <row r="153" ht="12.75" customHeight="1">
      <c r="A153" s="767" t="s">
        <v>1319</v>
      </c>
      <c r="B153" s="768" t="s">
        <v>1165</v>
      </c>
      <c r="C153" s="269">
        <v>0.0467</v>
      </c>
      <c r="D153" s="269">
        <f t="shared" si="1"/>
        <v>0.1135</v>
      </c>
      <c r="E153" s="769">
        <v>0.0712</v>
      </c>
      <c r="F153" s="769">
        <v>0.28</v>
      </c>
      <c r="G153" s="9"/>
      <c r="H153" s="9"/>
      <c r="I153" s="9"/>
      <c r="J153" s="77"/>
      <c r="K153" s="77"/>
    </row>
    <row r="154" ht="12.75" customHeight="1">
      <c r="A154" s="767" t="s">
        <v>1320</v>
      </c>
      <c r="B154" s="768" t="s">
        <v>1141</v>
      </c>
      <c r="C154" s="269">
        <v>0.04915183026184869</v>
      </c>
      <c r="D154" s="269">
        <f t="shared" si="1"/>
        <v>0.117176823349771</v>
      </c>
      <c r="E154" s="769">
        <v>0.074876823349771</v>
      </c>
      <c r="F154" s="769">
        <v>0.2652654754337485</v>
      </c>
      <c r="G154" s="9"/>
      <c r="H154" s="9"/>
      <c r="I154" s="9"/>
      <c r="J154" s="77"/>
      <c r="K154" s="77"/>
    </row>
    <row r="155" ht="12.75" customHeight="1">
      <c r="A155" s="767" t="s">
        <v>1321</v>
      </c>
      <c r="B155" s="768" t="s">
        <v>1171</v>
      </c>
      <c r="C155" s="269">
        <v>0.0051</v>
      </c>
      <c r="D155" s="269">
        <f t="shared" si="1"/>
        <v>0.0501</v>
      </c>
      <c r="E155" s="769">
        <v>0.0078</v>
      </c>
      <c r="F155" s="769">
        <v>0.2</v>
      </c>
      <c r="G155" s="9"/>
      <c r="H155" s="9"/>
      <c r="I155" s="9"/>
      <c r="J155" s="77"/>
      <c r="K155" s="77"/>
    </row>
    <row r="156" ht="12.75" customHeight="1">
      <c r="A156" s="767" t="s">
        <v>1322</v>
      </c>
      <c r="B156" s="768" t="s">
        <v>1149</v>
      </c>
      <c r="C156" s="269">
        <v>0.0637</v>
      </c>
      <c r="D156" s="269">
        <f t="shared" si="1"/>
        <v>0.1394</v>
      </c>
      <c r="E156" s="769">
        <v>0.0971</v>
      </c>
      <c r="F156" s="769">
        <v>0.3</v>
      </c>
      <c r="G156" s="9"/>
      <c r="H156" s="9"/>
      <c r="I156" s="9"/>
      <c r="J156" s="77"/>
      <c r="K156" s="77"/>
    </row>
    <row r="157" ht="12.75" customHeight="1">
      <c r="A157" s="767" t="s">
        <v>1323</v>
      </c>
      <c r="B157" s="768" t="s">
        <v>1209</v>
      </c>
      <c r="C157" s="269">
        <v>0.0256</v>
      </c>
      <c r="D157" s="269">
        <f t="shared" si="1"/>
        <v>0.0813</v>
      </c>
      <c r="E157" s="769">
        <v>0.039</v>
      </c>
      <c r="F157" s="769">
        <v>0.15</v>
      </c>
      <c r="G157" s="9"/>
      <c r="H157" s="9"/>
      <c r="I157" s="9"/>
      <c r="J157" s="77"/>
      <c r="K157" s="77"/>
    </row>
    <row r="158" ht="12.75" customHeight="1">
      <c r="A158" s="767" t="s">
        <v>1324</v>
      </c>
      <c r="B158" s="768" t="s">
        <v>1181</v>
      </c>
      <c r="C158" s="269">
        <v>0.0213</v>
      </c>
      <c r="D158" s="269">
        <f t="shared" si="1"/>
        <v>0.0747</v>
      </c>
      <c r="E158" s="769">
        <v>0.0324</v>
      </c>
      <c r="F158" s="769">
        <v>0.1894</v>
      </c>
      <c r="G158" s="9"/>
      <c r="H158" s="9"/>
      <c r="I158" s="9"/>
      <c r="J158" s="77"/>
      <c r="K158" s="77"/>
    </row>
    <row r="159" ht="12.75" customHeight="1">
      <c r="A159" s="767" t="s">
        <v>1325</v>
      </c>
      <c r="B159" s="768" t="s">
        <v>1141</v>
      </c>
      <c r="C159" s="269">
        <v>0.0552</v>
      </c>
      <c r="D159" s="269">
        <f t="shared" si="1"/>
        <v>0.1264</v>
      </c>
      <c r="E159" s="769">
        <v>0.0841</v>
      </c>
      <c r="F159" s="769">
        <v>0.1265</v>
      </c>
      <c r="G159" s="9"/>
      <c r="H159" s="9"/>
      <c r="I159" s="9"/>
      <c r="J159" s="77"/>
      <c r="K159" s="77"/>
    </row>
    <row r="160" ht="12.75" customHeight="1">
      <c r="A160" s="767" t="s">
        <v>1326</v>
      </c>
      <c r="B160" s="768" t="s">
        <v>1155</v>
      </c>
      <c r="C160" s="269">
        <v>0.0</v>
      </c>
      <c r="D160" s="269">
        <f t="shared" si="1"/>
        <v>0.0423</v>
      </c>
      <c r="E160" s="769">
        <v>0.0</v>
      </c>
      <c r="F160" s="769">
        <v>0.17</v>
      </c>
      <c r="G160" s="9"/>
      <c r="H160" s="9"/>
      <c r="I160" s="9"/>
      <c r="J160" s="77"/>
      <c r="K160" s="77"/>
    </row>
    <row r="161" ht="12.75" customHeight="1">
      <c r="A161" s="767" t="s">
        <v>1327</v>
      </c>
      <c r="B161" s="768" t="s">
        <v>1212</v>
      </c>
      <c r="C161" s="269">
        <v>0.0102</v>
      </c>
      <c r="D161" s="269">
        <f t="shared" si="1"/>
        <v>0.0578</v>
      </c>
      <c r="E161" s="769">
        <v>0.0155</v>
      </c>
      <c r="F161" s="769">
        <v>0.21</v>
      </c>
      <c r="G161" s="9"/>
      <c r="H161" s="9"/>
      <c r="I161" s="9"/>
      <c r="J161" s="77"/>
      <c r="K161" s="77"/>
    </row>
    <row r="162" ht="12.75" customHeight="1">
      <c r="A162" s="767" t="s">
        <v>1328</v>
      </c>
      <c r="B162" s="768" t="s">
        <v>1212</v>
      </c>
      <c r="C162" s="269">
        <v>0.0102</v>
      </c>
      <c r="D162" s="269">
        <f t="shared" si="1"/>
        <v>0.0578</v>
      </c>
      <c r="E162" s="769">
        <v>0.0155</v>
      </c>
      <c r="F162" s="769">
        <v>0.22</v>
      </c>
      <c r="G162" s="9"/>
      <c r="H162" s="9"/>
      <c r="I162" s="9"/>
      <c r="J162" s="77"/>
      <c r="K162" s="77"/>
    </row>
    <row r="163" ht="12.75" customHeight="1">
      <c r="A163" s="767" t="s">
        <v>1329</v>
      </c>
      <c r="B163" s="768" t="s">
        <v>1149</v>
      </c>
      <c r="C163" s="269">
        <v>0.0637</v>
      </c>
      <c r="D163" s="269">
        <f t="shared" si="1"/>
        <v>0.1394</v>
      </c>
      <c r="E163" s="769">
        <v>0.0971</v>
      </c>
      <c r="F163" s="769">
        <v>0.3</v>
      </c>
      <c r="G163" s="9"/>
      <c r="H163" s="9"/>
      <c r="I163" s="9"/>
      <c r="J163" s="77"/>
      <c r="K163" s="77"/>
    </row>
    <row r="164" ht="12.75" customHeight="1">
      <c r="A164" s="767" t="s">
        <v>1330</v>
      </c>
      <c r="B164" s="768" t="s">
        <v>1141</v>
      </c>
      <c r="C164" s="269">
        <v>0.085</v>
      </c>
      <c r="D164" s="269">
        <f t="shared" si="1"/>
        <v>0.1718</v>
      </c>
      <c r="E164" s="769">
        <v>0.1295</v>
      </c>
      <c r="F164" s="769">
        <v>0.1719</v>
      </c>
      <c r="G164" s="9"/>
      <c r="H164" s="9"/>
      <c r="I164" s="9"/>
      <c r="J164" s="77"/>
      <c r="K164" s="77"/>
    </row>
    <row r="165" ht="12.75" customHeight="1">
      <c r="A165" s="767" t="s">
        <v>1331</v>
      </c>
      <c r="B165" s="768" t="s">
        <v>1209</v>
      </c>
      <c r="C165" s="269">
        <v>0.0256</v>
      </c>
      <c r="D165" s="269">
        <f t="shared" si="1"/>
        <v>0.0813</v>
      </c>
      <c r="E165" s="769">
        <v>0.039</v>
      </c>
      <c r="F165" s="769">
        <v>0.27</v>
      </c>
      <c r="G165" s="9"/>
      <c r="H165" s="9"/>
      <c r="I165" s="9"/>
      <c r="J165" s="77"/>
      <c r="K165" s="77"/>
    </row>
    <row r="166" ht="12.75" customHeight="1">
      <c r="A166" s="767" t="s">
        <v>1332</v>
      </c>
      <c r="B166" s="768" t="s">
        <v>1137</v>
      </c>
      <c r="C166" s="269">
        <v>0.0042</v>
      </c>
      <c r="D166" s="269">
        <f t="shared" si="1"/>
        <v>0.0487</v>
      </c>
      <c r="E166" s="769">
        <v>0.0064</v>
      </c>
      <c r="F166" s="769">
        <v>0.264</v>
      </c>
      <c r="G166" s="9"/>
      <c r="H166" s="9"/>
      <c r="I166" s="9"/>
      <c r="J166" s="77"/>
      <c r="K166" s="77"/>
    </row>
    <row r="167" ht="12.75" customHeight="1">
      <c r="A167" s="767" t="s">
        <v>1333</v>
      </c>
      <c r="B167" s="768" t="s">
        <v>1212</v>
      </c>
      <c r="C167" s="269">
        <v>0.0102</v>
      </c>
      <c r="D167" s="269">
        <f t="shared" si="1"/>
        <v>0.0578</v>
      </c>
      <c r="E167" s="769">
        <v>0.0155</v>
      </c>
      <c r="F167" s="769">
        <v>0.25</v>
      </c>
      <c r="G167" s="9"/>
      <c r="H167" s="9"/>
      <c r="I167" s="9"/>
      <c r="J167" s="77"/>
      <c r="K167" s="77"/>
    </row>
    <row r="168" ht="12.75" customHeight="1">
      <c r="A168" s="767" t="s">
        <v>1334</v>
      </c>
      <c r="B168" s="768" t="s">
        <v>1177</v>
      </c>
      <c r="C168" s="269">
        <v>0.102</v>
      </c>
      <c r="D168" s="269">
        <f t="shared" si="1"/>
        <v>0.1977</v>
      </c>
      <c r="E168" s="769">
        <v>0.1554</v>
      </c>
      <c r="F168" s="769">
        <v>0.3</v>
      </c>
      <c r="G168" s="9"/>
      <c r="H168" s="9"/>
      <c r="I168" s="9"/>
      <c r="J168" s="77"/>
      <c r="K168" s="77"/>
    </row>
    <row r="169" ht="12.75" customHeight="1">
      <c r="A169" s="767" t="s">
        <v>1335</v>
      </c>
      <c r="B169" s="768" t="s">
        <v>1209</v>
      </c>
      <c r="C169" s="269">
        <v>0.0256</v>
      </c>
      <c r="D169" s="269">
        <f t="shared" si="1"/>
        <v>0.0813</v>
      </c>
      <c r="E169" s="769">
        <v>0.039</v>
      </c>
      <c r="F169" s="769">
        <v>0.2</v>
      </c>
      <c r="G169" s="9"/>
      <c r="H169" s="9"/>
      <c r="I169" s="9"/>
      <c r="J169" s="77"/>
      <c r="K169" s="77"/>
    </row>
    <row r="170" ht="12.75" customHeight="1">
      <c r="A170" s="767" t="s">
        <v>1336</v>
      </c>
      <c r="B170" s="768" t="s">
        <v>1145</v>
      </c>
      <c r="C170" s="269">
        <v>0.0552</v>
      </c>
      <c r="D170" s="269">
        <f t="shared" si="1"/>
        <v>0.1264</v>
      </c>
      <c r="E170" s="769">
        <v>0.0841</v>
      </c>
      <c r="F170" s="769">
        <v>0.28</v>
      </c>
      <c r="G170" s="9"/>
      <c r="H170" s="9"/>
      <c r="I170" s="9"/>
      <c r="J170" s="77"/>
      <c r="K170" s="77"/>
    </row>
    <row r="171" ht="12.75" customHeight="1">
      <c r="A171" s="767" t="s">
        <v>1337</v>
      </c>
      <c r="B171" s="768" t="s">
        <v>1141</v>
      </c>
      <c r="C171" s="269">
        <v>0.175</v>
      </c>
      <c r="D171" s="269">
        <f t="shared" si="1"/>
        <v>0.3089</v>
      </c>
      <c r="E171" s="769">
        <v>0.2666</v>
      </c>
      <c r="F171" s="769">
        <v>0.309</v>
      </c>
      <c r="G171" s="9"/>
      <c r="H171" s="9"/>
      <c r="I171" s="9"/>
      <c r="J171" s="77"/>
      <c r="K171" s="77"/>
    </row>
    <row r="172" ht="12.75" customHeight="1">
      <c r="A172" s="767" t="s">
        <v>1338</v>
      </c>
      <c r="B172" s="768" t="s">
        <v>1149</v>
      </c>
      <c r="C172" s="269">
        <v>0.0637</v>
      </c>
      <c r="D172" s="269">
        <f t="shared" si="1"/>
        <v>0.1394</v>
      </c>
      <c r="E172" s="769">
        <v>0.0971</v>
      </c>
      <c r="F172" s="769">
        <v>0.36</v>
      </c>
      <c r="G172" s="9"/>
      <c r="H172" s="9"/>
      <c r="I172" s="9"/>
      <c r="J172" s="77"/>
      <c r="K172" s="77"/>
    </row>
    <row r="173" ht="12.75" customHeight="1">
      <c r="A173" s="767" t="s">
        <v>1339</v>
      </c>
      <c r="B173" s="768" t="s">
        <v>1165</v>
      </c>
      <c r="C173" s="269">
        <v>0.0467</v>
      </c>
      <c r="D173" s="269">
        <f t="shared" si="1"/>
        <v>0.1135</v>
      </c>
      <c r="E173" s="769">
        <v>0.0712</v>
      </c>
      <c r="F173" s="769">
        <v>0.25</v>
      </c>
      <c r="G173" s="9"/>
      <c r="H173" s="9"/>
      <c r="I173" s="9"/>
      <c r="J173" s="77"/>
      <c r="K173" s="77"/>
    </row>
    <row r="174" ht="12.75" customHeight="1">
      <c r="A174" s="767" t="s">
        <v>1340</v>
      </c>
      <c r="B174" s="768" t="s">
        <v>1155</v>
      </c>
      <c r="C174" s="269">
        <v>0.0</v>
      </c>
      <c r="D174" s="269">
        <f t="shared" si="1"/>
        <v>0.0423</v>
      </c>
      <c r="E174" s="769">
        <v>0.0</v>
      </c>
      <c r="F174" s="769">
        <v>0.206</v>
      </c>
      <c r="G174" s="9"/>
      <c r="H174" s="9"/>
      <c r="I174" s="9"/>
      <c r="J174" s="77"/>
      <c r="K174" s="77"/>
    </row>
    <row r="175" ht="12.75" customHeight="1">
      <c r="A175" s="767" t="s">
        <v>1341</v>
      </c>
      <c r="B175" s="768" t="s">
        <v>1155</v>
      </c>
      <c r="C175" s="269">
        <v>0.0</v>
      </c>
      <c r="D175" s="269">
        <f t="shared" si="1"/>
        <v>0.0423</v>
      </c>
      <c r="E175" s="769">
        <v>0.0</v>
      </c>
      <c r="F175" s="769">
        <v>0.1961</v>
      </c>
      <c r="G175" s="9"/>
      <c r="H175" s="9"/>
      <c r="I175" s="9"/>
      <c r="J175" s="77"/>
      <c r="K175" s="77"/>
    </row>
    <row r="176" ht="12.75" customHeight="1">
      <c r="A176" s="767" t="s">
        <v>1342</v>
      </c>
      <c r="B176" s="768" t="s">
        <v>1141</v>
      </c>
      <c r="C176" s="269">
        <v>0.102</v>
      </c>
      <c r="D176" s="269">
        <f t="shared" si="1"/>
        <v>0.1977</v>
      </c>
      <c r="E176" s="769">
        <v>0.1554</v>
      </c>
      <c r="F176" s="769">
        <v>0.1978</v>
      </c>
      <c r="G176" s="9"/>
      <c r="H176" s="9"/>
      <c r="I176" s="9"/>
      <c r="J176" s="77"/>
      <c r="K176" s="77"/>
    </row>
    <row r="177" ht="12.75" customHeight="1">
      <c r="A177" s="767" t="s">
        <v>1343</v>
      </c>
      <c r="B177" s="768" t="s">
        <v>1171</v>
      </c>
      <c r="C177" s="269">
        <v>0.0051</v>
      </c>
      <c r="D177" s="269">
        <f t="shared" si="1"/>
        <v>0.0501</v>
      </c>
      <c r="E177" s="769">
        <v>0.0078</v>
      </c>
      <c r="F177" s="769">
        <v>0.2</v>
      </c>
      <c r="G177" s="9"/>
      <c r="H177" s="9"/>
      <c r="I177" s="9"/>
      <c r="J177" s="77"/>
      <c r="K177" s="77"/>
    </row>
    <row r="178" ht="12.75" customHeight="1">
      <c r="A178" s="767" t="s">
        <v>1344</v>
      </c>
      <c r="B178" s="768" t="s">
        <v>1145</v>
      </c>
      <c r="C178" s="269">
        <v>0.0552</v>
      </c>
      <c r="D178" s="269">
        <f t="shared" si="1"/>
        <v>0.1264</v>
      </c>
      <c r="E178" s="769">
        <v>0.0841</v>
      </c>
      <c r="F178" s="769">
        <v>0.18</v>
      </c>
      <c r="G178" s="9"/>
      <c r="H178" s="9"/>
      <c r="I178" s="9"/>
      <c r="J178" s="77"/>
      <c r="K178" s="77"/>
    </row>
    <row r="179" ht="12.75" customHeight="1">
      <c r="A179" s="767" t="s">
        <v>1345</v>
      </c>
      <c r="B179" s="768" t="s">
        <v>1162</v>
      </c>
      <c r="C179" s="269">
        <v>0.0383</v>
      </c>
      <c r="D179" s="269">
        <f t="shared" si="1"/>
        <v>0.1006</v>
      </c>
      <c r="E179" s="769">
        <v>0.0583</v>
      </c>
      <c r="F179" s="769">
        <v>0.3</v>
      </c>
      <c r="G179" s="9"/>
      <c r="H179" s="9"/>
      <c r="I179" s="9"/>
      <c r="J179" s="77"/>
      <c r="K179" s="77"/>
    </row>
    <row r="180" ht="12.75" customHeight="1">
      <c r="A180" s="767" t="s">
        <v>1346</v>
      </c>
      <c r="B180" s="768" t="s">
        <v>1143</v>
      </c>
      <c r="C180" s="269">
        <v>0.0136</v>
      </c>
      <c r="D180" s="269">
        <f t="shared" si="1"/>
        <v>0.063</v>
      </c>
      <c r="E180" s="769">
        <v>0.0207</v>
      </c>
      <c r="F180" s="769">
        <v>0.2</v>
      </c>
      <c r="G180" s="9"/>
      <c r="H180" s="9"/>
      <c r="I180" s="9"/>
      <c r="J180" s="77"/>
      <c r="K180" s="77"/>
    </row>
    <row r="181" ht="12.75" customHeight="1">
      <c r="A181" s="767" t="s">
        <v>1347</v>
      </c>
      <c r="B181" s="768" t="s">
        <v>1145</v>
      </c>
      <c r="C181" s="269">
        <v>0.0552</v>
      </c>
      <c r="D181" s="269">
        <f t="shared" si="1"/>
        <v>0.1264</v>
      </c>
      <c r="E181" s="769">
        <v>0.0841</v>
      </c>
      <c r="F181" s="769">
        <v>0.27</v>
      </c>
      <c r="G181" s="9"/>
      <c r="H181" s="9"/>
      <c r="I181" s="9"/>
      <c r="J181" s="77"/>
      <c r="K181" s="77"/>
    </row>
    <row r="182" ht="12.75" customHeight="1">
      <c r="A182" s="767" t="s">
        <v>1348</v>
      </c>
      <c r="B182" s="768" t="s">
        <v>1209</v>
      </c>
      <c r="C182" s="269">
        <v>0.0256</v>
      </c>
      <c r="D182" s="269">
        <f t="shared" si="1"/>
        <v>0.0813</v>
      </c>
      <c r="E182" s="769">
        <v>0.039</v>
      </c>
      <c r="F182" s="769">
        <v>0.3</v>
      </c>
      <c r="G182" s="9"/>
      <c r="H182" s="9"/>
      <c r="I182" s="9"/>
      <c r="J182" s="77"/>
      <c r="K182" s="77"/>
    </row>
    <row r="183" ht="12.75" customHeight="1">
      <c r="A183" s="767" t="s">
        <v>1349</v>
      </c>
      <c r="B183" s="768" t="s">
        <v>1149</v>
      </c>
      <c r="C183" s="269">
        <v>0.0637</v>
      </c>
      <c r="D183" s="269">
        <f t="shared" si="1"/>
        <v>0.1394</v>
      </c>
      <c r="E183" s="769">
        <v>0.0971</v>
      </c>
      <c r="F183" s="769">
        <v>0.15</v>
      </c>
      <c r="G183" s="9"/>
      <c r="H183" s="9"/>
      <c r="I183" s="9"/>
      <c r="J183" s="77"/>
      <c r="K183" s="77"/>
    </row>
    <row r="184" ht="12.75" customHeight="1">
      <c r="A184" s="767" t="s">
        <v>1350</v>
      </c>
      <c r="B184" s="768" t="s">
        <v>1139</v>
      </c>
      <c r="C184" s="269">
        <v>0.0306</v>
      </c>
      <c r="D184" s="269">
        <f t="shared" si="1"/>
        <v>0.0889</v>
      </c>
      <c r="E184" s="769">
        <v>0.0466</v>
      </c>
      <c r="F184" s="769">
        <v>0.25</v>
      </c>
      <c r="G184" s="9"/>
      <c r="H184" s="9"/>
      <c r="I184" s="9"/>
      <c r="J184" s="77"/>
      <c r="K184" s="77"/>
    </row>
    <row r="185" ht="12.75" customHeight="1">
      <c r="A185" s="779" t="s">
        <v>1351</v>
      </c>
      <c r="B185" s="768" t="s">
        <v>1141</v>
      </c>
      <c r="C185" s="269">
        <v>0.04915183026184869</v>
      </c>
      <c r="D185" s="269">
        <f t="shared" si="1"/>
        <v>0.117176823349771</v>
      </c>
      <c r="E185" s="769">
        <v>0.074876823349771</v>
      </c>
      <c r="F185" s="769">
        <v>0.2652654754337485</v>
      </c>
      <c r="G185" s="9"/>
      <c r="H185" s="9"/>
      <c r="I185" s="9"/>
      <c r="J185" s="77"/>
      <c r="K185" s="77"/>
    </row>
    <row r="186" ht="12.75" customHeight="1">
      <c r="A186" s="767" t="s">
        <v>1353</v>
      </c>
      <c r="B186" s="768" t="s">
        <v>1145</v>
      </c>
      <c r="C186" s="269">
        <v>0.0552</v>
      </c>
      <c r="D186" s="269">
        <f t="shared" si="1"/>
        <v>0.1264</v>
      </c>
      <c r="E186" s="769">
        <v>0.0841</v>
      </c>
      <c r="F186" s="769">
        <v>0.3</v>
      </c>
      <c r="G186" s="9"/>
      <c r="H186" s="9"/>
      <c r="I186" s="9"/>
      <c r="J186" s="77"/>
      <c r="K186" s="77"/>
    </row>
    <row r="187" ht="12.75" customHeight="1">
      <c r="A187" s="767" t="s">
        <v>1355</v>
      </c>
      <c r="B187" s="768" t="s">
        <v>1177</v>
      </c>
      <c r="C187" s="269">
        <v>0.102</v>
      </c>
      <c r="D187" s="269">
        <f t="shared" si="1"/>
        <v>0.1977</v>
      </c>
      <c r="E187" s="769">
        <v>0.1554</v>
      </c>
      <c r="F187" s="769">
        <v>0.18</v>
      </c>
      <c r="G187" s="9"/>
      <c r="H187" s="9"/>
      <c r="I187" s="9"/>
      <c r="J187" s="77"/>
      <c r="K187" s="77"/>
    </row>
    <row r="188" ht="12.75" customHeight="1">
      <c r="A188" s="767" t="s">
        <v>1364</v>
      </c>
      <c r="B188" s="768" t="s">
        <v>1137</v>
      </c>
      <c r="C188" s="269">
        <v>0.0042</v>
      </c>
      <c r="D188" s="269">
        <f t="shared" si="1"/>
        <v>0.0487</v>
      </c>
      <c r="E188" s="769">
        <v>0.0064</v>
      </c>
      <c r="F188" s="769">
        <v>0.09</v>
      </c>
      <c r="G188" s="9"/>
      <c r="H188" s="9"/>
      <c r="I188" s="9"/>
      <c r="J188" s="77"/>
      <c r="K188" s="77"/>
    </row>
    <row r="189" ht="12.75" customHeight="1">
      <c r="A189" s="767" t="s">
        <v>1367</v>
      </c>
      <c r="B189" s="768" t="s">
        <v>1171</v>
      </c>
      <c r="C189" s="269">
        <v>0.0051</v>
      </c>
      <c r="D189" s="269">
        <f t="shared" si="1"/>
        <v>0.0501</v>
      </c>
      <c r="E189" s="769">
        <v>0.0078</v>
      </c>
      <c r="F189" s="769">
        <v>0.25</v>
      </c>
      <c r="G189" s="9"/>
      <c r="H189" s="9"/>
      <c r="I189" s="9"/>
      <c r="J189" s="77"/>
      <c r="K189" s="77"/>
    </row>
    <row r="190" ht="12.75" customHeight="1">
      <c r="A190" s="767" t="s">
        <v>936</v>
      </c>
      <c r="B190" s="768" t="s">
        <v>1157</v>
      </c>
      <c r="C190" s="269">
        <v>0.0023</v>
      </c>
      <c r="D190" s="269">
        <f t="shared" si="1"/>
        <v>0.0446</v>
      </c>
      <c r="E190" s="769">
        <v>0.0023</v>
      </c>
      <c r="F190" s="769">
        <v>0.25</v>
      </c>
      <c r="G190" s="9"/>
      <c r="H190" s="9"/>
      <c r="I190" s="9"/>
      <c r="J190" s="77"/>
      <c r="K190" s="77"/>
    </row>
    <row r="191" ht="12.75" customHeight="1">
      <c r="A191" s="767" t="s">
        <v>1376</v>
      </c>
      <c r="B191" s="768" t="s">
        <v>1143</v>
      </c>
      <c r="C191" s="269">
        <v>0.0136</v>
      </c>
      <c r="D191" s="269">
        <f t="shared" si="1"/>
        <v>0.063</v>
      </c>
      <c r="E191" s="769">
        <v>0.0207</v>
      </c>
      <c r="F191" s="769">
        <v>0.25</v>
      </c>
      <c r="G191" s="9"/>
      <c r="H191" s="9"/>
      <c r="I191" s="9"/>
      <c r="J191" s="77"/>
      <c r="K191" s="77"/>
    </row>
    <row r="192" ht="12.75" customHeight="1">
      <c r="A192" s="767" t="s">
        <v>1377</v>
      </c>
      <c r="B192" s="768" t="s">
        <v>1139</v>
      </c>
      <c r="C192" s="269">
        <v>0.0306</v>
      </c>
      <c r="D192" s="269">
        <f t="shared" si="1"/>
        <v>0.0889</v>
      </c>
      <c r="E192" s="769">
        <v>0.0466</v>
      </c>
      <c r="F192" s="769">
        <v>0.15</v>
      </c>
      <c r="G192" s="9"/>
      <c r="H192" s="9"/>
      <c r="I192" s="9"/>
      <c r="J192" s="77"/>
      <c r="K192" s="77"/>
    </row>
    <row r="193" ht="12.75" customHeight="1">
      <c r="A193" s="767" t="s">
        <v>1378</v>
      </c>
      <c r="B193" s="768" t="s">
        <v>1169</v>
      </c>
      <c r="C193" s="269">
        <v>0.175</v>
      </c>
      <c r="D193" s="269">
        <f t="shared" si="1"/>
        <v>0.3089</v>
      </c>
      <c r="E193" s="769">
        <v>0.2666</v>
      </c>
      <c r="F193" s="769">
        <v>0.34</v>
      </c>
      <c r="G193" s="9"/>
      <c r="H193" s="9"/>
      <c r="I193" s="9"/>
      <c r="J193" s="77"/>
      <c r="K193" s="77"/>
    </row>
    <row r="194" ht="12.75" customHeight="1">
      <c r="A194" s="767" t="s">
        <v>1379</v>
      </c>
      <c r="B194" s="768" t="s">
        <v>1209</v>
      </c>
      <c r="C194" s="269">
        <v>0.0256</v>
      </c>
      <c r="D194" s="269">
        <f t="shared" si="1"/>
        <v>0.0813</v>
      </c>
      <c r="E194" s="769">
        <v>0.039</v>
      </c>
      <c r="F194" s="769">
        <v>0.2</v>
      </c>
      <c r="G194" s="9"/>
      <c r="H194" s="9"/>
      <c r="I194" s="9"/>
      <c r="J194" s="77"/>
      <c r="K194" s="77"/>
    </row>
    <row r="195" ht="12.75" customHeight="1">
      <c r="A195" s="767" t="s">
        <v>1380</v>
      </c>
      <c r="B195" s="768" t="s">
        <v>1141</v>
      </c>
      <c r="C195" s="269">
        <v>0.102</v>
      </c>
      <c r="D195" s="269">
        <f t="shared" si="1"/>
        <v>0.1977</v>
      </c>
      <c r="E195" s="769">
        <v>0.1554</v>
      </c>
      <c r="F195" s="769">
        <v>0.1978</v>
      </c>
      <c r="G195" s="9"/>
      <c r="H195" s="9"/>
      <c r="I195" s="9"/>
      <c r="J195" s="77"/>
      <c r="K195" s="77"/>
    </row>
    <row r="196" ht="12.75" customHeight="1">
      <c r="A196" s="767" t="s">
        <v>1381</v>
      </c>
      <c r="B196" s="768" t="s">
        <v>1203</v>
      </c>
      <c r="C196" s="548">
        <v>0.0765</v>
      </c>
      <c r="D196" s="269">
        <f t="shared" si="1"/>
        <v>0.1589</v>
      </c>
      <c r="E196" s="769">
        <v>0.1166</v>
      </c>
      <c r="F196" s="769">
        <v>0.3</v>
      </c>
      <c r="G196" s="9"/>
      <c r="H196" s="9"/>
      <c r="I196" s="9"/>
      <c r="J196" s="77"/>
      <c r="K196" s="77"/>
    </row>
    <row r="197" ht="12.75" customHeight="1">
      <c r="A197" s="767" t="s">
        <v>1382</v>
      </c>
      <c r="B197" s="768" t="s">
        <v>1141</v>
      </c>
      <c r="C197" s="769">
        <v>0.0765</v>
      </c>
      <c r="D197" s="269">
        <f t="shared" si="1"/>
        <v>0.1589</v>
      </c>
      <c r="E197" s="769">
        <v>0.1166</v>
      </c>
      <c r="F197" s="769">
        <v>0.159</v>
      </c>
      <c r="G197" s="9"/>
      <c r="H197" s="9"/>
      <c r="I197" s="9"/>
      <c r="J197" s="77"/>
      <c r="K197" s="77"/>
    </row>
    <row r="198" ht="12.75" customHeight="1">
      <c r="A198" s="9"/>
      <c r="B198" s="9"/>
      <c r="C198" s="9"/>
      <c r="D198" s="748"/>
      <c r="E198" s="9"/>
      <c r="F198" s="9"/>
      <c r="G198" s="9"/>
      <c r="H198" s="9"/>
      <c r="I198" s="9"/>
      <c r="J198" s="77"/>
      <c r="K198" s="77"/>
    </row>
    <row r="199" ht="12.75" customHeight="1">
      <c r="A199" s="9"/>
      <c r="B199" s="9"/>
      <c r="C199" s="9"/>
      <c r="D199" s="748"/>
      <c r="E199" s="9"/>
      <c r="F199" s="9"/>
      <c r="G199" s="9"/>
      <c r="H199" s="9"/>
      <c r="I199" s="9"/>
      <c r="J199" s="77"/>
      <c r="K199" s="77"/>
    </row>
    <row r="200" ht="12.75" customHeight="1">
      <c r="A200" s="9"/>
      <c r="B200" s="9"/>
      <c r="C200" s="9"/>
      <c r="D200" s="748"/>
      <c r="E200" s="9"/>
      <c r="F200" s="9"/>
      <c r="G200" s="9"/>
      <c r="H200" s="9"/>
      <c r="I200" s="9"/>
      <c r="J200" s="77"/>
      <c r="K200" s="77"/>
    </row>
    <row r="201" ht="12.75" customHeight="1">
      <c r="A201" s="795" t="s">
        <v>990</v>
      </c>
      <c r="B201" s="796" t="s">
        <v>932</v>
      </c>
      <c r="C201" s="796" t="s">
        <v>1386</v>
      </c>
      <c r="D201" s="796" t="s">
        <v>1387</v>
      </c>
      <c r="E201" s="796" t="s">
        <v>1388</v>
      </c>
      <c r="F201" s="768" t="s">
        <v>1389</v>
      </c>
      <c r="G201" s="9"/>
      <c r="H201" s="9"/>
      <c r="I201" s="9"/>
      <c r="J201" s="77"/>
      <c r="K201" s="77"/>
    </row>
    <row r="202" ht="12.75" customHeight="1">
      <c r="A202" s="797" t="s">
        <v>1390</v>
      </c>
      <c r="B202" s="769">
        <f t="shared" ref="B202:B211" si="2">$B$2+E202</f>
        <v>0.119493080505368</v>
      </c>
      <c r="C202" s="769">
        <v>0.05067230446817149</v>
      </c>
      <c r="D202" s="769">
        <v>0.273901739052763</v>
      </c>
      <c r="E202" s="769">
        <v>0.07719308050536838</v>
      </c>
      <c r="F202" s="798">
        <v>2340875.22920722</v>
      </c>
      <c r="G202" s="9"/>
      <c r="H202" s="9"/>
      <c r="I202" s="9"/>
      <c r="J202" s="77"/>
      <c r="K202" s="77"/>
    </row>
    <row r="203" ht="12.75" customHeight="1">
      <c r="A203" s="797" t="s">
        <v>1393</v>
      </c>
      <c r="B203" s="769">
        <f t="shared" si="2"/>
        <v>0.0572232356484523</v>
      </c>
      <c r="C203" s="769">
        <v>0.009796146694470292</v>
      </c>
      <c r="D203" s="769">
        <v>0.256545347358525</v>
      </c>
      <c r="E203" s="769">
        <v>0.01492323564845226</v>
      </c>
      <c r="F203" s="798">
        <v>3.47316893748114E7</v>
      </c>
      <c r="G203" s="9"/>
      <c r="H203" s="9"/>
      <c r="I203" s="9"/>
      <c r="J203" s="77"/>
      <c r="K203" s="77"/>
    </row>
    <row r="204" ht="12.75" customHeight="1">
      <c r="A204" s="797" t="s">
        <v>1394</v>
      </c>
      <c r="B204" s="769">
        <f t="shared" si="2"/>
        <v>0.0423408217320042</v>
      </c>
      <c r="C204" s="769">
        <v>2.679684784559755E-5</v>
      </c>
      <c r="D204" s="769">
        <v>0.2973522122737972</v>
      </c>
      <c r="E204" s="769">
        <v>4.082173200420781E-5</v>
      </c>
      <c r="F204" s="798">
        <v>2018608.836750448</v>
      </c>
      <c r="G204" s="9"/>
      <c r="H204" s="9"/>
      <c r="I204" s="9"/>
      <c r="J204" s="77"/>
      <c r="K204" s="77"/>
    </row>
    <row r="205" ht="12.75" customHeight="1">
      <c r="A205" s="797" t="s">
        <v>1396</v>
      </c>
      <c r="B205" s="769">
        <f t="shared" si="2"/>
        <v>0.117176823349771</v>
      </c>
      <c r="C205" s="769">
        <v>0.04915183026184869</v>
      </c>
      <c r="D205" s="769">
        <v>0.2652654754337485</v>
      </c>
      <c r="E205" s="769">
        <v>0.074876823349771</v>
      </c>
      <c r="F205" s="798">
        <v>347814.1324698501</v>
      </c>
      <c r="G205" s="9"/>
      <c r="H205" s="9"/>
      <c r="I205" s="9"/>
      <c r="J205" s="77"/>
      <c r="K205" s="77"/>
    </row>
    <row r="206" ht="12.75" customHeight="1">
      <c r="A206" s="797" t="s">
        <v>1398</v>
      </c>
      <c r="B206" s="769">
        <f t="shared" si="2"/>
        <v>0.0846284962061898</v>
      </c>
      <c r="C206" s="769">
        <v>0.02778594186678078</v>
      </c>
      <c r="D206" s="769">
        <v>0.3154669136565696</v>
      </c>
      <c r="E206" s="769">
        <v>0.04232849620618983</v>
      </c>
      <c r="F206" s="798">
        <v>6538486.855845697</v>
      </c>
      <c r="G206" s="9"/>
      <c r="H206" s="9"/>
      <c r="I206" s="9"/>
      <c r="J206" s="77"/>
      <c r="K206" s="77"/>
    </row>
    <row r="207" ht="12.75" customHeight="1">
      <c r="A207" s="797" t="s">
        <v>1399</v>
      </c>
      <c r="B207" s="769">
        <f t="shared" si="2"/>
        <v>0.0757770910184508</v>
      </c>
      <c r="C207" s="769">
        <v>0.02197556228731735</v>
      </c>
      <c r="D207" s="769">
        <v>0.1763748002742693</v>
      </c>
      <c r="E207" s="769">
        <v>0.03347709101845075</v>
      </c>
      <c r="F207" s="798">
        <v>3491477.193139935</v>
      </c>
      <c r="G207" s="9"/>
      <c r="H207" s="9"/>
      <c r="I207" s="9"/>
      <c r="J207" s="77"/>
      <c r="K207" s="77"/>
    </row>
    <row r="208" ht="12.75" customHeight="1">
      <c r="A208" s="797" t="s">
        <v>1400</v>
      </c>
      <c r="B208" s="769">
        <f t="shared" si="2"/>
        <v>0.0623668644036819</v>
      </c>
      <c r="C208" s="769">
        <v>0.01317260894535964</v>
      </c>
      <c r="D208" s="769">
        <v>0.1612022550597852</v>
      </c>
      <c r="E208" s="769">
        <v>0.0200668644036819</v>
      </c>
      <c r="F208" s="798">
        <v>3565018.312473313</v>
      </c>
      <c r="G208" s="9"/>
      <c r="H208" s="9"/>
      <c r="I208" s="9"/>
      <c r="J208" s="77"/>
      <c r="K208" s="77"/>
    </row>
    <row r="209" ht="12.75" customHeight="1">
      <c r="A209" s="797" t="s">
        <v>1401</v>
      </c>
      <c r="B209" s="769">
        <f t="shared" si="2"/>
        <v>0.044464748784794</v>
      </c>
      <c r="C209" s="769">
        <v>0.002164748784794041</v>
      </c>
      <c r="D209" s="769">
        <v>0.2508252232851971</v>
      </c>
      <c r="E209" s="769">
        <v>0.002164748784794041</v>
      </c>
      <c r="F209" s="798">
        <v>3.099459295736496E7</v>
      </c>
      <c r="G209" s="9"/>
      <c r="H209" s="9"/>
      <c r="I209" s="9"/>
      <c r="J209" s="77"/>
      <c r="K209" s="77"/>
    </row>
    <row r="210" ht="12.75" customHeight="1">
      <c r="A210" s="797" t="s">
        <v>1402</v>
      </c>
      <c r="B210" s="769">
        <f t="shared" si="2"/>
        <v>0.0526654676788577</v>
      </c>
      <c r="C210" s="769">
        <v>0.006804264459189996</v>
      </c>
      <c r="D210" s="769">
        <v>0.2555723115658393</v>
      </c>
      <c r="E210" s="769">
        <v>0.01036546767885774</v>
      </c>
      <c r="F210" s="798">
        <v>2.356172563514651E7</v>
      </c>
      <c r="G210" s="9"/>
      <c r="H210" s="9"/>
      <c r="I210" s="9"/>
      <c r="J210" s="77"/>
      <c r="K210" s="77"/>
    </row>
    <row r="211" ht="12.75" customHeight="1">
      <c r="A211" s="797" t="s">
        <v>1213</v>
      </c>
      <c r="B211" s="769">
        <f t="shared" si="2"/>
        <v>0.0562570733004629</v>
      </c>
      <c r="C211" s="769">
        <v>0.009376176752184568</v>
      </c>
      <c r="D211" s="769">
        <v>0.2536757601997432</v>
      </c>
      <c r="E211" s="769">
        <v>0.01395707330046291</v>
      </c>
      <c r="F211" s="798">
        <v>1.075902885272093E8</v>
      </c>
      <c r="G211" s="9"/>
      <c r="H211" s="9"/>
      <c r="I211" s="9"/>
      <c r="J211" s="77"/>
      <c r="K211" s="77"/>
    </row>
    <row r="212" ht="12.75" customHeight="1">
      <c r="A212" s="9"/>
      <c r="B212" s="9"/>
      <c r="C212" s="9"/>
      <c r="D212" s="748"/>
      <c r="E212" s="9"/>
      <c r="F212" s="9"/>
      <c r="G212" s="9"/>
      <c r="H212" s="9"/>
      <c r="I212" s="9"/>
      <c r="J212" s="77"/>
      <c r="K212" s="77"/>
    </row>
    <row r="213" ht="12.75" customHeight="1">
      <c r="A213" s="9"/>
      <c r="B213" s="9"/>
      <c r="C213" s="9"/>
      <c r="D213" s="748"/>
      <c r="E213" s="9"/>
      <c r="F213" s="9"/>
      <c r="G213" s="9"/>
      <c r="H213" s="9"/>
      <c r="I213" s="9"/>
      <c r="J213" s="77"/>
      <c r="K213" s="77"/>
    </row>
    <row r="214" ht="12.75" customHeight="1">
      <c r="A214" s="796"/>
      <c r="B214" s="796" t="s">
        <v>932</v>
      </c>
      <c r="C214" s="796" t="s">
        <v>1404</v>
      </c>
      <c r="D214" s="768" t="s">
        <v>250</v>
      </c>
      <c r="E214" s="796" t="s">
        <v>1405</v>
      </c>
      <c r="F214" s="9"/>
      <c r="G214" s="9"/>
      <c r="H214" s="9"/>
      <c r="I214" s="9"/>
      <c r="J214" s="77"/>
      <c r="K214" s="77"/>
    </row>
    <row r="215" ht="12.75" customHeight="1">
      <c r="A215" s="797" t="s">
        <v>1406</v>
      </c>
      <c r="B215" s="769">
        <f t="shared" ref="B215:B225" si="3">$B$2+E215</f>
        <v>0.0849148494867461</v>
      </c>
      <c r="C215" s="769">
        <v>0.02803608518864874</v>
      </c>
      <c r="D215" s="769">
        <v>0.2058721138308135</v>
      </c>
      <c r="E215" s="769">
        <f t="shared" ref="E215:E225" si="4">C215*1.52</f>
        <v>0.0426148494867461</v>
      </c>
      <c r="F215" s="753"/>
      <c r="G215" s="9"/>
      <c r="H215" s="9"/>
      <c r="I215" s="9"/>
      <c r="J215" s="77"/>
      <c r="K215" s="77"/>
    </row>
    <row r="216" ht="12.75" customHeight="1">
      <c r="A216" s="797" t="s">
        <v>1409</v>
      </c>
      <c r="B216" s="769">
        <f t="shared" si="3"/>
        <v>0.0423192903892356</v>
      </c>
      <c r="C216" s="769">
        <v>1.269104554973757E-5</v>
      </c>
      <c r="D216" s="769">
        <v>0.2784270460992133</v>
      </c>
      <c r="E216" s="769">
        <f t="shared" si="4"/>
        <v>1.92903892356011e-05</v>
      </c>
      <c r="F216" s="9"/>
      <c r="G216" s="9"/>
      <c r="H216" s="9"/>
      <c r="I216" s="9"/>
      <c r="J216" s="77"/>
      <c r="K216" s="77"/>
    </row>
    <row r="217" ht="12.75" customHeight="1">
      <c r="A217" s="797" t="s">
        <v>1411</v>
      </c>
      <c r="B217" s="769">
        <f t="shared" si="3"/>
        <v>0.0861749410115473</v>
      </c>
      <c r="C217" s="769">
        <v>0.02886509277075483</v>
      </c>
      <c r="D217" s="769">
        <v>0.3129313332754861</v>
      </c>
      <c r="E217" s="769">
        <f t="shared" si="4"/>
        <v>0.0438749410115473</v>
      </c>
      <c r="F217" s="9"/>
      <c r="G217" s="9"/>
      <c r="H217" s="9"/>
      <c r="I217" s="9"/>
      <c r="J217" s="77"/>
      <c r="K217" s="77"/>
    </row>
    <row r="218" ht="12.75" customHeight="1">
      <c r="A218" s="797" t="s">
        <v>1215</v>
      </c>
      <c r="B218" s="769">
        <f t="shared" si="3"/>
        <v>0.051409248196635</v>
      </c>
      <c r="C218" s="769">
        <v>0.005992926445154621</v>
      </c>
      <c r="D218" s="769">
        <v>0.2974</v>
      </c>
      <c r="E218" s="769">
        <f t="shared" si="4"/>
        <v>0.00910924819663502</v>
      </c>
      <c r="F218" s="9"/>
      <c r="G218" s="9"/>
      <c r="H218" s="9"/>
      <c r="I218" s="9"/>
      <c r="J218" s="77"/>
      <c r="K218" s="77"/>
    </row>
    <row r="219" ht="12.75" customHeight="1">
      <c r="A219" s="797" t="s">
        <v>1187</v>
      </c>
      <c r="B219" s="769">
        <f t="shared" si="3"/>
        <v>0.0458471923383879</v>
      </c>
      <c r="C219" s="769">
        <v>0.002333679169992019</v>
      </c>
      <c r="D219" s="769">
        <v>0.25</v>
      </c>
      <c r="E219" s="769">
        <f t="shared" si="4"/>
        <v>0.00354719233838787</v>
      </c>
      <c r="F219" s="9"/>
      <c r="G219" s="9"/>
      <c r="H219" s="9"/>
      <c r="I219" s="9"/>
      <c r="J219" s="77"/>
      <c r="K219" s="77"/>
    </row>
    <row r="220" ht="12.75" customHeight="1">
      <c r="A220" s="797" t="s">
        <v>1210</v>
      </c>
      <c r="B220" s="769">
        <f t="shared" si="3"/>
        <v>0.0526424819779688</v>
      </c>
      <c r="C220" s="769">
        <v>0.006804264459189996</v>
      </c>
      <c r="D220" s="769">
        <v>0.2555723115658393</v>
      </c>
      <c r="E220" s="769">
        <f t="shared" si="4"/>
        <v>0.0103424819779688</v>
      </c>
      <c r="F220" s="9"/>
      <c r="G220" s="9"/>
      <c r="H220" s="9"/>
      <c r="I220" s="9"/>
      <c r="J220" s="77"/>
      <c r="K220" s="77"/>
    </row>
    <row r="221" ht="12.75" customHeight="1">
      <c r="A221" s="797" t="s">
        <v>1414</v>
      </c>
      <c r="B221" s="769">
        <f t="shared" si="3"/>
        <v>0.0662243431997698</v>
      </c>
      <c r="C221" s="769">
        <v>0.01573969947353278</v>
      </c>
      <c r="D221" s="769">
        <v>0.2511014733202446</v>
      </c>
      <c r="E221" s="769">
        <f t="shared" si="4"/>
        <v>0.0239243431997698</v>
      </c>
      <c r="F221" s="9"/>
      <c r="G221" s="9"/>
      <c r="H221" s="9"/>
      <c r="I221" s="9"/>
      <c r="J221" s="77"/>
      <c r="K221" s="77"/>
    </row>
    <row r="222" ht="12.75" customHeight="1">
      <c r="A222" s="797" t="s">
        <v>1416</v>
      </c>
      <c r="B222" s="769">
        <f t="shared" si="3"/>
        <v>0.0669852098003664</v>
      </c>
      <c r="C222" s="769">
        <v>0.01624026960550423</v>
      </c>
      <c r="D222" s="769">
        <v>0.2572634936183723</v>
      </c>
      <c r="E222" s="769">
        <f t="shared" si="4"/>
        <v>0.0246852098003664</v>
      </c>
      <c r="F222" s="9"/>
      <c r="G222" s="9"/>
      <c r="H222" s="9"/>
      <c r="I222" s="9"/>
      <c r="J222" s="77"/>
      <c r="K222" s="77"/>
    </row>
    <row r="223" ht="12.75" customHeight="1">
      <c r="A223" s="797" t="s">
        <v>1251</v>
      </c>
      <c r="B223" s="769">
        <f t="shared" si="3"/>
        <v>0.0706904902128458</v>
      </c>
      <c r="C223" s="769">
        <v>0.01867795408739856</v>
      </c>
      <c r="D223" s="769">
        <v>0.3</v>
      </c>
      <c r="E223" s="769">
        <f t="shared" si="4"/>
        <v>0.0283904902128458</v>
      </c>
      <c r="F223" s="9"/>
      <c r="G223" s="9"/>
      <c r="H223" s="9"/>
      <c r="I223" s="9"/>
      <c r="J223" s="77"/>
      <c r="K223" s="77"/>
    </row>
    <row r="224" ht="12.75" customHeight="1">
      <c r="A224" s="797" t="s">
        <v>949</v>
      </c>
      <c r="B224" s="769">
        <f t="shared" si="3"/>
        <v>0.051409248196635</v>
      </c>
      <c r="C224" s="769">
        <v>0.005992926445154621</v>
      </c>
      <c r="D224" s="769">
        <v>0.25</v>
      </c>
      <c r="E224" s="769">
        <f t="shared" si="4"/>
        <v>0.00910924819663502</v>
      </c>
      <c r="F224" s="9"/>
      <c r="G224" s="9"/>
      <c r="H224" s="9"/>
      <c r="I224" s="9"/>
      <c r="J224" s="77"/>
      <c r="K224" s="77"/>
    </row>
    <row r="225" ht="12.75" customHeight="1">
      <c r="A225" s="797" t="s">
        <v>1213</v>
      </c>
      <c r="B225" s="769">
        <f t="shared" si="3"/>
        <v>0.0565517886633205</v>
      </c>
      <c r="C225" s="769">
        <v>0.009376176752184568</v>
      </c>
      <c r="D225" s="769">
        <v>0.2536757601997432</v>
      </c>
      <c r="E225" s="769">
        <f t="shared" si="4"/>
        <v>0.0142517886633205</v>
      </c>
      <c r="F225" s="9"/>
      <c r="G225" s="9"/>
      <c r="H225" s="9"/>
      <c r="I225" s="9"/>
      <c r="J225" s="77"/>
      <c r="K225" s="77"/>
    </row>
    <row r="226" ht="12.75" customHeight="1">
      <c r="A226" s="9"/>
      <c r="B226" s="748"/>
      <c r="C226" s="748"/>
      <c r="D226" s="748"/>
      <c r="E226" s="9"/>
      <c r="F226" s="9"/>
      <c r="G226" s="9"/>
      <c r="H226" s="9"/>
      <c r="I226" s="9"/>
      <c r="J226" s="77"/>
      <c r="K226" s="77"/>
    </row>
    <row r="227" ht="12.75" customHeight="1">
      <c r="A227" s="799" t="s">
        <v>1420</v>
      </c>
      <c r="D227" s="748"/>
      <c r="E227" s="9"/>
      <c r="F227" s="9"/>
      <c r="G227" s="9"/>
      <c r="H227" s="9"/>
      <c r="I227" s="9"/>
      <c r="J227" s="77"/>
      <c r="K227" s="77"/>
    </row>
    <row r="228" ht="12.75" customHeight="1">
      <c r="A228" s="796"/>
      <c r="B228" s="796" t="s">
        <v>932</v>
      </c>
      <c r="C228" s="796" t="s">
        <v>1404</v>
      </c>
      <c r="D228" s="768" t="s">
        <v>250</v>
      </c>
      <c r="E228" s="796" t="s">
        <v>1405</v>
      </c>
      <c r="F228" s="9"/>
      <c r="G228" s="9"/>
      <c r="H228" s="9"/>
      <c r="I228" s="9"/>
      <c r="J228" s="77"/>
      <c r="K228" s="77"/>
    </row>
    <row r="229" ht="12.75" customHeight="1">
      <c r="A229" s="797" t="s">
        <v>1037</v>
      </c>
      <c r="B229" s="769">
        <f>B2+E229</f>
        <v>0.0591112</v>
      </c>
      <c r="C229" s="769">
        <v>0.01106</v>
      </c>
      <c r="D229" s="800">
        <v>0.2486</v>
      </c>
      <c r="E229" s="769">
        <f>C229*1.52</f>
        <v>0.0168112</v>
      </c>
      <c r="F229" s="9"/>
      <c r="G229" s="9"/>
      <c r="H229" s="9"/>
      <c r="I229" s="9"/>
      <c r="J229" s="77"/>
      <c r="K229" s="77"/>
    </row>
    <row r="230" ht="12.75" customHeight="1">
      <c r="A230" s="9"/>
      <c r="B230" s="9"/>
      <c r="C230" s="9"/>
      <c r="D230" s="748"/>
      <c r="E230" s="9"/>
      <c r="F230" s="9"/>
      <c r="G230" s="9"/>
      <c r="H230" s="9"/>
      <c r="I230" s="9"/>
      <c r="J230" s="77"/>
      <c r="K230" s="77"/>
    </row>
    <row r="231" ht="12.75" customHeight="1">
      <c r="A231" s="9"/>
      <c r="B231" s="9"/>
      <c r="C231" s="9"/>
      <c r="D231" s="748"/>
      <c r="E231" s="9"/>
      <c r="F231" s="9"/>
      <c r="G231" s="9"/>
      <c r="H231" s="9"/>
      <c r="I231" s="9"/>
      <c r="J231" s="77"/>
      <c r="K231" s="77"/>
    </row>
    <row r="232" ht="12.75" customHeight="1">
      <c r="A232" s="9"/>
      <c r="B232" s="9"/>
      <c r="C232" s="9"/>
      <c r="D232" s="748"/>
      <c r="E232" s="9"/>
      <c r="F232" s="9"/>
      <c r="G232" s="9"/>
      <c r="H232" s="9"/>
      <c r="I232" s="9"/>
      <c r="J232" s="77"/>
      <c r="K232" s="77"/>
    </row>
    <row r="233" ht="12.75" customHeight="1">
      <c r="A233" s="9"/>
      <c r="B233" s="9"/>
      <c r="C233" s="9"/>
      <c r="D233" s="748"/>
      <c r="E233" s="9"/>
      <c r="F233" s="9"/>
      <c r="G233" s="9"/>
      <c r="H233" s="9"/>
      <c r="I233" s="9"/>
      <c r="J233" s="77"/>
      <c r="K233" s="77"/>
    </row>
    <row r="234" ht="12.75" customHeight="1">
      <c r="A234" s="9"/>
      <c r="B234" s="9"/>
      <c r="C234" s="9"/>
      <c r="D234" s="748"/>
      <c r="E234" s="9"/>
      <c r="F234" s="9"/>
      <c r="G234" s="9"/>
      <c r="H234" s="9"/>
      <c r="I234" s="9"/>
      <c r="J234" s="77"/>
      <c r="K234" s="77"/>
    </row>
    <row r="235" ht="12.75" customHeight="1">
      <c r="A235" s="9"/>
      <c r="B235" s="9"/>
      <c r="C235" s="9"/>
      <c r="D235" s="748"/>
      <c r="E235" s="9"/>
      <c r="F235" s="9"/>
      <c r="G235" s="9"/>
      <c r="H235" s="9"/>
      <c r="I235" s="9"/>
      <c r="J235" s="77"/>
      <c r="K235" s="77"/>
    </row>
    <row r="236" ht="12.75" customHeight="1">
      <c r="A236" s="9"/>
      <c r="B236" s="9"/>
      <c r="C236" s="9"/>
      <c r="D236" s="748"/>
      <c r="E236" s="9"/>
      <c r="F236" s="9"/>
      <c r="G236" s="9"/>
      <c r="H236" s="9"/>
      <c r="I236" s="9"/>
      <c r="J236" s="77"/>
      <c r="K236" s="77"/>
    </row>
    <row r="237" ht="12.75" customHeight="1">
      <c r="A237" s="9"/>
      <c r="B237" s="9"/>
      <c r="C237" s="9"/>
      <c r="D237" s="748"/>
      <c r="E237" s="9"/>
      <c r="F237" s="9"/>
      <c r="G237" s="9"/>
      <c r="H237" s="9"/>
      <c r="I237" s="9"/>
      <c r="J237" s="77"/>
      <c r="K237" s="77"/>
    </row>
    <row r="238" ht="12.75" customHeight="1">
      <c r="A238" s="9"/>
      <c r="B238" s="9"/>
      <c r="C238" s="9"/>
      <c r="D238" s="748"/>
      <c r="E238" s="9"/>
      <c r="F238" s="9"/>
      <c r="G238" s="9"/>
      <c r="H238" s="9"/>
      <c r="I238" s="9"/>
      <c r="J238" s="77"/>
      <c r="K238" s="77"/>
    </row>
    <row r="239" ht="12.75" customHeight="1">
      <c r="A239" s="9"/>
      <c r="B239" s="9"/>
      <c r="C239" s="9"/>
      <c r="D239" s="748"/>
      <c r="E239" s="9"/>
      <c r="F239" s="9"/>
      <c r="G239" s="9"/>
      <c r="H239" s="9"/>
      <c r="I239" s="9"/>
      <c r="J239" s="77"/>
      <c r="K239" s="77"/>
    </row>
    <row r="240" ht="12.75" customHeight="1">
      <c r="A240" s="9"/>
      <c r="B240" s="9"/>
      <c r="C240" s="9"/>
      <c r="D240" s="748"/>
      <c r="E240" s="9"/>
      <c r="F240" s="9"/>
      <c r="G240" s="9"/>
      <c r="H240" s="9"/>
      <c r="I240" s="9"/>
      <c r="J240" s="77"/>
      <c r="K240" s="77"/>
    </row>
    <row r="241" ht="12.75" customHeight="1">
      <c r="A241" s="9"/>
      <c r="B241" s="9"/>
      <c r="C241" s="9"/>
      <c r="D241" s="748"/>
      <c r="E241" s="9"/>
      <c r="F241" s="9"/>
      <c r="G241" s="9"/>
      <c r="H241" s="9"/>
      <c r="I241" s="9"/>
      <c r="J241" s="77"/>
      <c r="K241" s="77"/>
    </row>
    <row r="242" ht="12.75" customHeight="1">
      <c r="A242" s="9"/>
      <c r="B242" s="9"/>
      <c r="C242" s="9"/>
      <c r="D242" s="748"/>
      <c r="E242" s="9"/>
      <c r="F242" s="9"/>
      <c r="G242" s="9"/>
      <c r="H242" s="9"/>
      <c r="I242" s="9"/>
      <c r="J242" s="77"/>
      <c r="K242" s="77"/>
    </row>
    <row r="243" ht="12.75" customHeight="1">
      <c r="A243" s="9"/>
      <c r="B243" s="9"/>
      <c r="C243" s="9"/>
      <c r="D243" s="748"/>
      <c r="E243" s="9"/>
      <c r="F243" s="9"/>
      <c r="G243" s="9"/>
      <c r="H243" s="9"/>
      <c r="I243" s="9"/>
      <c r="J243" s="77"/>
      <c r="K243" s="77"/>
    </row>
    <row r="244" ht="12.75" customHeight="1">
      <c r="A244" s="9"/>
      <c r="B244" s="9"/>
      <c r="C244" s="9"/>
      <c r="D244" s="748"/>
      <c r="E244" s="9"/>
      <c r="F244" s="9"/>
      <c r="G244" s="9"/>
      <c r="H244" s="9"/>
      <c r="I244" s="9"/>
      <c r="J244" s="77"/>
      <c r="K244" s="77"/>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27:C227"/>
  </mergeCells>
  <printOptions/>
  <pageMargins bottom="1.0" footer="0.0" header="0.0" left="0.75" right="0.75" top="1.0"/>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0"/>
    <col customWidth="1" min="2" max="23" width="8.38"/>
    <col customWidth="1" min="24" max="27" width="8.88"/>
  </cols>
  <sheetData>
    <row r="1" ht="37.5" customHeight="1">
      <c r="A1" s="33" t="s">
        <v>72</v>
      </c>
      <c r="B1" s="35">
        <f>'Input sheet'!B1</f>
        <v>0.0</v>
      </c>
      <c r="C1" s="33" t="s">
        <v>57</v>
      </c>
      <c r="D1" s="37">
        <f>'Input sheet'!D1</f>
        <v>39.4</v>
      </c>
      <c r="E1" s="7"/>
      <c r="F1" s="7"/>
      <c r="G1" s="7"/>
      <c r="H1" s="7"/>
      <c r="I1" s="7"/>
      <c r="J1" s="7"/>
      <c r="K1" s="7"/>
      <c r="L1" s="7"/>
      <c r="M1" s="7"/>
      <c r="N1" s="7"/>
      <c r="O1" s="7"/>
      <c r="P1" s="7"/>
      <c r="Q1" s="7"/>
      <c r="R1" s="7"/>
      <c r="S1" s="7"/>
      <c r="T1" s="7"/>
      <c r="U1" s="7"/>
      <c r="V1" s="7"/>
      <c r="W1" s="7"/>
      <c r="X1" s="7"/>
      <c r="Y1" s="7"/>
      <c r="Z1" s="7"/>
      <c r="AA1" s="786"/>
    </row>
    <row r="2" ht="12.75" customHeight="1">
      <c r="A2" s="787" t="s">
        <v>909</v>
      </c>
      <c r="B2" s="788" t="s">
        <v>1352</v>
      </c>
      <c r="C2" s="789" t="s">
        <v>1354</v>
      </c>
      <c r="D2" s="789" t="s">
        <v>1356</v>
      </c>
      <c r="E2" s="789" t="s">
        <v>1357</v>
      </c>
      <c r="F2" s="788" t="s">
        <v>1358</v>
      </c>
      <c r="G2" s="788" t="s">
        <v>1052</v>
      </c>
      <c r="H2" s="788" t="s">
        <v>1359</v>
      </c>
      <c r="I2" s="788" t="s">
        <v>1360</v>
      </c>
      <c r="J2" s="788" t="s">
        <v>1361</v>
      </c>
      <c r="K2" s="788" t="s">
        <v>1362</v>
      </c>
      <c r="L2" s="788" t="s">
        <v>1363</v>
      </c>
      <c r="M2" s="788" t="s">
        <v>320</v>
      </c>
      <c r="N2" s="790" t="s">
        <v>1365</v>
      </c>
      <c r="O2" s="788" t="s">
        <v>616</v>
      </c>
      <c r="P2" s="788" t="s">
        <v>107</v>
      </c>
      <c r="Q2" s="788" t="s">
        <v>624</v>
      </c>
      <c r="R2" s="788" t="s">
        <v>1366</v>
      </c>
      <c r="S2" s="788" t="s">
        <v>1368</v>
      </c>
      <c r="T2" s="788" t="s">
        <v>1369</v>
      </c>
      <c r="U2" s="788" t="s">
        <v>1370</v>
      </c>
      <c r="V2" s="788" t="s">
        <v>1371</v>
      </c>
      <c r="W2" s="788" t="s">
        <v>742</v>
      </c>
      <c r="X2" s="788" t="s">
        <v>1372</v>
      </c>
      <c r="Y2" s="788" t="s">
        <v>1373</v>
      </c>
      <c r="Z2" s="788" t="s">
        <v>1374</v>
      </c>
      <c r="AA2" s="788" t="s">
        <v>1375</v>
      </c>
    </row>
    <row r="3" ht="12.75" customHeight="1">
      <c r="A3" s="791" t="s">
        <v>911</v>
      </c>
      <c r="B3" s="581">
        <v>52.0</v>
      </c>
      <c r="C3" s="792">
        <v>0.1767452173913043</v>
      </c>
      <c r="D3" s="792">
        <v>0.1006579872349902</v>
      </c>
      <c r="E3" s="792">
        <v>0.2772269074749548</v>
      </c>
      <c r="F3" s="792">
        <v>0.2807582010211933</v>
      </c>
      <c r="G3" s="793">
        <v>1.008009890342126</v>
      </c>
      <c r="H3" s="793">
        <v>1.210506967409714</v>
      </c>
      <c r="I3" s="792">
        <v>0.09348861074647324</v>
      </c>
      <c r="J3" s="792">
        <v>0.6291480405048702</v>
      </c>
      <c r="K3" s="792">
        <v>0.052913</v>
      </c>
      <c r="L3" s="792">
        <v>0.2867335758206064</v>
      </c>
      <c r="M3" s="792">
        <v>0.07806123736168302</v>
      </c>
      <c r="N3" s="793">
        <v>3.853284109074878</v>
      </c>
      <c r="O3" s="793">
        <v>2.124894482334712</v>
      </c>
      <c r="P3" s="793">
        <v>11.99864507503545</v>
      </c>
      <c r="Q3" s="793">
        <v>20.90871553387436</v>
      </c>
      <c r="R3" s="793">
        <v>4.551214997456897</v>
      </c>
      <c r="S3" s="793">
        <v>44.43335288410666</v>
      </c>
      <c r="T3" s="792">
        <v>0.03833924739785394</v>
      </c>
      <c r="U3" s="792">
        <v>0.01912856422404044</v>
      </c>
      <c r="V3" s="792">
        <v>-0.01521312510779972</v>
      </c>
      <c r="W3" s="792">
        <v>-0.2050208210370641</v>
      </c>
      <c r="X3" s="792">
        <v>-0.01342256630072023</v>
      </c>
      <c r="Y3" s="792">
        <v>0.002746594292734156</v>
      </c>
      <c r="Z3" s="792">
        <v>0.002746594292734161</v>
      </c>
      <c r="AA3" s="794">
        <v>0.1019039142882163</v>
      </c>
    </row>
    <row r="4" ht="12.75" customHeight="1">
      <c r="A4" s="791" t="s">
        <v>914</v>
      </c>
      <c r="B4" s="581">
        <v>79.0</v>
      </c>
      <c r="C4" s="792">
        <v>0.1109988095238095</v>
      </c>
      <c r="D4" s="792">
        <v>0.08654588995592664</v>
      </c>
      <c r="E4" s="792">
        <v>0.160123607492574</v>
      </c>
      <c r="F4" s="792">
        <v>0.1711225373304806</v>
      </c>
      <c r="G4" s="793">
        <v>0.8693772823914925</v>
      </c>
      <c r="H4" s="793">
        <v>0.945491480030761</v>
      </c>
      <c r="I4" s="792">
        <v>0.08166892000937194</v>
      </c>
      <c r="J4" s="792">
        <v>0.4645229995086378</v>
      </c>
      <c r="K4" s="792">
        <v>0.052913</v>
      </c>
      <c r="L4" s="792">
        <v>0.134668119667556</v>
      </c>
      <c r="M4" s="792">
        <v>0.07601499077840683</v>
      </c>
      <c r="N4" s="793">
        <v>2.743410439975415</v>
      </c>
      <c r="O4" s="793">
        <v>3.570706581908985</v>
      </c>
      <c r="P4" s="793">
        <v>21.58391276518138</v>
      </c>
      <c r="Q4" s="793">
        <v>34.78792620620136</v>
      </c>
      <c r="R4" s="793">
        <v>7.880460504324958</v>
      </c>
      <c r="S4" s="793">
        <v>92.80031534792768</v>
      </c>
      <c r="T4" s="792">
        <v>0.4121022649063961</v>
      </c>
      <c r="U4" s="792">
        <v>0.02996229507217621</v>
      </c>
      <c r="V4" s="792">
        <v>0.008180079107619597</v>
      </c>
      <c r="W4" s="792">
        <v>0.6791726169949143</v>
      </c>
      <c r="X4" s="792">
        <v>0.1526898724987998</v>
      </c>
      <c r="Y4" s="792">
        <v>0.5015234087265174</v>
      </c>
      <c r="Z4" s="792">
        <v>0.5015234087265174</v>
      </c>
      <c r="AA4" s="794">
        <v>0.08765371591441157</v>
      </c>
    </row>
    <row r="5" ht="12.75" customHeight="1">
      <c r="A5" s="791" t="s">
        <v>916</v>
      </c>
      <c r="B5" s="581">
        <v>23.0</v>
      </c>
      <c r="C5" s="792">
        <v>0.4778615384615385</v>
      </c>
      <c r="D5" s="792">
        <v>0.05321179963425901</v>
      </c>
      <c r="E5" s="792">
        <v>0.07929312533704834</v>
      </c>
      <c r="F5" s="792">
        <v>0.2262844025651933</v>
      </c>
      <c r="G5" s="793">
        <v>0.7579038179118688</v>
      </c>
      <c r="H5" s="793">
        <v>1.185465100406711</v>
      </c>
      <c r="I5" s="792">
        <v>0.09237174347813931</v>
      </c>
      <c r="J5" s="792">
        <v>0.590043262853523</v>
      </c>
      <c r="K5" s="792">
        <v>0.052913</v>
      </c>
      <c r="L5" s="792">
        <v>0.4769069257453501</v>
      </c>
      <c r="M5" s="792">
        <v>0.06724495139171459</v>
      </c>
      <c r="N5" s="793">
        <v>1.799883651563514</v>
      </c>
      <c r="O5" s="793">
        <v>1.025954922450268</v>
      </c>
      <c r="P5" s="793">
        <v>7.57525768425806</v>
      </c>
      <c r="Q5" s="793">
        <v>19.31868974315794</v>
      </c>
      <c r="R5" s="793">
        <v>2.841422848445872</v>
      </c>
      <c r="S5" s="793">
        <v>18.32154666661634</v>
      </c>
      <c r="T5" s="792">
        <v>0.004517379224045571</v>
      </c>
      <c r="U5" s="792">
        <v>0.08297199304028144</v>
      </c>
      <c r="V5" s="792">
        <v>0.03606573056646115</v>
      </c>
      <c r="W5" s="792">
        <v>0.8375441324988381</v>
      </c>
      <c r="X5" s="792">
        <v>0.1419484078609557</v>
      </c>
      <c r="Y5" s="792">
        <v>0.1320715404860265</v>
      </c>
      <c r="Z5" s="792">
        <v>0.1320715404860264</v>
      </c>
      <c r="AA5" s="794">
        <v>0.04899064232947189</v>
      </c>
    </row>
    <row r="6" ht="12.75" customHeight="1">
      <c r="A6" s="791" t="s">
        <v>920</v>
      </c>
      <c r="B6" s="581">
        <v>35.0</v>
      </c>
      <c r="C6" s="792">
        <v>0.08102043478260869</v>
      </c>
      <c r="D6" s="792">
        <v>0.09110059660081257</v>
      </c>
      <c r="E6" s="792">
        <v>0.157685156024459</v>
      </c>
      <c r="F6" s="792">
        <v>0.2211357894801231</v>
      </c>
      <c r="G6" s="793">
        <v>0.794563498700363</v>
      </c>
      <c r="H6" s="793">
        <v>0.9358744642979875</v>
      </c>
      <c r="I6" s="792">
        <v>0.08124000110769025</v>
      </c>
      <c r="J6" s="792">
        <v>0.4626373673236945</v>
      </c>
      <c r="K6" s="792">
        <v>0.052913</v>
      </c>
      <c r="L6" s="792">
        <v>0.2383405613748074</v>
      </c>
      <c r="M6" s="792">
        <v>0.07133569923061227</v>
      </c>
      <c r="N6" s="793">
        <v>1.768667029517862</v>
      </c>
      <c r="O6" s="793">
        <v>1.594209821413011</v>
      </c>
      <c r="P6" s="793">
        <v>10.3048863218164</v>
      </c>
      <c r="Q6" s="793">
        <v>16.08652156882508</v>
      </c>
      <c r="R6" s="793">
        <v>3.893952784961127</v>
      </c>
      <c r="S6" s="793">
        <v>37.82798638911136</v>
      </c>
      <c r="T6" s="792">
        <v>0.2437936543231524</v>
      </c>
      <c r="U6" s="792">
        <v>0.02417970610801618</v>
      </c>
      <c r="V6" s="792">
        <v>0.02076543961278131</v>
      </c>
      <c r="W6" s="792">
        <v>0.3147357131772605</v>
      </c>
      <c r="X6" s="792">
        <v>0.1042077143729041</v>
      </c>
      <c r="Y6" s="792">
        <v>0.5009316781675721</v>
      </c>
      <c r="Z6" s="792">
        <v>0.5009316781675721</v>
      </c>
      <c r="AA6" s="794">
        <v>0.0987364672594272</v>
      </c>
    </row>
    <row r="7" ht="12.75" customHeight="1">
      <c r="A7" s="791" t="s">
        <v>923</v>
      </c>
      <c r="B7" s="581">
        <v>33.0</v>
      </c>
      <c r="C7" s="792">
        <v>0.08639999999999999</v>
      </c>
      <c r="D7" s="792">
        <v>0.02318213303371271</v>
      </c>
      <c r="E7" s="792">
        <v>0.02247412851375608</v>
      </c>
      <c r="F7" s="792">
        <v>0.2193068050424434</v>
      </c>
      <c r="G7" s="793">
        <v>1.30816520643589</v>
      </c>
      <c r="H7" s="793">
        <v>1.456493304834781</v>
      </c>
      <c r="I7" s="792">
        <v>0.1044596013956313</v>
      </c>
      <c r="J7" s="792">
        <v>0.6183460542354303</v>
      </c>
      <c r="K7" s="792">
        <v>0.052913</v>
      </c>
      <c r="L7" s="792">
        <v>0.1645493552310309</v>
      </c>
      <c r="M7" s="792">
        <v>0.0938009413632943</v>
      </c>
      <c r="N7" s="793">
        <v>1.075295700221258</v>
      </c>
      <c r="O7" s="793">
        <v>3.883020426885024</v>
      </c>
      <c r="P7" s="793">
        <v>47.75584242880809</v>
      </c>
      <c r="Q7" s="793">
        <v>160.3162553193214</v>
      </c>
      <c r="R7" s="793">
        <v>7.724731802119622</v>
      </c>
      <c r="S7" s="793">
        <v>64.32031076304214</v>
      </c>
      <c r="T7" s="792">
        <v>-0.02961210934566343</v>
      </c>
      <c r="U7" s="792">
        <v>0.05943956971379534</v>
      </c>
      <c r="V7" s="792">
        <v>0.02096318389061864</v>
      </c>
      <c r="W7" s="792">
        <v>-0.3855679082103046</v>
      </c>
      <c r="X7" s="792">
        <v>0.03159322520026207</v>
      </c>
      <c r="Y7" s="792">
        <v>0.5830852925800871</v>
      </c>
      <c r="Z7" s="792">
        <v>0.5830852925800871</v>
      </c>
      <c r="AA7" s="794">
        <v>0.02528298212000548</v>
      </c>
    </row>
    <row r="8" ht="12.75" customHeight="1">
      <c r="A8" s="791" t="s">
        <v>1383</v>
      </c>
      <c r="B8" s="581">
        <v>35.0</v>
      </c>
      <c r="C8" s="792">
        <v>0.1590947826086957</v>
      </c>
      <c r="D8" s="792">
        <v>0.05673758663662253</v>
      </c>
      <c r="E8" s="792">
        <v>0.08975948273328078</v>
      </c>
      <c r="F8" s="792">
        <v>0.3164684174560379</v>
      </c>
      <c r="G8" s="793">
        <v>1.128305105178362</v>
      </c>
      <c r="H8" s="793">
        <v>1.339446365194841</v>
      </c>
      <c r="I8" s="792">
        <v>0.09923930788768992</v>
      </c>
      <c r="J8" s="792">
        <v>0.4987204042985499</v>
      </c>
      <c r="K8" s="792">
        <v>0.052913</v>
      </c>
      <c r="L8" s="792">
        <v>0.293106392650663</v>
      </c>
      <c r="M8" s="792">
        <v>0.08178348625932404</v>
      </c>
      <c r="N8" s="793">
        <v>2.389159701430121</v>
      </c>
      <c r="O8" s="793">
        <v>0.822835978588616</v>
      </c>
      <c r="P8" s="793">
        <v>6.428093985050202</v>
      </c>
      <c r="Q8" s="793">
        <v>12.3828690407349</v>
      </c>
      <c r="R8" s="793">
        <v>1.865455398537074</v>
      </c>
      <c r="S8" s="793">
        <v>28.07297694836023</v>
      </c>
      <c r="T8" s="792">
        <v>0.1585492060088447</v>
      </c>
      <c r="U8" s="792">
        <v>0.02984567905796384</v>
      </c>
      <c r="V8" s="792">
        <v>0.02012558693359253</v>
      </c>
      <c r="W8" s="792">
        <v>0.3899160926503283</v>
      </c>
      <c r="X8" s="792">
        <v>0.02174148821191271</v>
      </c>
      <c r="Y8" s="792">
        <v>1.095468502103544</v>
      </c>
      <c r="Z8" s="792">
        <v>1.095468502103544</v>
      </c>
      <c r="AA8" s="794">
        <v>0.05963900470224144</v>
      </c>
    </row>
    <row r="9" ht="12.75" customHeight="1">
      <c r="A9" s="791" t="s">
        <v>1384</v>
      </c>
      <c r="B9" s="581">
        <v>15.0</v>
      </c>
      <c r="C9" s="792">
        <v>0.09056428571428571</v>
      </c>
      <c r="D9" s="792">
        <v>0.0</v>
      </c>
      <c r="E9" s="792" t="s">
        <v>1385</v>
      </c>
      <c r="F9" s="792">
        <v>0.1738047314193501</v>
      </c>
      <c r="G9" s="793">
        <v>0.4438913800649</v>
      </c>
      <c r="H9" s="793">
        <v>0.7610461819725333</v>
      </c>
      <c r="I9" s="792">
        <v>0.07344265971597498</v>
      </c>
      <c r="J9" s="792">
        <v>0.2273871767054001</v>
      </c>
      <c r="K9" s="792">
        <v>0.047306</v>
      </c>
      <c r="L9" s="792">
        <v>0.6214840556353255</v>
      </c>
      <c r="M9" s="792">
        <v>0.04984916125095924</v>
      </c>
      <c r="N9" s="793">
        <v>0.1906379954861498</v>
      </c>
      <c r="O9" s="793">
        <v>8.30955725045144</v>
      </c>
      <c r="P9" s="793" t="s">
        <v>1385</v>
      </c>
      <c r="Q9" s="793" t="s">
        <v>1385</v>
      </c>
      <c r="R9" s="793">
        <v>1.622329637857376</v>
      </c>
      <c r="S9" s="793">
        <v>14.95103617528728</v>
      </c>
      <c r="T9" s="792" t="s">
        <v>1385</v>
      </c>
      <c r="U9" s="792">
        <v>0.01780553375255397</v>
      </c>
      <c r="V9" s="792">
        <v>0.01794824430841158</v>
      </c>
      <c r="W9" s="792">
        <v>0.04984916125095924</v>
      </c>
      <c r="X9" s="792">
        <v>0.1286033422174945</v>
      </c>
      <c r="Y9" s="792">
        <v>0.2811083405068467</v>
      </c>
      <c r="Z9" s="792">
        <v>0.2811083405068466</v>
      </c>
      <c r="AA9" s="794">
        <v>7.750801437471605E-4</v>
      </c>
    </row>
    <row r="10" ht="12.75" customHeight="1">
      <c r="A10" s="791" t="s">
        <v>1391</v>
      </c>
      <c r="B10" s="581">
        <v>568.0</v>
      </c>
      <c r="C10" s="792">
        <v>0.08046543624161075</v>
      </c>
      <c r="D10" s="792">
        <v>4.906690582821559E-8</v>
      </c>
      <c r="E10" s="792" t="s">
        <v>1385</v>
      </c>
      <c r="F10" s="792">
        <v>0.2077764463042029</v>
      </c>
      <c r="G10" s="793">
        <v>0.3744392448485997</v>
      </c>
      <c r="H10" s="793">
        <v>0.3984765556409175</v>
      </c>
      <c r="I10" s="792">
        <v>0.05727205438158492</v>
      </c>
      <c r="J10" s="792">
        <v>0.2268255755296142</v>
      </c>
      <c r="K10" s="792">
        <v>0.047306</v>
      </c>
      <c r="L10" s="792">
        <v>0.3425477144640123</v>
      </c>
      <c r="M10" s="792">
        <v>0.04980706468584031</v>
      </c>
      <c r="N10" s="793">
        <v>0.328788112408653</v>
      </c>
      <c r="O10" s="793">
        <v>4.276272252419073</v>
      </c>
      <c r="P10" s="793" t="s">
        <v>1385</v>
      </c>
      <c r="Q10" s="793" t="s">
        <v>1385</v>
      </c>
      <c r="R10" s="793">
        <v>1.138035408465394</v>
      </c>
      <c r="S10" s="793">
        <v>33.60151765147859</v>
      </c>
      <c r="T10" s="792" t="s">
        <v>1385</v>
      </c>
      <c r="U10" s="792">
        <v>0.02289227395172249</v>
      </c>
      <c r="V10" s="792">
        <v>-0.01302434674243366</v>
      </c>
      <c r="W10" s="792" t="s">
        <v>1385</v>
      </c>
      <c r="X10" s="792">
        <v>0.09754318761860904</v>
      </c>
      <c r="Y10" s="792">
        <v>0.3608881307853747</v>
      </c>
      <c r="Z10" s="792">
        <v>0.3608881307853747</v>
      </c>
      <c r="AA10" s="794">
        <v>-0.001205702109434925</v>
      </c>
    </row>
    <row r="11" ht="12.75" customHeight="1">
      <c r="A11" s="791" t="s">
        <v>942</v>
      </c>
      <c r="B11" s="581">
        <v>14.0</v>
      </c>
      <c r="C11" s="792">
        <v>0.0342775</v>
      </c>
      <c r="D11" s="792">
        <v>0.2276334418561985</v>
      </c>
      <c r="E11" s="792">
        <v>0.1574476577657289</v>
      </c>
      <c r="F11" s="792">
        <v>0.2473220609635172</v>
      </c>
      <c r="G11" s="793">
        <v>0.6280466376925842</v>
      </c>
      <c r="H11" s="793">
        <v>0.8124756277132766</v>
      </c>
      <c r="I11" s="792">
        <v>0.07573641299601214</v>
      </c>
      <c r="J11" s="792">
        <v>0.5596193724547387</v>
      </c>
      <c r="K11" s="792">
        <v>0.052913</v>
      </c>
      <c r="L11" s="792">
        <v>0.3023502785795125</v>
      </c>
      <c r="M11" s="792">
        <v>0.06483618264591316</v>
      </c>
      <c r="N11" s="793">
        <v>0.7883105803585208</v>
      </c>
      <c r="O11" s="793">
        <v>2.453919895002763</v>
      </c>
      <c r="P11" s="793">
        <v>8.60547949225314</v>
      </c>
      <c r="Q11" s="793">
        <v>10.75235523108562</v>
      </c>
      <c r="R11" s="793">
        <v>1.914106644627441</v>
      </c>
      <c r="S11" s="793">
        <v>28.29629932115329</v>
      </c>
      <c r="T11" s="792">
        <v>0.1463996512322793</v>
      </c>
      <c r="U11" s="792">
        <v>0.06720499729148936</v>
      </c>
      <c r="V11" s="792">
        <v>0.03735964766520401</v>
      </c>
      <c r="W11" s="792">
        <v>0.2201792798649744</v>
      </c>
      <c r="X11" s="792">
        <v>0.0056819180842404</v>
      </c>
      <c r="Y11" s="792">
        <v>0.00224154517375531</v>
      </c>
      <c r="Z11" s="792">
        <v>0.002241545173755299</v>
      </c>
      <c r="AA11" s="794">
        <v>0.2278729266652661</v>
      </c>
    </row>
    <row r="12" ht="12.75" customHeight="1">
      <c r="A12" s="791" t="s">
        <v>1392</v>
      </c>
      <c r="B12" s="581">
        <v>27.0</v>
      </c>
      <c r="C12" s="792">
        <v>0.085835</v>
      </c>
      <c r="D12" s="792">
        <v>0.2052511464095513</v>
      </c>
      <c r="E12" s="792">
        <v>0.2902563541349132</v>
      </c>
      <c r="F12" s="792">
        <v>0.1957351452468393</v>
      </c>
      <c r="G12" s="793">
        <v>0.5754648330410659</v>
      </c>
      <c r="H12" s="793">
        <v>0.6414687070147179</v>
      </c>
      <c r="I12" s="792">
        <v>0.06810950433285642</v>
      </c>
      <c r="J12" s="792">
        <v>0.5788689759563741</v>
      </c>
      <c r="K12" s="792">
        <v>0.052913</v>
      </c>
      <c r="L12" s="792">
        <v>0.1707240273857684</v>
      </c>
      <c r="M12" s="792">
        <v>0.06325671579570011</v>
      </c>
      <c r="N12" s="793">
        <v>1.544178598437808</v>
      </c>
      <c r="O12" s="793">
        <v>4.156113450493375</v>
      </c>
      <c r="P12" s="793">
        <v>16.90424497023079</v>
      </c>
      <c r="Q12" s="793">
        <v>20.14057031238029</v>
      </c>
      <c r="R12" s="793">
        <v>6.869060540041212</v>
      </c>
      <c r="S12" s="793">
        <v>47.76375952172016</v>
      </c>
      <c r="T12" s="792">
        <v>-0.06003272102620585</v>
      </c>
      <c r="U12" s="792">
        <v>0.04589053562292564</v>
      </c>
      <c r="V12" s="792">
        <v>0.04690315914240828</v>
      </c>
      <c r="W12" s="792">
        <v>0.3393378251123354</v>
      </c>
      <c r="X12" s="792">
        <v>0.309155850955302</v>
      </c>
      <c r="Y12" s="792">
        <v>0.7266805539200581</v>
      </c>
      <c r="Z12" s="792">
        <v>0.7266805539200581</v>
      </c>
      <c r="AA12" s="794">
        <v>0.206320571232899</v>
      </c>
    </row>
    <row r="13" ht="12.75" customHeight="1">
      <c r="A13" s="791" t="s">
        <v>1395</v>
      </c>
      <c r="B13" s="581">
        <v>24.0</v>
      </c>
      <c r="C13" s="792">
        <v>0.08410105263157895</v>
      </c>
      <c r="D13" s="792">
        <v>0.1233389317157333</v>
      </c>
      <c r="E13" s="792">
        <v>0.145672947918031</v>
      </c>
      <c r="F13" s="792">
        <v>0.2553680892864994</v>
      </c>
      <c r="G13" s="793">
        <v>0.315292569835984</v>
      </c>
      <c r="H13" s="793">
        <v>0.4707520484863454</v>
      </c>
      <c r="I13" s="792">
        <v>0.06049554136249101</v>
      </c>
      <c r="J13" s="792">
        <v>0.4662306993347863</v>
      </c>
      <c r="K13" s="792">
        <v>0.052913</v>
      </c>
      <c r="L13" s="792">
        <v>0.4619440863788541</v>
      </c>
      <c r="M13" s="792">
        <v>0.05088211935972416</v>
      </c>
      <c r="N13" s="793">
        <v>1.278664967502679</v>
      </c>
      <c r="O13" s="793">
        <v>1.395140428325257</v>
      </c>
      <c r="P13" s="793">
        <v>7.84701463710848</v>
      </c>
      <c r="Q13" s="793">
        <v>11.15839660891767</v>
      </c>
      <c r="R13" s="793">
        <v>1.664721591780748</v>
      </c>
      <c r="S13" s="793">
        <v>44.7592195956879</v>
      </c>
      <c r="T13" s="792">
        <v>0.1045521295013434</v>
      </c>
      <c r="U13" s="792">
        <v>0.01823657338898001</v>
      </c>
      <c r="V13" s="792">
        <v>-0.02258875612806698</v>
      </c>
      <c r="W13" s="792">
        <v>1.887623815805541</v>
      </c>
      <c r="X13" s="792">
        <v>0.03985249661675879</v>
      </c>
      <c r="Y13" s="792">
        <v>0.608281553794069</v>
      </c>
      <c r="Z13" s="792">
        <v>0.608281553794069</v>
      </c>
      <c r="AA13" s="794">
        <v>0.123501001178836</v>
      </c>
    </row>
    <row r="14" ht="12.75" customHeight="1">
      <c r="A14" s="791" t="s">
        <v>1397</v>
      </c>
      <c r="B14" s="581">
        <v>32.0</v>
      </c>
      <c r="C14" s="792">
        <v>0.3551565217391305</v>
      </c>
      <c r="D14" s="792">
        <v>-1.791589659785801E-5</v>
      </c>
      <c r="E14" s="792" t="s">
        <v>1385</v>
      </c>
      <c r="F14" s="792">
        <v>0.2045176333849742</v>
      </c>
      <c r="G14" s="793">
        <v>0.6794030848916329</v>
      </c>
      <c r="H14" s="793">
        <v>1.171457071047836</v>
      </c>
      <c r="I14" s="792">
        <v>0.09174698536873349</v>
      </c>
      <c r="J14" s="792">
        <v>0.366085597210624</v>
      </c>
      <c r="K14" s="792">
        <v>0.050672</v>
      </c>
      <c r="L14" s="792">
        <v>0.5755042617612304</v>
      </c>
      <c r="M14" s="792">
        <v>0.06081766824925591</v>
      </c>
      <c r="N14" s="793">
        <v>0.2748679414806701</v>
      </c>
      <c r="O14" s="793">
        <v>5.782260395845316</v>
      </c>
      <c r="P14" s="793" t="s">
        <v>1385</v>
      </c>
      <c r="Q14" s="793" t="s">
        <v>1385</v>
      </c>
      <c r="R14" s="793">
        <v>2.808591856318562</v>
      </c>
      <c r="S14" s="793">
        <v>86.54190898171709</v>
      </c>
      <c r="T14" s="792" t="s">
        <v>1385</v>
      </c>
      <c r="U14" s="792">
        <v>0.02111127538384535</v>
      </c>
      <c r="V14" s="792">
        <v>0.01638611547330588</v>
      </c>
      <c r="W14" s="792" t="s">
        <v>1385</v>
      </c>
      <c r="X14" s="792">
        <v>0.1776790840770902</v>
      </c>
      <c r="Y14" s="792">
        <v>0.2761307603548932</v>
      </c>
      <c r="Z14" s="792">
        <v>0.2761307603548933</v>
      </c>
      <c r="AA14" s="794">
        <v>-0.001022586252035371</v>
      </c>
    </row>
    <row r="15" ht="12.75" customHeight="1">
      <c r="A15" s="791" t="s">
        <v>945</v>
      </c>
      <c r="B15" s="581">
        <v>41.0</v>
      </c>
      <c r="C15" s="792">
        <v>0.04138741935483869</v>
      </c>
      <c r="D15" s="792">
        <v>0.1263682651670859</v>
      </c>
      <c r="E15" s="792">
        <v>0.2016456871654533</v>
      </c>
      <c r="F15" s="792">
        <v>0.2835685386764281</v>
      </c>
      <c r="G15" s="793">
        <v>0.9605275604881124</v>
      </c>
      <c r="H15" s="793">
        <v>1.111532173344242</v>
      </c>
      <c r="I15" s="792">
        <v>0.08907433493115322</v>
      </c>
      <c r="J15" s="792">
        <v>0.3528210091019042</v>
      </c>
      <c r="K15" s="792">
        <v>0.050672</v>
      </c>
      <c r="L15" s="792">
        <v>0.2063385229383632</v>
      </c>
      <c r="M15" s="792">
        <v>0.07853655745549157</v>
      </c>
      <c r="N15" s="793">
        <v>2.060797714865319</v>
      </c>
      <c r="O15" s="793">
        <v>2.046061229341256</v>
      </c>
      <c r="P15" s="793">
        <v>11.60704114199348</v>
      </c>
      <c r="Q15" s="793">
        <v>15.9746010471706</v>
      </c>
      <c r="R15" s="793">
        <v>3.61632689588609</v>
      </c>
      <c r="S15" s="793">
        <v>32.79846401044874</v>
      </c>
      <c r="T15" s="792">
        <v>0.1843583667837102</v>
      </c>
      <c r="U15" s="792">
        <v>0.03551208384925764</v>
      </c>
      <c r="V15" s="792">
        <v>0.02768461723598094</v>
      </c>
      <c r="W15" s="792">
        <v>0.3822608727800991</v>
      </c>
      <c r="X15" s="792">
        <v>0.1599761776207635</v>
      </c>
      <c r="Y15" s="792">
        <v>0.2555367297858912</v>
      </c>
      <c r="Z15" s="792">
        <v>0.2555367297858913</v>
      </c>
      <c r="AA15" s="794">
        <v>0.1284573960907987</v>
      </c>
    </row>
    <row r="16" ht="12.75" customHeight="1">
      <c r="A16" s="791" t="s">
        <v>1403</v>
      </c>
      <c r="B16" s="581">
        <v>155.0</v>
      </c>
      <c r="C16" s="792">
        <v>0.05802691358024693</v>
      </c>
      <c r="D16" s="792">
        <v>0.1227243245030342</v>
      </c>
      <c r="E16" s="792">
        <v>0.2829769143571269</v>
      </c>
      <c r="F16" s="792">
        <v>0.2245735835052961</v>
      </c>
      <c r="G16" s="793">
        <v>0.8060249314889546</v>
      </c>
      <c r="H16" s="793">
        <v>0.8879785335242745</v>
      </c>
      <c r="I16" s="792">
        <v>0.07910384259518263</v>
      </c>
      <c r="J16" s="792">
        <v>0.4110699163971621</v>
      </c>
      <c r="K16" s="792">
        <v>0.050672</v>
      </c>
      <c r="L16" s="792">
        <v>0.1646904647110766</v>
      </c>
      <c r="M16" s="792">
        <v>0.0723350904186299</v>
      </c>
      <c r="N16" s="793">
        <v>2.798510613050091</v>
      </c>
      <c r="O16" s="793">
        <v>2.529732711893669</v>
      </c>
      <c r="P16" s="793">
        <v>14.25716397829691</v>
      </c>
      <c r="Q16" s="793">
        <v>20.14557296198789</v>
      </c>
      <c r="R16" s="793">
        <v>5.299415367043293</v>
      </c>
      <c r="S16" s="793">
        <v>36.39662533586826</v>
      </c>
      <c r="T16" s="792">
        <v>0.1451898518828459</v>
      </c>
      <c r="U16" s="792">
        <v>0.02605567698954752</v>
      </c>
      <c r="V16" s="792">
        <v>0.03359131925744852</v>
      </c>
      <c r="W16" s="792">
        <v>0.4438590573887197</v>
      </c>
      <c r="X16" s="792">
        <v>0.1819576192008985</v>
      </c>
      <c r="Y16" s="792">
        <v>0.4260432719736815</v>
      </c>
      <c r="Z16" s="792">
        <v>0.4260432719736815</v>
      </c>
      <c r="AA16" s="794">
        <v>0.1237638109051422</v>
      </c>
    </row>
    <row r="17" ht="12.75" customHeight="1">
      <c r="A17" s="791" t="s">
        <v>947</v>
      </c>
      <c r="B17" s="581">
        <v>9.0</v>
      </c>
      <c r="C17" s="792">
        <v>0.2694285714285714</v>
      </c>
      <c r="D17" s="792">
        <v>0.1848574581503954</v>
      </c>
      <c r="E17" s="792">
        <v>0.1206212056562121</v>
      </c>
      <c r="F17" s="792">
        <v>0.1896476840142051</v>
      </c>
      <c r="G17" s="793">
        <v>0.3628769074636262</v>
      </c>
      <c r="H17" s="793">
        <v>0.7407444081777597</v>
      </c>
      <c r="I17" s="792">
        <v>0.07253720060472808</v>
      </c>
      <c r="J17" s="792">
        <v>0.4404071378928042</v>
      </c>
      <c r="K17" s="792">
        <v>0.050672</v>
      </c>
      <c r="L17" s="792">
        <v>0.595042430850748</v>
      </c>
      <c r="M17" s="792">
        <v>0.05198848097183417</v>
      </c>
      <c r="N17" s="793">
        <v>0.7433975512121364</v>
      </c>
      <c r="O17" s="793">
        <v>2.055485525649577</v>
      </c>
      <c r="P17" s="793">
        <v>6.207766381550758</v>
      </c>
      <c r="Q17" s="793">
        <v>11.26746256632091</v>
      </c>
      <c r="R17" s="793">
        <v>1.31319973500008</v>
      </c>
      <c r="S17" s="793">
        <v>6.104795236951989</v>
      </c>
      <c r="T17" s="792">
        <v>0.01897729603365754</v>
      </c>
      <c r="U17" s="792">
        <v>0.1232854957065927</v>
      </c>
      <c r="V17" s="792">
        <v>-0.007789571312670031</v>
      </c>
      <c r="W17" s="792">
        <v>-0.06823876146449355</v>
      </c>
      <c r="X17" s="792">
        <v>0.1105981903247837</v>
      </c>
      <c r="Y17" s="792">
        <v>0.3346443578968945</v>
      </c>
      <c r="Z17" s="792">
        <v>0.3346443578968945</v>
      </c>
      <c r="AA17" s="794">
        <v>0.182180731232368</v>
      </c>
    </row>
    <row r="18" ht="12.75" customHeight="1">
      <c r="A18" s="791" t="s">
        <v>951</v>
      </c>
      <c r="B18" s="581">
        <v>29.0</v>
      </c>
      <c r="C18" s="792">
        <v>0.1388470588235294</v>
      </c>
      <c r="D18" s="792">
        <v>0.02673718088170194</v>
      </c>
      <c r="E18" s="792">
        <v>0.03724595306864154</v>
      </c>
      <c r="F18" s="792">
        <v>0.3514831280518912</v>
      </c>
      <c r="G18" s="793">
        <v>0.6367830669050106</v>
      </c>
      <c r="H18" s="793">
        <v>1.01224715009899</v>
      </c>
      <c r="I18" s="792">
        <v>0.08464622289441495</v>
      </c>
      <c r="J18" s="792">
        <v>0.4580970692608343</v>
      </c>
      <c r="K18" s="792">
        <v>0.052913</v>
      </c>
      <c r="L18" s="792">
        <v>0.4983797053780761</v>
      </c>
      <c r="M18" s="792">
        <v>0.06223833727993208</v>
      </c>
      <c r="N18" s="793">
        <v>1.490160362392332</v>
      </c>
      <c r="O18" s="793">
        <v>0.8452190200844562</v>
      </c>
      <c r="P18" s="793">
        <v>8.56734060962358</v>
      </c>
      <c r="Q18" s="793">
        <v>28.97652591526095</v>
      </c>
      <c r="R18" s="793">
        <v>1.117192215568364</v>
      </c>
      <c r="S18" s="793">
        <v>24.4205095931578</v>
      </c>
      <c r="T18" s="792">
        <v>0.1620583056461507</v>
      </c>
      <c r="U18" s="792">
        <v>0.06228182851266156</v>
      </c>
      <c r="V18" s="792">
        <v>0.03943087210460237</v>
      </c>
      <c r="W18" s="792">
        <v>1.58652750725472</v>
      </c>
      <c r="X18" s="792">
        <v>-0.08289888731246041</v>
      </c>
      <c r="Y18" s="792">
        <v>0.004131630042662541</v>
      </c>
      <c r="Z18" s="792">
        <v>0.004131630042662593</v>
      </c>
      <c r="AA18" s="794">
        <v>0.0283228487280309</v>
      </c>
    </row>
    <row r="19" ht="12.75" customHeight="1">
      <c r="A19" s="791" t="s">
        <v>953</v>
      </c>
      <c r="B19" s="581">
        <v>4.0</v>
      </c>
      <c r="C19" s="792">
        <v>0.01438</v>
      </c>
      <c r="D19" s="792">
        <v>0.03291326738773162</v>
      </c>
      <c r="E19" s="792">
        <v>0.04054264450971982</v>
      </c>
      <c r="F19" s="792" t="s">
        <v>1407</v>
      </c>
      <c r="G19" s="793">
        <v>0.4061432317900194</v>
      </c>
      <c r="H19" s="793">
        <v>0.8507028562562596</v>
      </c>
      <c r="I19" s="792">
        <v>0.07744134738902918</v>
      </c>
      <c r="J19" s="792">
        <v>0.3903520023839609</v>
      </c>
      <c r="K19" s="792">
        <v>0.050672</v>
      </c>
      <c r="L19" s="792">
        <v>0.6378254896102782</v>
      </c>
      <c r="M19" s="792">
        <v>0.05228720198169102</v>
      </c>
      <c r="N19" s="793">
        <v>1.265179174579226</v>
      </c>
      <c r="O19" s="793">
        <v>0.8416904259876704</v>
      </c>
      <c r="P19" s="793">
        <v>8.385060138547514</v>
      </c>
      <c r="Q19" s="793">
        <v>24.68665175069393</v>
      </c>
      <c r="R19" s="793">
        <v>1.083454790000415</v>
      </c>
      <c r="S19" s="793" t="s">
        <v>1407</v>
      </c>
      <c r="T19" s="792">
        <v>0.1669365608117962</v>
      </c>
      <c r="U19" s="792">
        <v>0.04329912616889043</v>
      </c>
      <c r="V19" s="792">
        <v>-0.01181023789900392</v>
      </c>
      <c r="W19" s="792">
        <v>-0.4573548268352295</v>
      </c>
      <c r="X19" s="792">
        <v>-0.1530208601596703</v>
      </c>
      <c r="Y19" s="792" t="s">
        <v>1407</v>
      </c>
      <c r="Z19" s="792" t="s">
        <v>1407</v>
      </c>
      <c r="AA19" s="794">
        <v>0.03435399625080043</v>
      </c>
    </row>
    <row r="20" ht="12.75" customHeight="1">
      <c r="A20" s="791" t="s">
        <v>954</v>
      </c>
      <c r="B20" s="581">
        <v>59.0</v>
      </c>
      <c r="C20" s="792">
        <v>0.08035348837209305</v>
      </c>
      <c r="D20" s="792">
        <v>0.1217199679517896</v>
      </c>
      <c r="E20" s="792">
        <v>0.1094944391850362</v>
      </c>
      <c r="F20" s="792">
        <v>0.2473852554201268</v>
      </c>
      <c r="G20" s="793">
        <v>0.8244706586041288</v>
      </c>
      <c r="H20" s="793">
        <v>0.9697828817775749</v>
      </c>
      <c r="I20" s="792">
        <v>0.08275231652727985</v>
      </c>
      <c r="J20" s="792">
        <v>0.4230516095475031</v>
      </c>
      <c r="K20" s="792">
        <v>0.050672</v>
      </c>
      <c r="L20" s="792">
        <v>0.2300760763965986</v>
      </c>
      <c r="M20" s="792">
        <v>0.07245679943533023</v>
      </c>
      <c r="N20" s="793">
        <v>1.105419408431602</v>
      </c>
      <c r="O20" s="793">
        <v>2.647614549454516</v>
      </c>
      <c r="P20" s="793">
        <v>13.35926103105675</v>
      </c>
      <c r="Q20" s="793">
        <v>21.30004179169416</v>
      </c>
      <c r="R20" s="793">
        <v>2.44973973590539</v>
      </c>
      <c r="S20" s="793">
        <v>196.7740894083461</v>
      </c>
      <c r="T20" s="792">
        <v>0.237965133388361</v>
      </c>
      <c r="U20" s="792">
        <v>0.08475369021026359</v>
      </c>
      <c r="V20" s="792">
        <v>0.04054859893848765</v>
      </c>
      <c r="W20" s="792">
        <v>0.51614040151385</v>
      </c>
      <c r="X20" s="792">
        <v>0.03498785397105562</v>
      </c>
      <c r="Y20" s="792">
        <v>1.300093582302456</v>
      </c>
      <c r="Z20" s="792">
        <v>1.300093582302456</v>
      </c>
      <c r="AA20" s="794">
        <v>0.1245389376172581</v>
      </c>
    </row>
    <row r="21" ht="12.75" customHeight="1">
      <c r="A21" s="791" t="s">
        <v>1408</v>
      </c>
      <c r="B21" s="581">
        <v>16.0</v>
      </c>
      <c r="C21" s="792">
        <v>0.1923857142857143</v>
      </c>
      <c r="D21" s="792">
        <v>-0.0401718131419366</v>
      </c>
      <c r="E21" s="792">
        <v>-0.04759627013362316</v>
      </c>
      <c r="F21" s="792">
        <v>0.09671848013816925</v>
      </c>
      <c r="G21" s="793">
        <v>1.182438199934653</v>
      </c>
      <c r="H21" s="793">
        <v>1.070993191489764</v>
      </c>
      <c r="I21" s="792">
        <v>0.08726629634044347</v>
      </c>
      <c r="J21" s="792">
        <v>0.6431490912216578</v>
      </c>
      <c r="K21" s="792">
        <v>0.052913</v>
      </c>
      <c r="L21" s="792">
        <v>0.06666777815396692</v>
      </c>
      <c r="M21" s="792">
        <v>0.0840941403647961</v>
      </c>
      <c r="N21" s="793">
        <v>1.291228364614905</v>
      </c>
      <c r="O21" s="793">
        <v>2.536915693474506</v>
      </c>
      <c r="P21" s="793">
        <v>10.36899625026826</v>
      </c>
      <c r="Q21" s="793" t="s">
        <v>1385</v>
      </c>
      <c r="R21" s="793">
        <v>2.247325104045218</v>
      </c>
      <c r="S21" s="793">
        <v>17.00758893703042</v>
      </c>
      <c r="T21" s="792">
        <v>0.1017622349812343</v>
      </c>
      <c r="U21" s="792">
        <v>0.09362440528109807</v>
      </c>
      <c r="V21" s="792">
        <v>-0.03117202759044843</v>
      </c>
      <c r="W21" s="792" t="s">
        <v>1385</v>
      </c>
      <c r="X21" s="792">
        <v>-0.02513240711000554</v>
      </c>
      <c r="Y21" s="792">
        <v>8.172413793103449E-4</v>
      </c>
      <c r="Z21" s="792">
        <v>8.17241379310385E-4</v>
      </c>
      <c r="AA21" s="794">
        <v>-0.0384447281918953</v>
      </c>
    </row>
    <row r="22" ht="12.75" customHeight="1">
      <c r="A22" s="791" t="s">
        <v>1410</v>
      </c>
      <c r="B22" s="581">
        <v>64.0</v>
      </c>
      <c r="C22" s="792">
        <v>0.2709984210526316</v>
      </c>
      <c r="D22" s="792">
        <v>0.07409334745931717</v>
      </c>
      <c r="E22" s="792">
        <v>0.2634856323685177</v>
      </c>
      <c r="F22" s="792">
        <v>0.2256371132436134</v>
      </c>
      <c r="G22" s="793">
        <v>0.9617009989891427</v>
      </c>
      <c r="H22" s="793">
        <v>1.087855903473369</v>
      </c>
      <c r="I22" s="792">
        <v>0.08801837329491224</v>
      </c>
      <c r="J22" s="792">
        <v>0.5342530314325552</v>
      </c>
      <c r="K22" s="792">
        <v>0.052913</v>
      </c>
      <c r="L22" s="792">
        <v>0.2006402717696322</v>
      </c>
      <c r="M22" s="792">
        <v>0.07832070198141003</v>
      </c>
      <c r="N22" s="793">
        <v>5.189890691696159</v>
      </c>
      <c r="O22" s="793">
        <v>1.477094248399097</v>
      </c>
      <c r="P22" s="793">
        <v>14.09504969477454</v>
      </c>
      <c r="Q22" s="793">
        <v>19.25198547899857</v>
      </c>
      <c r="R22" s="793">
        <v>4.728265307993433</v>
      </c>
      <c r="S22" s="793">
        <v>51.59929505052196</v>
      </c>
      <c r="T22" s="792">
        <v>0.134002219012555</v>
      </c>
      <c r="U22" s="792">
        <v>0.009509770439480392</v>
      </c>
      <c r="V22" s="792">
        <v>0.01911750201222481</v>
      </c>
      <c r="W22" s="792">
        <v>0.4440778108641379</v>
      </c>
      <c r="X22" s="792">
        <v>0.1825059226961266</v>
      </c>
      <c r="Y22" s="792">
        <v>0.5099205071561956</v>
      </c>
      <c r="Z22" s="792">
        <v>0.5099205071561956</v>
      </c>
      <c r="AA22" s="794">
        <v>0.07810553077104378</v>
      </c>
    </row>
    <row r="23" ht="12.75" customHeight="1">
      <c r="A23" s="791" t="s">
        <v>1412</v>
      </c>
      <c r="B23" s="581">
        <v>36.0</v>
      </c>
      <c r="C23" s="792">
        <v>0.06710869565217391</v>
      </c>
      <c r="D23" s="792">
        <v>0.22484874696685</v>
      </c>
      <c r="E23" s="792">
        <v>0.4476035274383902</v>
      </c>
      <c r="F23" s="792">
        <v>0.1535453934728211</v>
      </c>
      <c r="G23" s="793">
        <v>1.324587039677791</v>
      </c>
      <c r="H23" s="793">
        <v>1.350329208585168</v>
      </c>
      <c r="I23" s="792">
        <v>0.09972468270289851</v>
      </c>
      <c r="J23" s="792">
        <v>0.5457679517178851</v>
      </c>
      <c r="K23" s="792">
        <v>0.052913</v>
      </c>
      <c r="L23" s="792">
        <v>0.04420310378049363</v>
      </c>
      <c r="M23" s="792">
        <v>0.09707073132665844</v>
      </c>
      <c r="N23" s="793">
        <v>3.619788749768668</v>
      </c>
      <c r="O23" s="793">
        <v>6.629803188728592</v>
      </c>
      <c r="P23" s="793">
        <v>25.4244916442558</v>
      </c>
      <c r="Q23" s="793">
        <v>29.35888130009311</v>
      </c>
      <c r="R23" s="793">
        <v>34.08206122543692</v>
      </c>
      <c r="S23" s="793">
        <v>81.1319884247503</v>
      </c>
      <c r="T23" s="792">
        <v>-0.04705741851421019</v>
      </c>
      <c r="U23" s="792">
        <v>0.02947135048201252</v>
      </c>
      <c r="V23" s="792">
        <v>0.0289943719244913</v>
      </c>
      <c r="W23" s="792">
        <v>0.2136889975447425</v>
      </c>
      <c r="X23" s="792">
        <v>-0.001741316040602497</v>
      </c>
      <c r="Y23" s="792">
        <v>0.1603021523436578</v>
      </c>
      <c r="Z23" s="792">
        <v>0.1603021523436579</v>
      </c>
      <c r="AA23" s="794">
        <v>0.2292365980385029</v>
      </c>
    </row>
    <row r="24" ht="12.75" customHeight="1">
      <c r="A24" s="791" t="s">
        <v>1413</v>
      </c>
      <c r="B24" s="581">
        <v>40.0</v>
      </c>
      <c r="C24" s="792">
        <v>0.1370392857142857</v>
      </c>
      <c r="D24" s="792">
        <v>0.1522858796620313</v>
      </c>
      <c r="E24" s="792">
        <v>0.1670606286751148</v>
      </c>
      <c r="F24" s="792">
        <v>0.2254751009080227</v>
      </c>
      <c r="G24" s="793">
        <v>1.046829697375817</v>
      </c>
      <c r="H24" s="793">
        <v>1.150356056851164</v>
      </c>
      <c r="I24" s="792">
        <v>0.0908058801355619</v>
      </c>
      <c r="J24" s="792">
        <v>0.3551332113586579</v>
      </c>
      <c r="K24" s="792">
        <v>0.050672</v>
      </c>
      <c r="L24" s="792">
        <v>0.1498185452487142</v>
      </c>
      <c r="M24" s="792">
        <v>0.08289517926725504</v>
      </c>
      <c r="N24" s="793">
        <v>1.446946369196375</v>
      </c>
      <c r="O24" s="793">
        <v>3.231777696009379</v>
      </c>
      <c r="P24" s="793">
        <v>16.81867012821988</v>
      </c>
      <c r="Q24" s="793">
        <v>21.14540198879197</v>
      </c>
      <c r="R24" s="793">
        <v>5.455603344493196</v>
      </c>
      <c r="S24" s="793">
        <v>42.74757028738539</v>
      </c>
      <c r="T24" s="792">
        <v>0.2255852299695207</v>
      </c>
      <c r="U24" s="792">
        <v>0.05536462838365851</v>
      </c>
      <c r="V24" s="792">
        <v>0.06616312084363886</v>
      </c>
      <c r="W24" s="792">
        <v>0.6300761309589157</v>
      </c>
      <c r="X24" s="792">
        <v>0.2285565682680814</v>
      </c>
      <c r="Y24" s="792">
        <v>0.3349260979442911</v>
      </c>
      <c r="Z24" s="792">
        <v>0.3349260979442911</v>
      </c>
      <c r="AA24" s="794">
        <v>0.1521946655137339</v>
      </c>
    </row>
    <row r="25" ht="12.75" customHeight="1">
      <c r="A25" s="791" t="s">
        <v>1415</v>
      </c>
      <c r="B25" s="581">
        <v>20.0</v>
      </c>
      <c r="C25" s="792">
        <v>0.08903</v>
      </c>
      <c r="D25" s="792">
        <v>0.2272932665965972</v>
      </c>
      <c r="E25" s="792">
        <v>0.1482135655711147</v>
      </c>
      <c r="F25" s="792">
        <v>0.1755667455713286</v>
      </c>
      <c r="G25" s="793">
        <v>0.8430962646682882</v>
      </c>
      <c r="H25" s="793">
        <v>0.8809551761105191</v>
      </c>
      <c r="I25" s="792">
        <v>0.07879060085452916</v>
      </c>
      <c r="J25" s="792">
        <v>0.2841172358254972</v>
      </c>
      <c r="K25" s="792">
        <v>0.047306</v>
      </c>
      <c r="L25" s="792">
        <v>0.1345940155714698</v>
      </c>
      <c r="M25" s="792">
        <v>0.07296118587169716</v>
      </c>
      <c r="N25" s="793">
        <v>0.676059005857545</v>
      </c>
      <c r="O25" s="793">
        <v>3.080144968544374</v>
      </c>
      <c r="P25" s="793">
        <v>11.41546209484988</v>
      </c>
      <c r="Q25" s="793">
        <v>13.48647058887652</v>
      </c>
      <c r="R25" s="793">
        <v>1.782954165773192</v>
      </c>
      <c r="S25" s="793">
        <v>15.73100377690292</v>
      </c>
      <c r="T25" s="792">
        <v>0.007736226390901585</v>
      </c>
      <c r="U25" s="792">
        <v>0.05039313828018641</v>
      </c>
      <c r="V25" s="792">
        <v>0.02315858813621141</v>
      </c>
      <c r="W25" s="792">
        <v>0.1826562870176915</v>
      </c>
      <c r="X25" s="792">
        <v>0.1137324413574475</v>
      </c>
      <c r="Y25" s="792">
        <v>0.06588241094241719</v>
      </c>
      <c r="Z25" s="792">
        <v>0.0658824109424172</v>
      </c>
      <c r="AA25" s="794">
        <v>0.2283328306570388</v>
      </c>
    </row>
    <row r="26" ht="12.75" customHeight="1">
      <c r="A26" s="791" t="s">
        <v>1417</v>
      </c>
      <c r="B26" s="581">
        <v>496.0</v>
      </c>
      <c r="C26" s="792">
        <v>0.2892677777777777</v>
      </c>
      <c r="D26" s="792">
        <v>0.08973321008991049</v>
      </c>
      <c r="E26" s="792">
        <v>0.03525374326558564</v>
      </c>
      <c r="F26" s="792">
        <v>0.1575395745508596</v>
      </c>
      <c r="G26" s="793">
        <v>1.079453865168337</v>
      </c>
      <c r="H26" s="793">
        <v>1.135265032548857</v>
      </c>
      <c r="I26" s="792">
        <v>0.09013282045167903</v>
      </c>
      <c r="J26" s="792">
        <v>0.7567979803880647</v>
      </c>
      <c r="K26" s="792">
        <v>0.060195</v>
      </c>
      <c r="L26" s="792">
        <v>0.1153559369912528</v>
      </c>
      <c r="M26" s="792">
        <v>0.08494335246520258</v>
      </c>
      <c r="N26" s="793">
        <v>0.8199548262974856</v>
      </c>
      <c r="O26" s="793">
        <v>7.918045526205239</v>
      </c>
      <c r="P26" s="793">
        <v>15.77897160281244</v>
      </c>
      <c r="Q26" s="793">
        <v>68.97132135165363</v>
      </c>
      <c r="R26" s="793">
        <v>8.216863751697744</v>
      </c>
      <c r="S26" s="793">
        <v>64.27555677843166</v>
      </c>
      <c r="T26" s="792">
        <v>0.1336148141725305</v>
      </c>
      <c r="U26" s="792">
        <v>0.03286308289496809</v>
      </c>
      <c r="V26" s="792">
        <v>-0.03574180481565756</v>
      </c>
      <c r="W26" s="792">
        <v>-0.4502050441750096</v>
      </c>
      <c r="X26" s="792">
        <v>-0.0567224880686716</v>
      </c>
      <c r="Y26" s="792">
        <v>0.001170555208689576</v>
      </c>
      <c r="Z26" s="792">
        <v>0.001170555208689583</v>
      </c>
      <c r="AA26" s="794">
        <v>0.08953315753907995</v>
      </c>
    </row>
    <row r="27" ht="12.75" customHeight="1">
      <c r="A27" s="791" t="s">
        <v>1418</v>
      </c>
      <c r="B27" s="581">
        <v>228.0</v>
      </c>
      <c r="C27" s="792">
        <v>0.1844677500000001</v>
      </c>
      <c r="D27" s="792">
        <v>0.2953969998081675</v>
      </c>
      <c r="E27" s="792">
        <v>0.1694954828709013</v>
      </c>
      <c r="F27" s="792">
        <v>0.1680091192364639</v>
      </c>
      <c r="G27" s="793">
        <v>0.915135973481584</v>
      </c>
      <c r="H27" s="793">
        <v>0.9828330980612211</v>
      </c>
      <c r="I27" s="792">
        <v>0.08333435617353047</v>
      </c>
      <c r="J27" s="792">
        <v>0.7664492440646036</v>
      </c>
      <c r="K27" s="792">
        <v>0.060195</v>
      </c>
      <c r="L27" s="792">
        <v>0.1269202637832653</v>
      </c>
      <c r="M27" s="792">
        <v>0.07848751166460263</v>
      </c>
      <c r="N27" s="793">
        <v>1.111658554763212</v>
      </c>
      <c r="O27" s="793">
        <v>6.239336284469536</v>
      </c>
      <c r="P27" s="793">
        <v>15.24799680842651</v>
      </c>
      <c r="Q27" s="793">
        <v>20.32316741208734</v>
      </c>
      <c r="R27" s="793">
        <v>6.64396392026399</v>
      </c>
      <c r="S27" s="793">
        <v>55.66767407461499</v>
      </c>
      <c r="T27" s="792">
        <v>0.3208850097389138</v>
      </c>
      <c r="U27" s="792">
        <v>0.05568304736958756</v>
      </c>
      <c r="V27" s="792">
        <v>0.01117921857190987</v>
      </c>
      <c r="W27" s="792">
        <v>0.09997397021658551</v>
      </c>
      <c r="X27" s="792">
        <v>0.2404409957343273</v>
      </c>
      <c r="Y27" s="792">
        <v>0.5863499201100111</v>
      </c>
      <c r="Z27" s="792">
        <v>0.5863499201100111</v>
      </c>
      <c r="AA27" s="794">
        <v>0.2724550874475878</v>
      </c>
    </row>
    <row r="28" ht="12.75" customHeight="1">
      <c r="A28" s="791" t="s">
        <v>1419</v>
      </c>
      <c r="B28" s="581">
        <v>32.0</v>
      </c>
      <c r="C28" s="792">
        <v>0.07738312500000001</v>
      </c>
      <c r="D28" s="792">
        <v>0.1401317701349414</v>
      </c>
      <c r="E28" s="792">
        <v>0.1594415390185148</v>
      </c>
      <c r="F28" s="792">
        <v>0.3043662638754834</v>
      </c>
      <c r="G28" s="793">
        <v>0.719599829329938</v>
      </c>
      <c r="H28" s="793">
        <v>0.7809055888612572</v>
      </c>
      <c r="I28" s="792">
        <v>0.07432838926321207</v>
      </c>
      <c r="J28" s="792">
        <v>0.4723775113573218</v>
      </c>
      <c r="K28" s="792">
        <v>0.052913</v>
      </c>
      <c r="L28" s="792">
        <v>0.196003402054853</v>
      </c>
      <c r="M28" s="792">
        <v>0.06753811810806143</v>
      </c>
      <c r="N28" s="793">
        <v>1.627453545768209</v>
      </c>
      <c r="O28" s="793">
        <v>1.990213812174477</v>
      </c>
      <c r="P28" s="793">
        <v>9.26128390279208</v>
      </c>
      <c r="Q28" s="793">
        <v>14.48687797703727</v>
      </c>
      <c r="R28" s="793">
        <v>2.603286661509442</v>
      </c>
      <c r="S28" s="793">
        <v>26.96578471196609</v>
      </c>
      <c r="T28" s="792">
        <v>0.1003109847441636</v>
      </c>
      <c r="U28" s="792">
        <v>0.02972430076639751</v>
      </c>
      <c r="V28" s="792">
        <v>0.00648504587962242</v>
      </c>
      <c r="W28" s="792">
        <v>0.2352449590213098</v>
      </c>
      <c r="X28" s="792">
        <v>0.1590483920214653</v>
      </c>
      <c r="Y28" s="792">
        <v>0.1382943211289512</v>
      </c>
      <c r="Z28" s="792">
        <v>0.1382943211289511</v>
      </c>
      <c r="AA28" s="794">
        <v>0.1374219856741285</v>
      </c>
    </row>
    <row r="29" ht="12.75" customHeight="1">
      <c r="A29" s="791" t="s">
        <v>970</v>
      </c>
      <c r="B29" s="581">
        <v>112.0</v>
      </c>
      <c r="C29" s="792">
        <v>0.1917454545454546</v>
      </c>
      <c r="D29" s="792">
        <v>0.09534667101101517</v>
      </c>
      <c r="E29" s="792">
        <v>0.1559560391311139</v>
      </c>
      <c r="F29" s="792">
        <v>0.2517917634827783</v>
      </c>
      <c r="G29" s="793">
        <v>1.189807031806981</v>
      </c>
      <c r="H29" s="793">
        <v>1.251123854607469</v>
      </c>
      <c r="I29" s="792">
        <v>0.09530012391549311</v>
      </c>
      <c r="J29" s="792">
        <v>0.7271388016174681</v>
      </c>
      <c r="K29" s="792">
        <v>0.060195</v>
      </c>
      <c r="L29" s="792">
        <v>0.1071685968794686</v>
      </c>
      <c r="M29" s="792">
        <v>0.08992520361989993</v>
      </c>
      <c r="N29" s="793">
        <v>2.029528967054473</v>
      </c>
      <c r="O29" s="793">
        <v>4.420754883373023</v>
      </c>
      <c r="P29" s="793">
        <v>24.58630413346715</v>
      </c>
      <c r="Q29" s="793">
        <v>43.1933182285843</v>
      </c>
      <c r="R29" s="793">
        <v>6.506731641045638</v>
      </c>
      <c r="S29" s="793">
        <v>80.03961165936393</v>
      </c>
      <c r="T29" s="792">
        <v>0.294372463939175</v>
      </c>
      <c r="U29" s="792">
        <v>0.04775292131505469</v>
      </c>
      <c r="V29" s="792">
        <v>0.03083995902522801</v>
      </c>
      <c r="W29" s="792">
        <v>0.5468269978345046</v>
      </c>
      <c r="X29" s="792">
        <v>0.01525454440373029</v>
      </c>
      <c r="Y29" s="792">
        <v>2.296858140874997</v>
      </c>
      <c r="Z29" s="792">
        <v>2.296858140874997</v>
      </c>
      <c r="AA29" s="794">
        <v>0.09950868612345491</v>
      </c>
    </row>
    <row r="30" ht="12.75" customHeight="1">
      <c r="A30" s="791" t="s">
        <v>1421</v>
      </c>
      <c r="B30" s="581">
        <v>8.0</v>
      </c>
      <c r="C30" s="792">
        <v>-0.03486</v>
      </c>
      <c r="D30" s="792">
        <v>-0.04488621563380616</v>
      </c>
      <c r="E30" s="792">
        <v>-0.0834551474050309</v>
      </c>
      <c r="F30" s="792" t="s">
        <v>1407</v>
      </c>
      <c r="G30" s="793">
        <v>0.9273766123201671</v>
      </c>
      <c r="H30" s="793">
        <v>0.8659780184815811</v>
      </c>
      <c r="I30" s="792">
        <v>0.07812261962427852</v>
      </c>
      <c r="J30" s="792">
        <v>0.7018361349746528</v>
      </c>
      <c r="K30" s="792">
        <v>0.060195</v>
      </c>
      <c r="L30" s="792">
        <v>0.05485895274423452</v>
      </c>
      <c r="M30" s="792">
        <v>0.07631357052138382</v>
      </c>
      <c r="N30" s="793">
        <v>5.566546410452429</v>
      </c>
      <c r="O30" s="793">
        <v>0.9098334859666329</v>
      </c>
      <c r="P30" s="793">
        <v>30.69739733032995</v>
      </c>
      <c r="Q30" s="793" t="s">
        <v>1385</v>
      </c>
      <c r="R30" s="793">
        <v>3.85203290618573</v>
      </c>
      <c r="S30" s="793" t="s">
        <v>1407</v>
      </c>
      <c r="T30" s="792">
        <v>0.1115560396883658</v>
      </c>
      <c r="U30" s="792">
        <v>0.01429625770599983</v>
      </c>
      <c r="V30" s="792">
        <v>-0.03840338787720921</v>
      </c>
      <c r="W30" s="792" t="s">
        <v>1385</v>
      </c>
      <c r="X30" s="792">
        <v>-0.2880927953264372</v>
      </c>
      <c r="Y30" s="792" t="s">
        <v>1407</v>
      </c>
      <c r="Z30" s="792" t="s">
        <v>1407</v>
      </c>
      <c r="AA30" s="794">
        <v>-0.06264269394121706</v>
      </c>
    </row>
    <row r="31" ht="12.75" customHeight="1">
      <c r="A31" s="791" t="s">
        <v>1422</v>
      </c>
      <c r="B31" s="581">
        <v>114.0</v>
      </c>
      <c r="C31" s="792">
        <v>0.07268302631578946</v>
      </c>
      <c r="D31" s="792">
        <v>0.1042317781378465</v>
      </c>
      <c r="E31" s="792">
        <v>0.1791172540525823</v>
      </c>
      <c r="F31" s="792">
        <v>0.2032217978828484</v>
      </c>
      <c r="G31" s="793">
        <v>0.9374545595854545</v>
      </c>
      <c r="H31" s="793">
        <v>0.9714771307987942</v>
      </c>
      <c r="I31" s="792">
        <v>0.08282788003362622</v>
      </c>
      <c r="J31" s="792">
        <v>0.5183878524748988</v>
      </c>
      <c r="K31" s="792">
        <v>0.052913</v>
      </c>
      <c r="L31" s="792">
        <v>0.09919458837333321</v>
      </c>
      <c r="M31" s="792">
        <v>0.07854831500880348</v>
      </c>
      <c r="N31" s="793">
        <v>2.383494290324026</v>
      </c>
      <c r="O31" s="793">
        <v>3.206162776853793</v>
      </c>
      <c r="P31" s="793">
        <v>19.99114248979785</v>
      </c>
      <c r="Q31" s="793">
        <v>29.75669159380908</v>
      </c>
      <c r="R31" s="793">
        <v>4.968967691522418</v>
      </c>
      <c r="S31" s="793">
        <v>48.44335194607289</v>
      </c>
      <c r="T31" s="792">
        <v>0.2091771210122774</v>
      </c>
      <c r="U31" s="792">
        <v>0.03304188182228249</v>
      </c>
      <c r="V31" s="792">
        <v>0.05680134662843197</v>
      </c>
      <c r="W31" s="792">
        <v>0.7717649554371149</v>
      </c>
      <c r="X31" s="792">
        <v>0.1261573075627564</v>
      </c>
      <c r="Y31" s="792">
        <v>0.198774811280125</v>
      </c>
      <c r="Z31" s="792">
        <v>0.198774811280125</v>
      </c>
      <c r="AA31" s="794">
        <v>0.1060652197146301</v>
      </c>
    </row>
    <row r="32" ht="12.75" customHeight="1">
      <c r="A32" s="791" t="s">
        <v>1423</v>
      </c>
      <c r="B32" s="581">
        <v>48.0</v>
      </c>
      <c r="C32" s="792">
        <v>0.1170110714285714</v>
      </c>
      <c r="D32" s="792">
        <v>0.0648772140059397</v>
      </c>
      <c r="E32" s="792">
        <v>0.2531760347582192</v>
      </c>
      <c r="F32" s="792">
        <v>0.2394811740203084</v>
      </c>
      <c r="G32" s="793">
        <v>1.137436783693752</v>
      </c>
      <c r="H32" s="793">
        <v>1.209972261135115</v>
      </c>
      <c r="I32" s="792">
        <v>0.09346476284662614</v>
      </c>
      <c r="J32" s="792">
        <v>0.4592364631713382</v>
      </c>
      <c r="K32" s="792">
        <v>0.052913</v>
      </c>
      <c r="L32" s="792">
        <v>0.1228953077938518</v>
      </c>
      <c r="M32" s="792">
        <v>0.08685545161468271</v>
      </c>
      <c r="N32" s="793">
        <v>4.361448663715637</v>
      </c>
      <c r="O32" s="793">
        <v>1.735043149783517</v>
      </c>
      <c r="P32" s="793">
        <v>17.17943626850942</v>
      </c>
      <c r="Q32" s="793">
        <v>25.17122209401257</v>
      </c>
      <c r="R32" s="793">
        <v>5.49046865935612</v>
      </c>
      <c r="S32" s="793">
        <v>63.33204875099555</v>
      </c>
      <c r="T32" s="792">
        <v>0.1937659510783999</v>
      </c>
      <c r="U32" s="792">
        <v>0.02232708798998793</v>
      </c>
      <c r="V32" s="792">
        <v>0.04846666970432578</v>
      </c>
      <c r="W32" s="792">
        <v>1.124400477495635</v>
      </c>
      <c r="X32" s="792">
        <v>0.2613749950535173</v>
      </c>
      <c r="Y32" s="792">
        <v>0.08329543326601473</v>
      </c>
      <c r="Z32" s="792">
        <v>0.08329543326601474</v>
      </c>
      <c r="AA32" s="794">
        <v>0.06757015559476075</v>
      </c>
    </row>
    <row r="33" ht="12.75" customHeight="1">
      <c r="A33" s="791" t="s">
        <v>972</v>
      </c>
      <c r="B33" s="581">
        <v>92.0</v>
      </c>
      <c r="C33" s="792">
        <v>0.1643078787878788</v>
      </c>
      <c r="D33" s="792">
        <v>0.1060478521864998</v>
      </c>
      <c r="E33" s="792">
        <v>0.1242059980108462</v>
      </c>
      <c r="F33" s="792">
        <v>0.1260472514420455</v>
      </c>
      <c r="G33" s="793">
        <v>0.7628468307830948</v>
      </c>
      <c r="H33" s="793">
        <v>0.8251696372652437</v>
      </c>
      <c r="I33" s="792">
        <v>0.07630256582202988</v>
      </c>
      <c r="J33" s="792">
        <v>0.4870659020881054</v>
      </c>
      <c r="K33" s="792">
        <v>0.052913</v>
      </c>
      <c r="L33" s="792">
        <v>0.1372904099677242</v>
      </c>
      <c r="M33" s="792">
        <v>0.07127529087570077</v>
      </c>
      <c r="N33" s="793">
        <v>1.391405938857572</v>
      </c>
      <c r="O33" s="793">
        <v>4.333824657929714</v>
      </c>
      <c r="P33" s="793">
        <v>19.41126270013048</v>
      </c>
      <c r="Q33" s="793">
        <v>38.91956102277865</v>
      </c>
      <c r="R33" s="793">
        <v>4.798101501048052</v>
      </c>
      <c r="S33" s="793">
        <v>108.6305934645842</v>
      </c>
      <c r="T33" s="792">
        <v>0.004905050516759029</v>
      </c>
      <c r="U33" s="792">
        <v>0.04713952806591256</v>
      </c>
      <c r="V33" s="792">
        <v>-0.01252624442103633</v>
      </c>
      <c r="W33" s="792">
        <v>-0.1555124725408946</v>
      </c>
      <c r="X33" s="792">
        <v>0.06092763111377839</v>
      </c>
      <c r="Y33" s="792">
        <v>0.2287875805806028</v>
      </c>
      <c r="Z33" s="792">
        <v>0.2287875805806028</v>
      </c>
      <c r="AA33" s="794">
        <v>0.106002180528468</v>
      </c>
    </row>
    <row r="34" ht="12.75" customHeight="1">
      <c r="A34" s="791" t="s">
        <v>1424</v>
      </c>
      <c r="B34" s="581">
        <v>53.0</v>
      </c>
      <c r="C34" s="792">
        <v>0.2170217391304348</v>
      </c>
      <c r="D34" s="792">
        <v>0.146085563073154</v>
      </c>
      <c r="E34" s="792">
        <v>0.3175479653838472</v>
      </c>
      <c r="F34" s="792">
        <v>0.2091644504425832</v>
      </c>
      <c r="G34" s="793">
        <v>0.8247690956344971</v>
      </c>
      <c r="H34" s="793">
        <v>0.9454812982377585</v>
      </c>
      <c r="I34" s="792">
        <v>0.08166846590140403</v>
      </c>
      <c r="J34" s="792">
        <v>0.5491271709973529</v>
      </c>
      <c r="K34" s="792">
        <v>0.052913</v>
      </c>
      <c r="L34" s="792">
        <v>0.1765987123152963</v>
      </c>
      <c r="M34" s="792">
        <v>0.07425419573500486</v>
      </c>
      <c r="N34" s="793">
        <v>2.29985091030874</v>
      </c>
      <c r="O34" s="793">
        <v>3.700675007301858</v>
      </c>
      <c r="P34" s="793">
        <v>15.61307867351459</v>
      </c>
      <c r="Q34" s="793">
        <v>24.82665513831785</v>
      </c>
      <c r="R34" s="793">
        <v>6.585458523984577</v>
      </c>
      <c r="S34" s="793">
        <v>66.54956588056456</v>
      </c>
      <c r="T34" s="792">
        <v>0.1003871840673084</v>
      </c>
      <c r="U34" s="792">
        <v>0.0827817483868516</v>
      </c>
      <c r="V34" s="792">
        <v>0.1343840294975422</v>
      </c>
      <c r="W34" s="792">
        <v>1.214019282675152</v>
      </c>
      <c r="X34" s="792">
        <v>0.1973829594869194</v>
      </c>
      <c r="Y34" s="792">
        <v>0.3980238261785846</v>
      </c>
      <c r="Z34" s="792">
        <v>0.3980238261785846</v>
      </c>
      <c r="AA34" s="794">
        <v>0.148530814081221</v>
      </c>
    </row>
    <row r="35" ht="12.75" customHeight="1">
      <c r="A35" s="791" t="s">
        <v>1425</v>
      </c>
      <c r="B35" s="581">
        <v>35.0</v>
      </c>
      <c r="C35" s="792">
        <v>0.1402195238095238</v>
      </c>
      <c r="D35" s="792">
        <v>0.05445318703912747</v>
      </c>
      <c r="E35" s="792">
        <v>0.07277942934792668</v>
      </c>
      <c r="F35" s="792">
        <v>0.2034096333164764</v>
      </c>
      <c r="G35" s="793">
        <v>0.8457836746022086</v>
      </c>
      <c r="H35" s="793">
        <v>1.129173740945637</v>
      </c>
      <c r="I35" s="792">
        <v>0.08986114884617541</v>
      </c>
      <c r="J35" s="792">
        <v>0.507938158066483</v>
      </c>
      <c r="K35" s="792">
        <v>0.052913</v>
      </c>
      <c r="L35" s="792">
        <v>0.3414488697161519</v>
      </c>
      <c r="M35" s="792">
        <v>0.07272847417372198</v>
      </c>
      <c r="N35" s="793">
        <v>1.479434561224638</v>
      </c>
      <c r="O35" s="793">
        <v>1.340150482336105</v>
      </c>
      <c r="P35" s="793">
        <v>16.03769947490355</v>
      </c>
      <c r="Q35" s="793">
        <v>23.73567634647184</v>
      </c>
      <c r="R35" s="793">
        <v>2.422866951920291</v>
      </c>
      <c r="S35" s="793">
        <v>19.11598941305565</v>
      </c>
      <c r="T35" s="792">
        <v>0.1727341216574699</v>
      </c>
      <c r="U35" s="792">
        <v>0.03843768470237487</v>
      </c>
      <c r="V35" s="792">
        <v>0.03658159299530167</v>
      </c>
      <c r="W35" s="792">
        <v>0.5261218871200917</v>
      </c>
      <c r="X35" s="792">
        <v>0.1204025921309046</v>
      </c>
      <c r="Y35" s="792">
        <v>0.4144218728979314</v>
      </c>
      <c r="Z35" s="792">
        <v>0.4144218728979314</v>
      </c>
      <c r="AA35" s="794">
        <v>0.05603371240422769</v>
      </c>
    </row>
    <row r="36" ht="12.75" customHeight="1">
      <c r="A36" s="791" t="s">
        <v>1426</v>
      </c>
      <c r="B36" s="581">
        <v>176.0</v>
      </c>
      <c r="C36" s="792">
        <v>0.1129794444444444</v>
      </c>
      <c r="D36" s="792">
        <v>0.1848386743924957</v>
      </c>
      <c r="E36" s="792" t="s">
        <v>1385</v>
      </c>
      <c r="F36" s="792">
        <v>0.1930857037352512</v>
      </c>
      <c r="G36" s="793">
        <v>0.327708386847594</v>
      </c>
      <c r="H36" s="793">
        <v>0.9697132427444908</v>
      </c>
      <c r="I36" s="792">
        <v>0.0827492106264043</v>
      </c>
      <c r="J36" s="792">
        <v>0.4246919214774036</v>
      </c>
      <c r="K36" s="792">
        <v>0.050672</v>
      </c>
      <c r="L36" s="792">
        <v>0.7312766809789597</v>
      </c>
      <c r="M36" s="792">
        <v>0.05002808150982289</v>
      </c>
      <c r="N36" s="793">
        <v>0.07085584556984825</v>
      </c>
      <c r="O36" s="793">
        <v>18.9059051763244</v>
      </c>
      <c r="P36" s="793">
        <v>57.52355973366111</v>
      </c>
      <c r="Q36" s="793">
        <v>69.3963708178762</v>
      </c>
      <c r="R36" s="793">
        <v>3.660922776908981</v>
      </c>
      <c r="S36" s="793">
        <v>26.13838965454266</v>
      </c>
      <c r="T36" s="792">
        <v>11.85998591816597</v>
      </c>
      <c r="U36" s="792">
        <v>0.02985462866895819</v>
      </c>
      <c r="V36" s="792">
        <v>0.02380286567733603</v>
      </c>
      <c r="W36" s="792">
        <v>0.1414104754433023</v>
      </c>
      <c r="X36" s="792">
        <v>0.2881731815384935</v>
      </c>
      <c r="Y36" s="792">
        <v>0.1852408141048518</v>
      </c>
      <c r="Z36" s="792">
        <v>0.1852408141048518</v>
      </c>
      <c r="AA36" s="794">
        <v>0.1873929440111874</v>
      </c>
    </row>
    <row r="37" ht="12.75" customHeight="1">
      <c r="A37" s="791" t="s">
        <v>975</v>
      </c>
      <c r="B37" s="581">
        <v>78.0</v>
      </c>
      <c r="C37" s="792">
        <v>0.07158021739130435</v>
      </c>
      <c r="D37" s="792">
        <v>0.106306981098628</v>
      </c>
      <c r="E37" s="792">
        <v>0.1594970721492341</v>
      </c>
      <c r="F37" s="792">
        <v>0.2280972526725751</v>
      </c>
      <c r="G37" s="793">
        <v>0.4694237767707587</v>
      </c>
      <c r="H37" s="793">
        <v>0.6074530378003583</v>
      </c>
      <c r="I37" s="792">
        <v>0.06659240548589598</v>
      </c>
      <c r="J37" s="792">
        <v>0.4346763943257051</v>
      </c>
      <c r="K37" s="792">
        <v>0.050672</v>
      </c>
      <c r="L37" s="792">
        <v>0.3042697004104576</v>
      </c>
      <c r="M37" s="792">
        <v>0.05789381991348973</v>
      </c>
      <c r="N37" s="793">
        <v>1.709198961102057</v>
      </c>
      <c r="O37" s="793">
        <v>1.468315725485519</v>
      </c>
      <c r="P37" s="793">
        <v>10.01197493847315</v>
      </c>
      <c r="Q37" s="793">
        <v>13.6052112905583</v>
      </c>
      <c r="R37" s="793">
        <v>1.795893788847867</v>
      </c>
      <c r="S37" s="793">
        <v>47.96812634413219</v>
      </c>
      <c r="T37" s="792">
        <v>0.0667734918374279</v>
      </c>
      <c r="U37" s="792">
        <v>0.03300956012021748</v>
      </c>
      <c r="V37" s="792">
        <v>0.02286693929663017</v>
      </c>
      <c r="W37" s="792">
        <v>0.3277257304883673</v>
      </c>
      <c r="X37" s="792">
        <v>0.04604119204406767</v>
      </c>
      <c r="Y37" s="792">
        <v>1.431111004985274</v>
      </c>
      <c r="Z37" s="792">
        <v>1.431111004985274</v>
      </c>
      <c r="AA37" s="794">
        <v>0.107376509050571</v>
      </c>
    </row>
    <row r="38" ht="12.75" customHeight="1">
      <c r="A38" s="791" t="s">
        <v>977</v>
      </c>
      <c r="B38" s="581">
        <v>13.0</v>
      </c>
      <c r="C38" s="792">
        <v>0.1327666666666667</v>
      </c>
      <c r="D38" s="792">
        <v>0.02613488646740249</v>
      </c>
      <c r="E38" s="792">
        <v>0.1783701930194303</v>
      </c>
      <c r="F38" s="792">
        <v>0.2367610279554668</v>
      </c>
      <c r="G38" s="793">
        <v>0.6477598141678518</v>
      </c>
      <c r="H38" s="793">
        <v>0.866641638658665</v>
      </c>
      <c r="I38" s="792">
        <v>0.07815221708417647</v>
      </c>
      <c r="J38" s="792">
        <v>0.3397822415435992</v>
      </c>
      <c r="K38" s="792">
        <v>0.050672</v>
      </c>
      <c r="L38" s="792">
        <v>0.3195823246690734</v>
      </c>
      <c r="M38" s="792">
        <v>0.06532155653709674</v>
      </c>
      <c r="N38" s="793">
        <v>7.712909587317783</v>
      </c>
      <c r="O38" s="793">
        <v>0.456852048513644</v>
      </c>
      <c r="P38" s="793">
        <v>11.07525223204178</v>
      </c>
      <c r="Q38" s="793">
        <v>17.94448300297205</v>
      </c>
      <c r="R38" s="793">
        <v>4.878554826122564</v>
      </c>
      <c r="S38" s="793">
        <v>26.80289308359117</v>
      </c>
      <c r="T38" s="792">
        <v>0.05623003040703928</v>
      </c>
      <c r="U38" s="792">
        <v>0.01006545907183555</v>
      </c>
      <c r="V38" s="792">
        <v>0.015039535872964</v>
      </c>
      <c r="W38" s="792">
        <v>0.8133778016934007</v>
      </c>
      <c r="X38" s="792">
        <v>0.1822072451106667</v>
      </c>
      <c r="Y38" s="792">
        <v>0.3807473643539217</v>
      </c>
      <c r="Z38" s="792">
        <v>0.3807473643539216</v>
      </c>
      <c r="AA38" s="794">
        <v>0.02545614814527601</v>
      </c>
    </row>
    <row r="39" ht="12.75" customHeight="1">
      <c r="A39" s="791" t="s">
        <v>1427</v>
      </c>
      <c r="B39" s="581">
        <v>27.0</v>
      </c>
      <c r="C39" s="792">
        <v>0.009873809523809528</v>
      </c>
      <c r="D39" s="792">
        <v>0.06585661858487982</v>
      </c>
      <c r="E39" s="792">
        <v>0.1058742891265975</v>
      </c>
      <c r="F39" s="792">
        <v>0.2907765738946773</v>
      </c>
      <c r="G39" s="793">
        <v>0.6521303704400933</v>
      </c>
      <c r="H39" s="793">
        <v>0.8231584740017082</v>
      </c>
      <c r="I39" s="792">
        <v>0.07621286794047619</v>
      </c>
      <c r="J39" s="792">
        <v>0.5150986273981181</v>
      </c>
      <c r="K39" s="792">
        <v>0.052913</v>
      </c>
      <c r="L39" s="792">
        <v>0.2974240911279325</v>
      </c>
      <c r="M39" s="792">
        <v>0.06534852566141613</v>
      </c>
      <c r="N39" s="793">
        <v>1.958544127171312</v>
      </c>
      <c r="O39" s="793">
        <v>1.332799009656489</v>
      </c>
      <c r="P39" s="793">
        <v>11.27381955011427</v>
      </c>
      <c r="Q39" s="793">
        <v>19.14514049519137</v>
      </c>
      <c r="R39" s="793">
        <v>2.453188499334264</v>
      </c>
      <c r="S39" s="793">
        <v>17.38352468395062</v>
      </c>
      <c r="T39" s="792">
        <v>0.1573031684823794</v>
      </c>
      <c r="U39" s="792">
        <v>0.02451385384800147</v>
      </c>
      <c r="V39" s="792">
        <v>0.05877104889297691</v>
      </c>
      <c r="W39" s="792">
        <v>1.400632775995067</v>
      </c>
      <c r="X39" s="792">
        <v>0.03107415077303208</v>
      </c>
      <c r="Y39" s="792">
        <v>1.08122220889957</v>
      </c>
      <c r="Z39" s="792">
        <v>1.08122220889957</v>
      </c>
      <c r="AA39" s="794">
        <v>0.06799974419947431</v>
      </c>
    </row>
    <row r="40" ht="12.75" customHeight="1">
      <c r="A40" s="791" t="s">
        <v>1428</v>
      </c>
      <c r="B40" s="581">
        <v>15.0</v>
      </c>
      <c r="C40" s="792">
        <v>0.17102</v>
      </c>
      <c r="D40" s="792">
        <v>0.198726032681626</v>
      </c>
      <c r="E40" s="792">
        <v>0.03636741609417939</v>
      </c>
      <c r="F40" s="792">
        <v>0.0</v>
      </c>
      <c r="G40" s="793">
        <v>0.4722841676536161</v>
      </c>
      <c r="H40" s="793">
        <v>0.8563295187054536</v>
      </c>
      <c r="I40" s="792">
        <v>0.07769229653426324</v>
      </c>
      <c r="J40" s="792">
        <v>0.6514340075377375</v>
      </c>
      <c r="K40" s="792">
        <v>0.060195</v>
      </c>
      <c r="L40" s="792">
        <v>0.5307578982023936</v>
      </c>
      <c r="M40" s="792">
        <v>0.06041822528094039</v>
      </c>
      <c r="N40" s="793">
        <v>0.1979948428912487</v>
      </c>
      <c r="O40" s="793">
        <v>7.865692969599145</v>
      </c>
      <c r="P40" s="793">
        <v>13.44371680821708</v>
      </c>
      <c r="Q40" s="793">
        <v>42.62556837327966</v>
      </c>
      <c r="R40" s="793">
        <v>1.262866011273322</v>
      </c>
      <c r="S40" s="793">
        <v>32.24959395302349</v>
      </c>
      <c r="T40" s="792">
        <v>-1.142911474129766</v>
      </c>
      <c r="U40" s="792">
        <v>0.3189568537756949</v>
      </c>
      <c r="V40" s="792">
        <v>0.09007372311850939</v>
      </c>
      <c r="W40" s="792">
        <v>0.6381961322283143</v>
      </c>
      <c r="X40" s="792">
        <v>-0.07357137161316149</v>
      </c>
      <c r="Y40" s="792">
        <v>0.001289980009995003</v>
      </c>
      <c r="Z40" s="792">
        <v>0.001289980009995029</v>
      </c>
      <c r="AA40" s="794">
        <v>0.1837973692040017</v>
      </c>
    </row>
    <row r="41" ht="12.75" customHeight="1">
      <c r="A41" s="791" t="s">
        <v>1429</v>
      </c>
      <c r="B41" s="581">
        <v>204.0</v>
      </c>
      <c r="C41" s="792">
        <v>0.1841067479674797</v>
      </c>
      <c r="D41" s="792">
        <v>0.1533899702248692</v>
      </c>
      <c r="E41" s="792">
        <v>0.169807786355746</v>
      </c>
      <c r="F41" s="792">
        <v>0.1277402370672081</v>
      </c>
      <c r="G41" s="793">
        <v>0.8569477958661521</v>
      </c>
      <c r="H41" s="793">
        <v>0.9085611350704943</v>
      </c>
      <c r="I41" s="792">
        <v>0.08002182662414405</v>
      </c>
      <c r="J41" s="792">
        <v>0.6179058995412937</v>
      </c>
      <c r="K41" s="792">
        <v>0.052913</v>
      </c>
      <c r="L41" s="792">
        <v>0.1133585179543921</v>
      </c>
      <c r="M41" s="792">
        <v>0.07544927539941833</v>
      </c>
      <c r="N41" s="793">
        <v>1.476950489760035</v>
      </c>
      <c r="O41" s="793">
        <v>4.762600760397512</v>
      </c>
      <c r="P41" s="793">
        <v>19.77803657687093</v>
      </c>
      <c r="Q41" s="793">
        <v>29.98927545884349</v>
      </c>
      <c r="R41" s="793">
        <v>4.435103809290801</v>
      </c>
      <c r="S41" s="793">
        <v>43.06516270029824</v>
      </c>
      <c r="T41" s="792">
        <v>0.2565259152559916</v>
      </c>
      <c r="U41" s="792">
        <v>0.03988589760686295</v>
      </c>
      <c r="V41" s="792">
        <v>0.04526630052970015</v>
      </c>
      <c r="W41" s="792">
        <v>0.4599362915493871</v>
      </c>
      <c r="X41" s="792">
        <v>0.1126000364228187</v>
      </c>
      <c r="Y41" s="792">
        <v>0.3564070775543777</v>
      </c>
      <c r="Z41" s="792">
        <v>0.3564070775543777</v>
      </c>
      <c r="AA41" s="794">
        <v>0.1582983716929619</v>
      </c>
    </row>
    <row r="42" ht="12.75" customHeight="1">
      <c r="A42" s="791" t="s">
        <v>1430</v>
      </c>
      <c r="B42" s="581">
        <v>104.0</v>
      </c>
      <c r="C42" s="792">
        <v>0.1312175</v>
      </c>
      <c r="D42" s="792">
        <v>0.0299840587880442</v>
      </c>
      <c r="E42" s="792">
        <v>0.3119296654846798</v>
      </c>
      <c r="F42" s="792">
        <v>0.2299540044260435</v>
      </c>
      <c r="G42" s="793">
        <v>0.7448750574739688</v>
      </c>
      <c r="H42" s="793">
        <v>0.8719538873399333</v>
      </c>
      <c r="I42" s="792">
        <v>0.07838914337536103</v>
      </c>
      <c r="J42" s="792">
        <v>0.4724003230719404</v>
      </c>
      <c r="K42" s="792">
        <v>0.052913</v>
      </c>
      <c r="L42" s="792">
        <v>0.2615856411836159</v>
      </c>
      <c r="M42" s="792">
        <v>0.06826462981764432</v>
      </c>
      <c r="N42" s="793">
        <v>11.74662744336476</v>
      </c>
      <c r="O42" s="793">
        <v>0.4577833136261751</v>
      </c>
      <c r="P42" s="793">
        <v>11.16882502236794</v>
      </c>
      <c r="Q42" s="793">
        <v>15.02204955590035</v>
      </c>
      <c r="R42" s="793">
        <v>2.795572156928382</v>
      </c>
      <c r="S42" s="793">
        <v>83.7666088261665</v>
      </c>
      <c r="T42" s="792">
        <v>-0.05787836802387319</v>
      </c>
      <c r="U42" s="792">
        <v>0.005645407382038143</v>
      </c>
      <c r="V42" s="792">
        <v>0.00865684772676265</v>
      </c>
      <c r="W42" s="792">
        <v>0.5071460718638532</v>
      </c>
      <c r="X42" s="792">
        <v>0.09891791288541897</v>
      </c>
      <c r="Y42" s="792">
        <v>0.4936925996971039</v>
      </c>
      <c r="Z42" s="792">
        <v>0.4936925996971039</v>
      </c>
      <c r="AA42" s="794">
        <v>0.03005287042687139</v>
      </c>
    </row>
    <row r="43" ht="12.75" customHeight="1">
      <c r="A43" s="791" t="s">
        <v>1431</v>
      </c>
      <c r="B43" s="581">
        <v>115.0</v>
      </c>
      <c r="C43" s="792">
        <v>0.1557353030303031</v>
      </c>
      <c r="D43" s="792">
        <v>0.1470948558823554</v>
      </c>
      <c r="E43" s="792">
        <v>0.1371678334811332</v>
      </c>
      <c r="F43" s="792">
        <v>0.1509666497111161</v>
      </c>
      <c r="G43" s="793">
        <v>1.016325032628335</v>
      </c>
      <c r="H43" s="793">
        <v>1.108333899148144</v>
      </c>
      <c r="I43" s="792">
        <v>0.08893169190200721</v>
      </c>
      <c r="J43" s="792">
        <v>0.6378002122444473</v>
      </c>
      <c r="K43" s="792">
        <v>0.052913</v>
      </c>
      <c r="L43" s="792">
        <v>0.1360045003505987</v>
      </c>
      <c r="M43" s="792">
        <v>0.08223388617482975</v>
      </c>
      <c r="N43" s="793">
        <v>1.24569906969673</v>
      </c>
      <c r="O43" s="793">
        <v>5.309188421358011</v>
      </c>
      <c r="P43" s="793">
        <v>21.27212715811244</v>
      </c>
      <c r="Q43" s="793">
        <v>34.7621607960374</v>
      </c>
      <c r="R43" s="793">
        <v>4.002238560460353</v>
      </c>
      <c r="S43" s="793">
        <v>506.5468687021162</v>
      </c>
      <c r="T43" s="792">
        <v>0.2352758590025914</v>
      </c>
      <c r="U43" s="792">
        <v>0.03893262908533368</v>
      </c>
      <c r="V43" s="792">
        <v>0.009215794824584157</v>
      </c>
      <c r="W43" s="792">
        <v>0.1211666818854591</v>
      </c>
      <c r="X43" s="792">
        <v>0.06397363703274217</v>
      </c>
      <c r="Y43" s="792">
        <v>0.1684931886355169</v>
      </c>
      <c r="Z43" s="792">
        <v>0.1684931886355169</v>
      </c>
      <c r="AA43" s="794">
        <v>0.1479431219637029</v>
      </c>
    </row>
    <row r="44" ht="12.75" customHeight="1">
      <c r="A44" s="791" t="s">
        <v>989</v>
      </c>
      <c r="B44" s="581">
        <v>30.0</v>
      </c>
      <c r="C44" s="792">
        <v>0.09872173913043479</v>
      </c>
      <c r="D44" s="792">
        <v>0.1257495272304001</v>
      </c>
      <c r="E44" s="792">
        <v>0.1490812879349228</v>
      </c>
      <c r="F44" s="792">
        <v>0.2367166379830307</v>
      </c>
      <c r="G44" s="793">
        <v>0.8532230798743929</v>
      </c>
      <c r="H44" s="793">
        <v>0.9106178132748846</v>
      </c>
      <c r="I44" s="792">
        <v>0.08011355447205985</v>
      </c>
      <c r="J44" s="792">
        <v>0.327940466753169</v>
      </c>
      <c r="K44" s="792">
        <v>0.050672</v>
      </c>
      <c r="L44" s="792">
        <v>0.1758976469523667</v>
      </c>
      <c r="M44" s="792">
        <v>0.07270658292621202</v>
      </c>
      <c r="N44" s="793">
        <v>1.42151892733591</v>
      </c>
      <c r="O44" s="793">
        <v>1.19162693867246</v>
      </c>
      <c r="P44" s="793">
        <v>8.918125636141264</v>
      </c>
      <c r="Q44" s="793">
        <v>9.431920504743353</v>
      </c>
      <c r="R44" s="793">
        <v>1.633094980041887</v>
      </c>
      <c r="S44" s="793">
        <v>11.45349631568776</v>
      </c>
      <c r="T44" s="792">
        <v>0.6164635102360477</v>
      </c>
      <c r="U44" s="792">
        <v>0.004881250453208145</v>
      </c>
      <c r="V44" s="792">
        <v>0.006827851467460641</v>
      </c>
      <c r="W44" s="792">
        <v>0.3102881169932895</v>
      </c>
      <c r="X44" s="792">
        <v>0.1423143035855479</v>
      </c>
      <c r="Y44" s="792">
        <v>0.09572188588883335</v>
      </c>
      <c r="Z44" s="792">
        <v>0.09572188588883335</v>
      </c>
      <c r="AA44" s="794">
        <v>0.1263385556547798</v>
      </c>
    </row>
    <row r="45" ht="12.75" customHeight="1">
      <c r="A45" s="791" t="s">
        <v>1432</v>
      </c>
      <c r="B45" s="581">
        <v>31.0</v>
      </c>
      <c r="C45" s="792">
        <v>0.1594458823529412</v>
      </c>
      <c r="D45" s="792">
        <v>0.1335655802468282</v>
      </c>
      <c r="E45" s="792">
        <v>0.2216397031877998</v>
      </c>
      <c r="F45" s="792">
        <v>0.2132822043194953</v>
      </c>
      <c r="G45" s="793">
        <v>0.5648588718287879</v>
      </c>
      <c r="H45" s="793">
        <v>0.7996783314027625</v>
      </c>
      <c r="I45" s="792">
        <v>0.07516565358056321</v>
      </c>
      <c r="J45" s="792">
        <v>0.5645694737555678</v>
      </c>
      <c r="K45" s="792">
        <v>0.052913</v>
      </c>
      <c r="L45" s="792">
        <v>0.3746888451798786</v>
      </c>
      <c r="M45" s="792">
        <v>0.06187135479202336</v>
      </c>
      <c r="N45" s="793">
        <v>1.950308515636748</v>
      </c>
      <c r="O45" s="793">
        <v>1.688745016782787</v>
      </c>
      <c r="P45" s="793">
        <v>8.864021416745029</v>
      </c>
      <c r="Q45" s="793">
        <v>13.11546361352196</v>
      </c>
      <c r="R45" s="793">
        <v>5.622736292515395</v>
      </c>
      <c r="S45" s="793">
        <v>18.80423348939764</v>
      </c>
      <c r="T45" s="792">
        <v>0.1048350761454378</v>
      </c>
      <c r="U45" s="792">
        <v>0.05952158089532909</v>
      </c>
      <c r="V45" s="792">
        <v>0.02961184416686606</v>
      </c>
      <c r="W45" s="792">
        <v>0.3390953406386047</v>
      </c>
      <c r="X45" s="792">
        <v>0.5083628028154341</v>
      </c>
      <c r="Y45" s="792">
        <v>0.09335383175077289</v>
      </c>
      <c r="Z45" s="792">
        <v>0.09335383175077294</v>
      </c>
      <c r="AA45" s="794">
        <v>0.1285531963601031</v>
      </c>
    </row>
    <row r="46" ht="12.75" customHeight="1">
      <c r="A46" s="791" t="s">
        <v>993</v>
      </c>
      <c r="B46" s="581">
        <v>63.0</v>
      </c>
      <c r="C46" s="792">
        <v>0.2181709999999999</v>
      </c>
      <c r="D46" s="792">
        <v>0.1938799348814458</v>
      </c>
      <c r="E46" s="792">
        <v>0.145751190453226</v>
      </c>
      <c r="F46" s="792">
        <v>0.1661516239464262</v>
      </c>
      <c r="G46" s="793">
        <v>0.8756884427797555</v>
      </c>
      <c r="H46" s="793">
        <v>1.080367568307419</v>
      </c>
      <c r="I46" s="792">
        <v>0.0876843935465109</v>
      </c>
      <c r="J46" s="792">
        <v>0.3965335196981276</v>
      </c>
      <c r="K46" s="792">
        <v>0.050672</v>
      </c>
      <c r="L46" s="792">
        <v>0.2844375319862503</v>
      </c>
      <c r="M46" s="792">
        <v>0.07355342501803572</v>
      </c>
      <c r="N46" s="793">
        <v>1.039899955851329</v>
      </c>
      <c r="O46" s="793">
        <v>4.327076142389566</v>
      </c>
      <c r="P46" s="793">
        <v>14.93267074437605</v>
      </c>
      <c r="Q46" s="793">
        <v>25.71068177159895</v>
      </c>
      <c r="R46" s="793">
        <v>12.30347267197599</v>
      </c>
      <c r="S46" s="793">
        <v>46.60333945899176</v>
      </c>
      <c r="T46" s="792">
        <v>0.007662953896743492</v>
      </c>
      <c r="U46" s="792">
        <v>0.07341700165035558</v>
      </c>
      <c r="V46" s="792">
        <v>0.0251782452952403</v>
      </c>
      <c r="W46" s="792">
        <v>0.2537482328832064</v>
      </c>
      <c r="X46" s="792">
        <v>0.4538326736020845</v>
      </c>
      <c r="Y46" s="792">
        <v>0.1828047663939815</v>
      </c>
      <c r="Z46" s="792">
        <v>0.1828047663939815</v>
      </c>
      <c r="AA46" s="794">
        <v>0.1659454186798321</v>
      </c>
    </row>
    <row r="47" ht="12.75" customHeight="1">
      <c r="A47" s="791" t="s">
        <v>994</v>
      </c>
      <c r="B47" s="581">
        <v>110.0</v>
      </c>
      <c r="C47" s="792">
        <v>0.08087382978723406</v>
      </c>
      <c r="D47" s="792">
        <v>0.1862488237477741</v>
      </c>
      <c r="E47" s="792">
        <v>0.3441983751200186</v>
      </c>
      <c r="F47" s="792">
        <v>0.2073149545763796</v>
      </c>
      <c r="G47" s="793">
        <v>0.7410769287097494</v>
      </c>
      <c r="H47" s="793">
        <v>0.8155158251324154</v>
      </c>
      <c r="I47" s="792">
        <v>0.07587200580090572</v>
      </c>
      <c r="J47" s="792">
        <v>0.5546378639806525</v>
      </c>
      <c r="K47" s="792">
        <v>0.052913</v>
      </c>
      <c r="L47" s="792">
        <v>0.153601292087209</v>
      </c>
      <c r="M47" s="792">
        <v>0.07031359655279625</v>
      </c>
      <c r="N47" s="793">
        <v>2.214429262740435</v>
      </c>
      <c r="O47" s="793">
        <v>3.059468148726035</v>
      </c>
      <c r="P47" s="793">
        <v>13.17352016412676</v>
      </c>
      <c r="Q47" s="793">
        <v>16.25491325421328</v>
      </c>
      <c r="R47" s="793">
        <v>5.847090055850471</v>
      </c>
      <c r="S47" s="793">
        <v>33.07179588651714</v>
      </c>
      <c r="T47" s="792">
        <v>0.06006083788394438</v>
      </c>
      <c r="U47" s="792">
        <v>0.03791443224072157</v>
      </c>
      <c r="V47" s="792">
        <v>0.01131996133663512</v>
      </c>
      <c r="W47" s="792">
        <v>0.07757640989499602</v>
      </c>
      <c r="X47" s="792">
        <v>0.2702119723935352</v>
      </c>
      <c r="Y47" s="792">
        <v>0.6724627371530681</v>
      </c>
      <c r="Z47" s="792">
        <v>0.6724627371530681</v>
      </c>
      <c r="AA47" s="794">
        <v>0.1881097749842177</v>
      </c>
    </row>
    <row r="48" ht="12.75" customHeight="1">
      <c r="A48" s="791" t="s">
        <v>1433</v>
      </c>
      <c r="B48" s="581">
        <v>15.0</v>
      </c>
      <c r="C48" s="792">
        <v>0.06770909090909091</v>
      </c>
      <c r="D48" s="792">
        <v>0.1188602164339738</v>
      </c>
      <c r="E48" s="792">
        <v>0.2217430042193927</v>
      </c>
      <c r="F48" s="792">
        <v>0.2173934147722675</v>
      </c>
      <c r="G48" s="793">
        <v>0.7563563575971642</v>
      </c>
      <c r="H48" s="793">
        <v>0.9205673234850804</v>
      </c>
      <c r="I48" s="792">
        <v>0.08055730262743459</v>
      </c>
      <c r="J48" s="792">
        <v>0.3237524454802279</v>
      </c>
      <c r="K48" s="792">
        <v>0.050672</v>
      </c>
      <c r="L48" s="792">
        <v>0.2490792719816506</v>
      </c>
      <c r="M48" s="792">
        <v>0.06995815698857832</v>
      </c>
      <c r="N48" s="793">
        <v>2.5121429063367</v>
      </c>
      <c r="O48" s="793">
        <v>2.212535389114448</v>
      </c>
      <c r="P48" s="793">
        <v>11.49832200915996</v>
      </c>
      <c r="Q48" s="793">
        <v>17.7665165820875</v>
      </c>
      <c r="R48" s="793">
        <v>3.794938947322144</v>
      </c>
      <c r="S48" s="793">
        <v>24.91702750363627</v>
      </c>
      <c r="T48" s="792">
        <v>0.1662125535654339</v>
      </c>
      <c r="U48" s="792">
        <v>0.01904214143249274</v>
      </c>
      <c r="V48" s="792">
        <v>-0.02871716957285889</v>
      </c>
      <c r="W48" s="792">
        <v>-0.2678902088965883</v>
      </c>
      <c r="X48" s="792">
        <v>0.149460900440439</v>
      </c>
      <c r="Y48" s="792">
        <v>0.3206733497257424</v>
      </c>
      <c r="Z48" s="792">
        <v>0.3206733497257424</v>
      </c>
      <c r="AA48" s="794">
        <v>0.1247199704995497</v>
      </c>
    </row>
    <row r="49" ht="12.75" customHeight="1">
      <c r="A49" s="791" t="s">
        <v>1434</v>
      </c>
      <c r="B49" s="581">
        <v>21.0</v>
      </c>
      <c r="C49" s="792">
        <v>0.1182776923076923</v>
      </c>
      <c r="D49" s="792">
        <v>0.2131282564251055</v>
      </c>
      <c r="E49" s="792">
        <v>0.4450609958826383</v>
      </c>
      <c r="F49" s="792">
        <v>0.2231967199034194</v>
      </c>
      <c r="G49" s="793">
        <v>0.5780724262046252</v>
      </c>
      <c r="H49" s="793">
        <v>0.6719750422408106</v>
      </c>
      <c r="I49" s="792">
        <v>0.06947008688394016</v>
      </c>
      <c r="J49" s="792">
        <v>0.46070163153831</v>
      </c>
      <c r="K49" s="792">
        <v>0.052913</v>
      </c>
      <c r="L49" s="792">
        <v>0.2039966600957666</v>
      </c>
      <c r="M49" s="792">
        <v>0.06339397763978913</v>
      </c>
      <c r="N49" s="793">
        <v>2.409977566153034</v>
      </c>
      <c r="O49" s="793">
        <v>4.324047602881805</v>
      </c>
      <c r="P49" s="793">
        <v>15.75790485730277</v>
      </c>
      <c r="Q49" s="793">
        <v>20.09990608407696</v>
      </c>
      <c r="R49" s="793">
        <v>3.451731948410647</v>
      </c>
      <c r="S49" s="793">
        <v>33.96447508386147</v>
      </c>
      <c r="T49" s="792">
        <v>0.2653809787043614</v>
      </c>
      <c r="U49" s="792">
        <v>0.01137653882264164</v>
      </c>
      <c r="V49" s="792">
        <v>0.5504301315293023</v>
      </c>
      <c r="W49" s="792">
        <v>3.242072539208152</v>
      </c>
      <c r="X49" s="792">
        <v>0.190716563362503</v>
      </c>
      <c r="Y49" s="792">
        <v>0.3664220974786759</v>
      </c>
      <c r="Z49" s="792">
        <v>0.3664220974786758</v>
      </c>
      <c r="AA49" s="794">
        <v>0.2145699559387708</v>
      </c>
    </row>
    <row r="50" ht="12.75" customHeight="1">
      <c r="A50" s="791" t="s">
        <v>997</v>
      </c>
      <c r="B50" s="581">
        <v>20.0</v>
      </c>
      <c r="C50" s="792">
        <v>0.02519</v>
      </c>
      <c r="D50" s="792">
        <v>0.1061321986436446</v>
      </c>
      <c r="E50" s="792">
        <v>0.1076576568830416</v>
      </c>
      <c r="F50" s="792">
        <v>0.1867681012574124</v>
      </c>
      <c r="G50" s="793">
        <v>0.5317480065275768</v>
      </c>
      <c r="H50" s="793">
        <v>0.6444930925180267</v>
      </c>
      <c r="I50" s="792">
        <v>0.068244391926304</v>
      </c>
      <c r="J50" s="792">
        <v>0.3515193422631459</v>
      </c>
      <c r="K50" s="792">
        <v>0.050672</v>
      </c>
      <c r="L50" s="792">
        <v>0.4041940370182383</v>
      </c>
      <c r="M50" s="792">
        <v>0.05602140583259745</v>
      </c>
      <c r="N50" s="793">
        <v>1.192128084159164</v>
      </c>
      <c r="O50" s="793">
        <v>1.283824922474728</v>
      </c>
      <c r="P50" s="793">
        <v>12.52246667271868</v>
      </c>
      <c r="Q50" s="793">
        <v>11.69560954139714</v>
      </c>
      <c r="R50" s="793">
        <v>1.434116504672547</v>
      </c>
      <c r="S50" s="793">
        <v>12.55744686657893</v>
      </c>
      <c r="T50" s="792">
        <v>0.2316686023040303</v>
      </c>
      <c r="U50" s="792">
        <v>0.00172357108928718</v>
      </c>
      <c r="V50" s="792">
        <v>0.003174677386864691</v>
      </c>
      <c r="W50" s="792">
        <v>0.0531386403080186</v>
      </c>
      <c r="X50" s="792">
        <v>0.1287352963515177</v>
      </c>
      <c r="Y50" s="792">
        <v>0.3360679830191276</v>
      </c>
      <c r="Z50" s="792">
        <v>0.3360679830191275</v>
      </c>
      <c r="AA50" s="794">
        <v>0.1064766916426663</v>
      </c>
    </row>
    <row r="51" ht="12.75" customHeight="1">
      <c r="A51" s="791" t="s">
        <v>1435</v>
      </c>
      <c r="B51" s="581">
        <v>57.0</v>
      </c>
      <c r="C51" s="792">
        <v>0.08764183673469389</v>
      </c>
      <c r="D51" s="792">
        <v>0.1525411457011631</v>
      </c>
      <c r="E51" s="792">
        <v>0.1848897922347782</v>
      </c>
      <c r="F51" s="792">
        <v>0.2158889974566429</v>
      </c>
      <c r="G51" s="793">
        <v>0.4570234949231456</v>
      </c>
      <c r="H51" s="793">
        <v>0.4841100151289049</v>
      </c>
      <c r="I51" s="792">
        <v>0.06109130667474916</v>
      </c>
      <c r="J51" s="792">
        <v>0.2869687952853511</v>
      </c>
      <c r="K51" s="792">
        <v>0.047306</v>
      </c>
      <c r="L51" s="792">
        <v>0.1291420288994871</v>
      </c>
      <c r="M51" s="792">
        <v>0.05778374599699063</v>
      </c>
      <c r="N51" s="793">
        <v>1.480298311904736</v>
      </c>
      <c r="O51" s="793">
        <v>1.488781913224094</v>
      </c>
      <c r="P51" s="793">
        <v>8.4356789458995</v>
      </c>
      <c r="Q51" s="793">
        <v>9.639962545096123</v>
      </c>
      <c r="R51" s="793">
        <v>2.023852760026604</v>
      </c>
      <c r="S51" s="793">
        <v>18.33444165737293</v>
      </c>
      <c r="T51" s="792">
        <v>-0.4047851575984949</v>
      </c>
      <c r="U51" s="792">
        <v>0.006463989081157454</v>
      </c>
      <c r="V51" s="792">
        <v>-0.01050621729319698</v>
      </c>
      <c r="W51" s="792">
        <v>0.02004685115969638</v>
      </c>
      <c r="X51" s="792">
        <v>0.1871472540067841</v>
      </c>
      <c r="Y51" s="792">
        <v>0.2248570127220276</v>
      </c>
      <c r="Z51" s="792">
        <v>0.2248570127220276</v>
      </c>
      <c r="AA51" s="794">
        <v>0.1530058312099489</v>
      </c>
    </row>
    <row r="52" ht="12.75" customHeight="1">
      <c r="A52" s="791" t="s">
        <v>1436</v>
      </c>
      <c r="B52" s="581">
        <v>283.0</v>
      </c>
      <c r="C52" s="792">
        <v>0.0568886274509804</v>
      </c>
      <c r="D52" s="792">
        <v>0.255024819913312</v>
      </c>
      <c r="E52" s="792">
        <v>0.1425320730051866</v>
      </c>
      <c r="F52" s="792">
        <v>0.1851158887244541</v>
      </c>
      <c r="G52" s="793">
        <v>0.588064033338367</v>
      </c>
      <c r="H52" s="793">
        <v>0.6595817512663942</v>
      </c>
      <c r="I52" s="792">
        <v>0.06891734610648118</v>
      </c>
      <c r="J52" s="792">
        <v>0.3004225728309703</v>
      </c>
      <c r="K52" s="792">
        <v>0.050672</v>
      </c>
      <c r="L52" s="792">
        <v>0.2463533959386016</v>
      </c>
      <c r="M52" s="792">
        <v>0.06130173831332419</v>
      </c>
      <c r="N52" s="793">
        <v>0.5894173898841665</v>
      </c>
      <c r="O52" s="793">
        <v>5.486045625728951</v>
      </c>
      <c r="P52" s="793">
        <v>38.02880057904406</v>
      </c>
      <c r="Q52" s="793">
        <v>20.39991949055981</v>
      </c>
      <c r="R52" s="793">
        <v>2.489616012966674</v>
      </c>
      <c r="S52" s="793">
        <v>75.30490832859047</v>
      </c>
      <c r="T52" s="792" t="s">
        <v>1385</v>
      </c>
      <c r="U52" s="792">
        <v>0.02444261474147592</v>
      </c>
      <c r="V52" s="792">
        <v>0.2102299821311934</v>
      </c>
      <c r="W52" s="792">
        <v>1.310653356484875</v>
      </c>
      <c r="X52" s="792">
        <v>0.1588067678289871</v>
      </c>
      <c r="Y52" s="792">
        <v>0.5824006202804275</v>
      </c>
      <c r="Z52" s="792">
        <v>0.5824006202804275</v>
      </c>
      <c r="AA52" s="794">
        <v>0.252572918757687</v>
      </c>
    </row>
    <row r="53" ht="12.75" customHeight="1">
      <c r="A53" s="791" t="s">
        <v>1005</v>
      </c>
      <c r="B53" s="581">
        <v>105.0</v>
      </c>
      <c r="C53" s="792">
        <v>0.1036877464788733</v>
      </c>
      <c r="D53" s="792">
        <v>0.1586495069517875</v>
      </c>
      <c r="E53" s="792">
        <v>0.244083257883221</v>
      </c>
      <c r="F53" s="792">
        <v>0.2121106319663805</v>
      </c>
      <c r="G53" s="793">
        <v>0.8940302510086939</v>
      </c>
      <c r="H53" s="793">
        <v>0.9636207903494385</v>
      </c>
      <c r="I53" s="792">
        <v>0.08247748724958495</v>
      </c>
      <c r="J53" s="792">
        <v>0.4503411666073636</v>
      </c>
      <c r="K53" s="792">
        <v>0.052913</v>
      </c>
      <c r="L53" s="792">
        <v>0.128101898330155</v>
      </c>
      <c r="M53" s="792">
        <v>0.07699565637316959</v>
      </c>
      <c r="N53" s="793">
        <v>1.951925590204531</v>
      </c>
      <c r="O53" s="793">
        <v>3.426131130289686</v>
      </c>
      <c r="P53" s="793">
        <v>16.21747056227096</v>
      </c>
      <c r="Q53" s="793">
        <v>21.03633026461816</v>
      </c>
      <c r="R53" s="793">
        <v>4.501410024095517</v>
      </c>
      <c r="S53" s="793">
        <v>35.76103587726784</v>
      </c>
      <c r="T53" s="792">
        <v>0.2442193567668156</v>
      </c>
      <c r="U53" s="792">
        <v>0.02390313656275155</v>
      </c>
      <c r="V53" s="792">
        <v>0.04135104627881279</v>
      </c>
      <c r="W53" s="792">
        <v>0.3432570745381548</v>
      </c>
      <c r="X53" s="792">
        <v>0.1642312163850503</v>
      </c>
      <c r="Y53" s="792">
        <v>0.3342568361705102</v>
      </c>
      <c r="Z53" s="792">
        <v>0.3342568361705102</v>
      </c>
      <c r="AA53" s="794">
        <v>0.1612105237002885</v>
      </c>
    </row>
    <row r="54" ht="12.75" customHeight="1">
      <c r="A54" s="791" t="s">
        <v>1437</v>
      </c>
      <c r="B54" s="581">
        <v>73.0</v>
      </c>
      <c r="C54" s="792">
        <v>0.0867066666666667</v>
      </c>
      <c r="D54" s="792">
        <v>0.2385427191735325</v>
      </c>
      <c r="E54" s="792">
        <v>0.2704361776786952</v>
      </c>
      <c r="F54" s="792">
        <v>0.3446283103725081</v>
      </c>
      <c r="G54" s="793">
        <v>1.010449296054403</v>
      </c>
      <c r="H54" s="793">
        <v>1.043031476230846</v>
      </c>
      <c r="I54" s="792">
        <v>0.08601920383989574</v>
      </c>
      <c r="J54" s="792">
        <v>0.7756025957468325</v>
      </c>
      <c r="K54" s="792">
        <v>0.060195</v>
      </c>
      <c r="L54" s="792">
        <v>0.0989734528307213</v>
      </c>
      <c r="M54" s="792">
        <v>0.08197386647097057</v>
      </c>
      <c r="N54" s="793">
        <v>1.175715601360768</v>
      </c>
      <c r="O54" s="793">
        <v>4.034482548056959</v>
      </c>
      <c r="P54" s="793">
        <v>11.3906369554613</v>
      </c>
      <c r="Q54" s="793">
        <v>15.72189898228056</v>
      </c>
      <c r="R54" s="793">
        <v>4.336765520107329</v>
      </c>
      <c r="S54" s="793">
        <v>54.1176014151896</v>
      </c>
      <c r="T54" s="792">
        <v>0.1488715443153497</v>
      </c>
      <c r="U54" s="792">
        <v>0.1171568803298095</v>
      </c>
      <c r="V54" s="792">
        <v>0.04613846892086521</v>
      </c>
      <c r="W54" s="792">
        <v>0.3240321753052389</v>
      </c>
      <c r="X54" s="792">
        <v>0.1779434874880822</v>
      </c>
      <c r="Y54" s="792">
        <v>0.5199944937174282</v>
      </c>
      <c r="Z54" s="792">
        <v>0.5199944937174282</v>
      </c>
      <c r="AA54" s="794">
        <v>0.2375013114727321</v>
      </c>
    </row>
    <row r="55" ht="12.75" customHeight="1">
      <c r="A55" s="791" t="s">
        <v>1438</v>
      </c>
      <c r="B55" s="581">
        <v>14.0</v>
      </c>
      <c r="C55" s="792">
        <v>0.08130000000000001</v>
      </c>
      <c r="D55" s="792">
        <v>0.107283052147578</v>
      </c>
      <c r="E55" s="792">
        <v>0.1826016020332072</v>
      </c>
      <c r="F55" s="792">
        <v>0.2375971140036414</v>
      </c>
      <c r="G55" s="793">
        <v>1.038190189786169</v>
      </c>
      <c r="H55" s="793">
        <v>1.334375038621748</v>
      </c>
      <c r="I55" s="792">
        <v>0.09901312672252996</v>
      </c>
      <c r="J55" s="792">
        <v>0.3960756696465002</v>
      </c>
      <c r="K55" s="792">
        <v>0.050672</v>
      </c>
      <c r="L55" s="792">
        <v>0.3247918436948866</v>
      </c>
      <c r="M55" s="792">
        <v>0.07919785997210449</v>
      </c>
      <c r="N55" s="793">
        <v>2.205030678534003</v>
      </c>
      <c r="O55" s="793">
        <v>1.433663742966214</v>
      </c>
      <c r="P55" s="793">
        <v>8.594854468833645</v>
      </c>
      <c r="Q55" s="793">
        <v>13.0262887992241</v>
      </c>
      <c r="R55" s="793">
        <v>2.924078960854785</v>
      </c>
      <c r="S55" s="793">
        <v>18.55152694828409</v>
      </c>
      <c r="T55" s="792">
        <v>0.0813899150038206</v>
      </c>
      <c r="U55" s="792">
        <v>0.02764341356905921</v>
      </c>
      <c r="V55" s="792">
        <v>0.0186951695138595</v>
      </c>
      <c r="W55" s="792">
        <v>0.3229164307022239</v>
      </c>
      <c r="X55" s="792">
        <v>0.1322566194736466</v>
      </c>
      <c r="Y55" s="792">
        <v>0.5740361220760601</v>
      </c>
      <c r="Z55" s="792">
        <v>0.5740361220760601</v>
      </c>
      <c r="AA55" s="794">
        <v>0.1079829271874838</v>
      </c>
    </row>
    <row r="56" ht="12.75" customHeight="1">
      <c r="A56" s="791" t="s">
        <v>1439</v>
      </c>
      <c r="B56" s="581">
        <v>4.0</v>
      </c>
      <c r="C56" s="792">
        <v>0.0462</v>
      </c>
      <c r="D56" s="792">
        <v>0.1124866389469229</v>
      </c>
      <c r="E56" s="792">
        <v>0.0844906040235468</v>
      </c>
      <c r="F56" s="792">
        <v>0.3143721503699604</v>
      </c>
      <c r="G56" s="793">
        <v>0.2780040123588666</v>
      </c>
      <c r="H56" s="793">
        <v>0.2993819796439979</v>
      </c>
      <c r="I56" s="792">
        <v>0.05285243629212231</v>
      </c>
      <c r="J56" s="792">
        <v>0.2026827904588578</v>
      </c>
      <c r="K56" s="792">
        <v>0.047306</v>
      </c>
      <c r="L56" s="792">
        <v>0.121612740694131</v>
      </c>
      <c r="M56" s="792">
        <v>0.05073966589573278</v>
      </c>
      <c r="N56" s="793">
        <v>1.024311291185885</v>
      </c>
      <c r="O56" s="793">
        <v>1.753176232733194</v>
      </c>
      <c r="P56" s="793">
        <v>8.163021611107265</v>
      </c>
      <c r="Q56" s="793">
        <v>15.15670397335326</v>
      </c>
      <c r="R56" s="793">
        <v>1.707552331046733</v>
      </c>
      <c r="S56" s="793">
        <v>16.24390548286594</v>
      </c>
      <c r="T56" s="792">
        <v>0.03927425140725967</v>
      </c>
      <c r="U56" s="792">
        <v>0.09638988083537244</v>
      </c>
      <c r="V56" s="792">
        <v>0.003890325204017346</v>
      </c>
      <c r="W56" s="792">
        <v>0.08394892143738739</v>
      </c>
      <c r="X56" s="792">
        <v>0.09957502140399105</v>
      </c>
      <c r="Y56" s="792">
        <v>0.6773393605566876</v>
      </c>
      <c r="Z56" s="792">
        <v>0.6773393605566876</v>
      </c>
      <c r="AA56" s="794">
        <v>0.1157741200614615</v>
      </c>
    </row>
    <row r="57" ht="12.75" customHeight="1">
      <c r="A57" s="791" t="s">
        <v>1440</v>
      </c>
      <c r="B57" s="581">
        <v>142.0</v>
      </c>
      <c r="C57" s="792">
        <v>0.1761252054794521</v>
      </c>
      <c r="D57" s="792">
        <v>0.2541582987981389</v>
      </c>
      <c r="E57" s="792">
        <v>0.1373109527096751</v>
      </c>
      <c r="F57" s="792">
        <v>0.2533721378026995</v>
      </c>
      <c r="G57" s="793">
        <v>0.5785405692885324</v>
      </c>
      <c r="H57" s="793">
        <v>0.72140595546977</v>
      </c>
      <c r="I57" s="792">
        <v>0.07167470561395174</v>
      </c>
      <c r="J57" s="792">
        <v>0.4221920097460941</v>
      </c>
      <c r="K57" s="792">
        <v>0.050672</v>
      </c>
      <c r="L57" s="792">
        <v>0.2731904517372341</v>
      </c>
      <c r="M57" s="792">
        <v>0.06247619033696485</v>
      </c>
      <c r="N57" s="793">
        <v>0.5740994431768883</v>
      </c>
      <c r="O57" s="793">
        <v>2.682588599484382</v>
      </c>
      <c r="P57" s="793">
        <v>5.14585933864515</v>
      </c>
      <c r="Q57" s="793">
        <v>10.27744374433477</v>
      </c>
      <c r="R57" s="793">
        <v>1.355720743666191</v>
      </c>
      <c r="S57" s="793">
        <v>30.98341309660202</v>
      </c>
      <c r="T57" s="792">
        <v>0.006617127119104511</v>
      </c>
      <c r="U57" s="792">
        <v>0.3813741097104587</v>
      </c>
      <c r="V57" s="792">
        <v>0.1904869187457587</v>
      </c>
      <c r="W57" s="792">
        <v>1.004751944356199</v>
      </c>
      <c r="X57" s="792">
        <v>0.1221106613964292</v>
      </c>
      <c r="Y57" s="792">
        <v>0.4169878127780144</v>
      </c>
      <c r="Z57" s="792">
        <v>0.4169878127780144</v>
      </c>
      <c r="AA57" s="794">
        <v>0.2574964851933582</v>
      </c>
    </row>
    <row r="58" ht="12.75" customHeight="1">
      <c r="A58" s="791" t="s">
        <v>1441</v>
      </c>
      <c r="B58" s="581">
        <v>23.0</v>
      </c>
      <c r="C58" s="792">
        <v>0.2012806666666667</v>
      </c>
      <c r="D58" s="792">
        <v>0.2577810990734486</v>
      </c>
      <c r="E58" s="792">
        <v>0.123510551591223</v>
      </c>
      <c r="F58" s="792">
        <v>0.2038850439643786</v>
      </c>
      <c r="G58" s="793">
        <v>0.4692562974090757</v>
      </c>
      <c r="H58" s="793">
        <v>0.6692224517144899</v>
      </c>
      <c r="I58" s="792">
        <v>0.06934732134646625</v>
      </c>
      <c r="J58" s="792">
        <v>0.4224037245326557</v>
      </c>
      <c r="K58" s="792">
        <v>0.050672</v>
      </c>
      <c r="L58" s="792">
        <v>0.3691931753989284</v>
      </c>
      <c r="M58" s="792">
        <v>0.05777558101101535</v>
      </c>
      <c r="N58" s="793">
        <v>0.521937468522693</v>
      </c>
      <c r="O58" s="793">
        <v>4.371783781882893</v>
      </c>
      <c r="P58" s="793">
        <v>11.56239658954174</v>
      </c>
      <c r="Q58" s="793">
        <v>16.4805767999161</v>
      </c>
      <c r="R58" s="793">
        <v>2.88227102083848</v>
      </c>
      <c r="S58" s="793">
        <v>23.71726394001627</v>
      </c>
      <c r="T58" s="792">
        <v>0.0105700391213076</v>
      </c>
      <c r="U58" s="792">
        <v>0.2124110954060021</v>
      </c>
      <c r="V58" s="792">
        <v>0.1959203929369449</v>
      </c>
      <c r="W58" s="792">
        <v>0.9963382714100507</v>
      </c>
      <c r="X58" s="792">
        <v>0.1803270241572243</v>
      </c>
      <c r="Y58" s="792">
        <v>0.6943485555005051</v>
      </c>
      <c r="Z58" s="792">
        <v>0.6943485555005051</v>
      </c>
      <c r="AA58" s="794">
        <v>0.2605468280876443</v>
      </c>
    </row>
    <row r="59" ht="12.75" customHeight="1">
      <c r="A59" s="791" t="s">
        <v>1442</v>
      </c>
      <c r="B59" s="581">
        <v>97.0</v>
      </c>
      <c r="C59" s="792">
        <v>0.1078592727272727</v>
      </c>
      <c r="D59" s="792">
        <v>0.04649606278662376</v>
      </c>
      <c r="E59" s="792">
        <v>0.1193795100311501</v>
      </c>
      <c r="F59" s="792">
        <v>0.1854586896156506</v>
      </c>
      <c r="G59" s="793">
        <v>0.7870575641420728</v>
      </c>
      <c r="H59" s="793">
        <v>0.9512418716285248</v>
      </c>
      <c r="I59" s="792">
        <v>0.08192538747463221</v>
      </c>
      <c r="J59" s="792">
        <v>0.4831643535406242</v>
      </c>
      <c r="K59" s="792">
        <v>0.052913</v>
      </c>
      <c r="L59" s="792">
        <v>0.2719893286046465</v>
      </c>
      <c r="M59" s="792">
        <v>0.07043638484807473</v>
      </c>
      <c r="N59" s="793">
        <v>2.792715187270896</v>
      </c>
      <c r="O59" s="793">
        <v>0.7413518369384341</v>
      </c>
      <c r="P59" s="793">
        <v>8.629760666747599</v>
      </c>
      <c r="Q59" s="793">
        <v>14.90412900423401</v>
      </c>
      <c r="R59" s="793">
        <v>1.91838934733431</v>
      </c>
      <c r="S59" s="793">
        <v>33.30034533821973</v>
      </c>
      <c r="T59" s="792">
        <v>0.08926329482945863</v>
      </c>
      <c r="U59" s="792">
        <v>0.02888130812260767</v>
      </c>
      <c r="V59" s="792">
        <v>0.009080670748737559</v>
      </c>
      <c r="W59" s="792">
        <v>0.3218336130235796</v>
      </c>
      <c r="X59" s="792">
        <v>0.08646041260503463</v>
      </c>
      <c r="Y59" s="792">
        <v>0.6007508739894286</v>
      </c>
      <c r="Z59" s="792">
        <v>0.6007508739894286</v>
      </c>
      <c r="AA59" s="794">
        <v>0.04815454958406099</v>
      </c>
    </row>
    <row r="60" ht="12.75" customHeight="1">
      <c r="A60" s="791" t="s">
        <v>1040</v>
      </c>
      <c r="B60" s="581">
        <v>19.0</v>
      </c>
      <c r="C60" s="792">
        <v>0.04662999999999999</v>
      </c>
      <c r="D60" s="792">
        <v>0.09575576545544758</v>
      </c>
      <c r="E60" s="792">
        <v>0.148169271958356</v>
      </c>
      <c r="F60" s="792">
        <v>0.2357521513640869</v>
      </c>
      <c r="G60" s="793">
        <v>0.7489917958635104</v>
      </c>
      <c r="H60" s="793">
        <v>1.021929775043253</v>
      </c>
      <c r="I60" s="792">
        <v>0.0850780679669291</v>
      </c>
      <c r="J60" s="792">
        <v>0.2544790914399858</v>
      </c>
      <c r="K60" s="792">
        <v>0.047306</v>
      </c>
      <c r="L60" s="792">
        <v>0.3552945440978263</v>
      </c>
      <c r="M60" s="792">
        <v>0.06745596737321397</v>
      </c>
      <c r="N60" s="793">
        <v>1.840380702653133</v>
      </c>
      <c r="O60" s="793">
        <v>1.548223740598528</v>
      </c>
      <c r="P60" s="793">
        <v>9.709567233288313</v>
      </c>
      <c r="Q60" s="793">
        <v>15.7784503509321</v>
      </c>
      <c r="R60" s="793">
        <v>2.183967606333276</v>
      </c>
      <c r="S60" s="793">
        <v>16.42821628874671</v>
      </c>
      <c r="T60" s="792">
        <v>0.1265597291835957</v>
      </c>
      <c r="U60" s="792">
        <v>0.05469903495588267</v>
      </c>
      <c r="V60" s="792">
        <v>0.05137826205765818</v>
      </c>
      <c r="W60" s="792">
        <v>0.9395850663597047</v>
      </c>
      <c r="X60" s="792">
        <v>0.1229373185396537</v>
      </c>
      <c r="Y60" s="792">
        <v>0.555824875201471</v>
      </c>
      <c r="Z60" s="792">
        <v>0.555824875201471</v>
      </c>
      <c r="AA60" s="794">
        <v>0.09767327418705181</v>
      </c>
    </row>
    <row r="61" ht="12.75" customHeight="1">
      <c r="A61" s="791" t="s">
        <v>1446</v>
      </c>
      <c r="B61" s="581">
        <v>6.0</v>
      </c>
      <c r="C61" s="792">
        <v>-0.003399999999999999</v>
      </c>
      <c r="D61" s="792">
        <v>0.06344838859073201</v>
      </c>
      <c r="E61" s="792">
        <v>0.1041420566237548</v>
      </c>
      <c r="F61" s="792">
        <v>0.2584269662921349</v>
      </c>
      <c r="G61" s="793">
        <v>0.7696751455408247</v>
      </c>
      <c r="H61" s="793">
        <v>0.9579784309693652</v>
      </c>
      <c r="I61" s="792">
        <v>0.08222583802123369</v>
      </c>
      <c r="J61" s="792">
        <v>0.5694450238249283</v>
      </c>
      <c r="K61" s="792">
        <v>0.052913</v>
      </c>
      <c r="L61" s="792">
        <v>0.3040485120489803</v>
      </c>
      <c r="M61" s="792">
        <v>0.0692912835074329</v>
      </c>
      <c r="N61" s="793">
        <v>1.73179843318611</v>
      </c>
      <c r="O61" s="793">
        <v>1.020398600175488</v>
      </c>
      <c r="P61" s="793">
        <v>8.183282663311115</v>
      </c>
      <c r="Q61" s="793">
        <v>15.51040551393499</v>
      </c>
      <c r="R61" s="793">
        <v>1.828131930747315</v>
      </c>
      <c r="S61" s="793">
        <v>12.85053914674168</v>
      </c>
      <c r="T61" s="792">
        <v>0.1324452193496245</v>
      </c>
      <c r="U61" s="792">
        <v>0.06210441241906629</v>
      </c>
      <c r="V61" s="792">
        <v>0.01800746451630479</v>
      </c>
      <c r="W61" s="792">
        <v>0.4428777043889832</v>
      </c>
      <c r="X61" s="792">
        <v>0.07013649983353679</v>
      </c>
      <c r="Y61" s="792">
        <v>3.32542194092827</v>
      </c>
      <c r="Z61" s="792">
        <v>3.32542194092827</v>
      </c>
      <c r="AA61" s="794">
        <v>0.0662949768891948</v>
      </c>
    </row>
    <row r="62" ht="12.75" customHeight="1">
      <c r="A62" s="791" t="s">
        <v>1449</v>
      </c>
      <c r="B62" s="581">
        <v>46.0</v>
      </c>
      <c r="C62" s="792">
        <v>0.06735309523809524</v>
      </c>
      <c r="D62" s="792">
        <v>0.2146995662202426</v>
      </c>
      <c r="E62" s="792">
        <v>0.06921872420290816</v>
      </c>
      <c r="F62" s="792">
        <v>0.1301368060411489</v>
      </c>
      <c r="G62" s="793">
        <v>0.314578407757456</v>
      </c>
      <c r="H62" s="793">
        <v>0.4824326713170223</v>
      </c>
      <c r="I62" s="792">
        <v>0.06101649714073919</v>
      </c>
      <c r="J62" s="792">
        <v>0.2537998869785569</v>
      </c>
      <c r="K62" s="792">
        <v>0.047306</v>
      </c>
      <c r="L62" s="792">
        <v>0.4257779210749665</v>
      </c>
      <c r="M62" s="792">
        <v>0.0501434075876579</v>
      </c>
      <c r="N62" s="793">
        <v>0.371733512663962</v>
      </c>
      <c r="O62" s="793">
        <v>4.695806461850637</v>
      </c>
      <c r="P62" s="793">
        <v>12.38141031908174</v>
      </c>
      <c r="Q62" s="793">
        <v>21.85908592325744</v>
      </c>
      <c r="R62" s="793">
        <v>2.275661991140573</v>
      </c>
      <c r="S62" s="793">
        <v>24.74117191376893</v>
      </c>
      <c r="T62" s="792">
        <v>0.03079340958638991</v>
      </c>
      <c r="U62" s="792">
        <v>0.3869461507399953</v>
      </c>
      <c r="V62" s="792">
        <v>0.2434614380604518</v>
      </c>
      <c r="W62" s="792">
        <v>1.309534377017714</v>
      </c>
      <c r="X62" s="792">
        <v>0.1239909398423414</v>
      </c>
      <c r="Y62" s="792">
        <v>0.5495789196209595</v>
      </c>
      <c r="Z62" s="792">
        <v>0.5495789196209595</v>
      </c>
      <c r="AA62" s="794">
        <v>0.2136659599909848</v>
      </c>
    </row>
    <row r="63" ht="12.75" customHeight="1">
      <c r="A63" s="791" t="s">
        <v>1451</v>
      </c>
      <c r="B63" s="581">
        <v>56.0</v>
      </c>
      <c r="C63" s="792">
        <v>0.4604545454545454</v>
      </c>
      <c r="D63" s="792">
        <v>0.403887750601932</v>
      </c>
      <c r="E63" s="792">
        <v>0.2545163786242219</v>
      </c>
      <c r="F63" s="792">
        <v>0.2874659709052919</v>
      </c>
      <c r="G63" s="793">
        <v>0.8308962073401722</v>
      </c>
      <c r="H63" s="793">
        <v>0.8365606512291942</v>
      </c>
      <c r="I63" s="792">
        <v>0.07681060504482207</v>
      </c>
      <c r="J63" s="792">
        <v>0.6994720354601837</v>
      </c>
      <c r="K63" s="792">
        <v>0.060195</v>
      </c>
      <c r="L63" s="792">
        <v>0.06786940112454905</v>
      </c>
      <c r="M63" s="792">
        <v>0.0746615642309349</v>
      </c>
      <c r="N63" s="793">
        <v>0.6777961663635823</v>
      </c>
      <c r="O63" s="793">
        <v>5.981737028870388</v>
      </c>
      <c r="P63" s="793">
        <v>10.67634114443133</v>
      </c>
      <c r="Q63" s="793">
        <v>14.28466837764744</v>
      </c>
      <c r="R63" s="793">
        <v>3.640098684621532</v>
      </c>
      <c r="S63" s="793">
        <v>26.79862442032861</v>
      </c>
      <c r="T63" s="792">
        <v>0.09099951355271327</v>
      </c>
      <c r="U63" s="792">
        <v>0.1818346291262826</v>
      </c>
      <c r="V63" s="792">
        <v>0.06119648959370419</v>
      </c>
      <c r="W63" s="792">
        <v>0.2945336815716106</v>
      </c>
      <c r="X63" s="792">
        <v>0.2352305688887669</v>
      </c>
      <c r="Y63" s="792">
        <v>0.2515095574154911</v>
      </c>
      <c r="Z63" s="792">
        <v>0.2515095574154911</v>
      </c>
      <c r="AA63" s="794">
        <v>0.4035016124436697</v>
      </c>
    </row>
    <row r="64" ht="12.75" customHeight="1">
      <c r="A64" s="791" t="s">
        <v>1454</v>
      </c>
      <c r="B64" s="581">
        <v>19.0</v>
      </c>
      <c r="C64" s="792">
        <v>3.991666666666645E-4</v>
      </c>
      <c r="D64" s="792">
        <v>0.09982688889791565</v>
      </c>
      <c r="E64" s="792">
        <v>0.1763277324445891</v>
      </c>
      <c r="F64" s="792">
        <v>0.2680075404995325</v>
      </c>
      <c r="G64" s="793">
        <v>0.511884073790114</v>
      </c>
      <c r="H64" s="793">
        <v>0.563007176601541</v>
      </c>
      <c r="I64" s="792">
        <v>0.06461012007642873</v>
      </c>
      <c r="J64" s="792">
        <v>0.3592530970001513</v>
      </c>
      <c r="K64" s="792">
        <v>0.050672</v>
      </c>
      <c r="L64" s="792">
        <v>0.1931571646372665</v>
      </c>
      <c r="M64" s="792">
        <v>0.05947095736046711</v>
      </c>
      <c r="N64" s="793">
        <v>2.164889673938959</v>
      </c>
      <c r="O64" s="793">
        <v>1.699407002413518</v>
      </c>
      <c r="P64" s="793">
        <v>11.2378175894095</v>
      </c>
      <c r="Q64" s="793">
        <v>17.16106357418429</v>
      </c>
      <c r="R64" s="793">
        <v>2.28394156252412</v>
      </c>
      <c r="S64" s="793">
        <v>15.18043676597106</v>
      </c>
      <c r="T64" s="792">
        <v>0.1289180360509259</v>
      </c>
      <c r="U64" s="792">
        <v>0.03261342577023911</v>
      </c>
      <c r="V64" s="792">
        <v>-0.005903931787050612</v>
      </c>
      <c r="W64" s="792">
        <v>0.02490284236328259</v>
      </c>
      <c r="X64" s="792">
        <v>0.1383473392034869</v>
      </c>
      <c r="Y64" s="792">
        <v>0.2308876732857225</v>
      </c>
      <c r="Z64" s="792">
        <v>0.2308876732857226</v>
      </c>
      <c r="AA64" s="794">
        <v>0.09923296854618283</v>
      </c>
    </row>
    <row r="65" ht="12.75" customHeight="1">
      <c r="A65" s="791" t="s">
        <v>1057</v>
      </c>
      <c r="B65" s="581">
        <v>190.0</v>
      </c>
      <c r="C65" s="792">
        <v>0.1259025625</v>
      </c>
      <c r="D65" s="792">
        <v>0.246434046710382</v>
      </c>
      <c r="E65" s="792">
        <v>0.03203080280639824</v>
      </c>
      <c r="F65" s="792">
        <v>0.03512976173437265</v>
      </c>
      <c r="G65" s="793">
        <v>0.4005418496731121</v>
      </c>
      <c r="H65" s="793">
        <v>0.6417984635762964</v>
      </c>
      <c r="I65" s="792">
        <v>0.06812421147550282</v>
      </c>
      <c r="J65" s="792">
        <v>0.2636928702689285</v>
      </c>
      <c r="K65" s="792">
        <v>0.047306</v>
      </c>
      <c r="L65" s="792">
        <v>0.4578858440045514</v>
      </c>
      <c r="M65" s="792">
        <v>0.05317666020925715</v>
      </c>
      <c r="N65" s="793">
        <v>0.1465432779057035</v>
      </c>
      <c r="O65" s="793">
        <v>10.65057083182297</v>
      </c>
      <c r="P65" s="793">
        <v>19.87117600341005</v>
      </c>
      <c r="Q65" s="793">
        <v>42.72529234608724</v>
      </c>
      <c r="R65" s="793">
        <v>1.991515224376197</v>
      </c>
      <c r="S65" s="793">
        <v>36.95445006717891</v>
      </c>
      <c r="T65" s="792">
        <v>1.39671699245857</v>
      </c>
      <c r="U65" s="792">
        <v>0.03602697995207422</v>
      </c>
      <c r="V65" s="792">
        <v>-0.1271118834844867</v>
      </c>
      <c r="W65" s="792">
        <v>-0.5756977397647453</v>
      </c>
      <c r="X65" s="792">
        <v>0.05037954337741777</v>
      </c>
      <c r="Y65" s="792">
        <v>1.948719550475664</v>
      </c>
      <c r="Z65" s="792">
        <v>1.948719550475664</v>
      </c>
      <c r="AA65" s="794">
        <v>0.2220977245502468</v>
      </c>
    </row>
    <row r="66" ht="12.75" customHeight="1">
      <c r="A66" s="791" t="s">
        <v>1455</v>
      </c>
      <c r="B66" s="581">
        <v>14.0</v>
      </c>
      <c r="C66" s="792">
        <v>0.2860833333333333</v>
      </c>
      <c r="D66" s="792">
        <v>0.2152656124970027</v>
      </c>
      <c r="E66" s="792">
        <v>0.07043355884782262</v>
      </c>
      <c r="F66" s="792">
        <v>0.2529066927210552</v>
      </c>
      <c r="G66" s="793">
        <v>0.564103618717777</v>
      </c>
      <c r="H66" s="793">
        <v>0.8435660615974878</v>
      </c>
      <c r="I66" s="792">
        <v>0.07712304634724795</v>
      </c>
      <c r="J66" s="792">
        <v>0.5210233738934074</v>
      </c>
      <c r="K66" s="792">
        <v>0.052913</v>
      </c>
      <c r="L66" s="792">
        <v>0.5045319836293547</v>
      </c>
      <c r="M66" s="792">
        <v>0.05823422842746732</v>
      </c>
      <c r="N66" s="793">
        <v>0.3495106734844037</v>
      </c>
      <c r="O66" s="793">
        <v>3.033511815931911</v>
      </c>
      <c r="P66" s="793">
        <v>10.23049851021993</v>
      </c>
      <c r="Q66" s="793">
        <v>13.49146090212142</v>
      </c>
      <c r="R66" s="793">
        <v>0.9934847852491724</v>
      </c>
      <c r="S66" s="793">
        <v>11.35316344990594</v>
      </c>
      <c r="T66" s="792">
        <v>0.01643868833201774</v>
      </c>
      <c r="U66" s="792">
        <v>0.01052346555807318</v>
      </c>
      <c r="V66" s="792">
        <v>-0.04270410953737058</v>
      </c>
      <c r="W66" s="792">
        <v>-0.4661687857371448</v>
      </c>
      <c r="X66" s="792">
        <v>0.05060545910919269</v>
      </c>
      <c r="Y66" s="792">
        <v>0.0</v>
      </c>
      <c r="Z66" s="792">
        <v>0.0</v>
      </c>
      <c r="AA66" s="794">
        <v>0.2119193670061758</v>
      </c>
    </row>
    <row r="67" ht="12.75" customHeight="1">
      <c r="A67" s="791" t="s">
        <v>1456</v>
      </c>
      <c r="B67" s="581">
        <v>12.0</v>
      </c>
      <c r="C67" s="792">
        <v>0.09596799999999998</v>
      </c>
      <c r="D67" s="792">
        <v>0.2145171149144254</v>
      </c>
      <c r="E67" s="792">
        <v>0.05194923071492735</v>
      </c>
      <c r="F67" s="792">
        <v>0.1703422523879273</v>
      </c>
      <c r="G67" s="793">
        <v>0.6269536358598106</v>
      </c>
      <c r="H67" s="793">
        <v>0.8099864769457396</v>
      </c>
      <c r="I67" s="792">
        <v>0.07562539687177999</v>
      </c>
      <c r="J67" s="792">
        <v>0.3120953532502339</v>
      </c>
      <c r="K67" s="792">
        <v>0.050672</v>
      </c>
      <c r="L67" s="792">
        <v>0.3487895535244244</v>
      </c>
      <c r="M67" s="792">
        <v>0.06250344665390668</v>
      </c>
      <c r="N67" s="793">
        <v>0.2466617017312334</v>
      </c>
      <c r="O67" s="793">
        <v>6.826157864808295</v>
      </c>
      <c r="P67" s="793">
        <v>17.28687007890765</v>
      </c>
      <c r="Q67" s="793">
        <v>26.87368409371554</v>
      </c>
      <c r="R67" s="793">
        <v>1.163963071324957</v>
      </c>
      <c r="S67" s="793">
        <v>40.24898788383488</v>
      </c>
      <c r="T67" s="792">
        <v>2.571677872860636</v>
      </c>
      <c r="U67" s="792">
        <v>0.02355541972290139</v>
      </c>
      <c r="V67" s="792">
        <v>0.004438671556642231</v>
      </c>
      <c r="W67" s="792">
        <v>0.9657439214915322</v>
      </c>
      <c r="X67" s="792">
        <v>0.1076759750750058</v>
      </c>
      <c r="Y67" s="792">
        <v>0.2696330589849109</v>
      </c>
      <c r="Z67" s="792">
        <v>0.2696330589849109</v>
      </c>
      <c r="AA67" s="794">
        <v>0.2208762102494246</v>
      </c>
    </row>
    <row r="68" ht="12.75" customHeight="1">
      <c r="A68" s="791" t="s">
        <v>1457</v>
      </c>
      <c r="B68" s="581">
        <v>54.0</v>
      </c>
      <c r="C68" s="792">
        <v>0.1262712121212121</v>
      </c>
      <c r="D68" s="792">
        <v>0.02850826824287702</v>
      </c>
      <c r="E68" s="792">
        <v>0.05942697407534873</v>
      </c>
      <c r="F68" s="792">
        <v>0.1958040125979997</v>
      </c>
      <c r="G68" s="793">
        <v>0.8575864326620388</v>
      </c>
      <c r="H68" s="793">
        <v>0.9654974066610451</v>
      </c>
      <c r="I68" s="792">
        <v>0.08256118433708262</v>
      </c>
      <c r="J68" s="792">
        <v>0.505596255690735</v>
      </c>
      <c r="K68" s="792">
        <v>0.052913</v>
      </c>
      <c r="L68" s="792">
        <v>0.1977040296597951</v>
      </c>
      <c r="M68" s="792">
        <v>0.07408434049119778</v>
      </c>
      <c r="N68" s="793">
        <v>2.516898805983872</v>
      </c>
      <c r="O68" s="793">
        <v>1.463930180972637</v>
      </c>
      <c r="P68" s="793">
        <v>21.95100173629954</v>
      </c>
      <c r="Q68" s="793">
        <v>49.59227496980819</v>
      </c>
      <c r="R68" s="793">
        <v>3.064134350613933</v>
      </c>
      <c r="S68" s="793">
        <v>107.335255977598</v>
      </c>
      <c r="T68" s="792">
        <v>0.09828580031656807</v>
      </c>
      <c r="U68" s="792">
        <v>0.01164914887880119</v>
      </c>
      <c r="V68" s="792">
        <v>0.02463935114828045</v>
      </c>
      <c r="W68" s="792">
        <v>0.9759756594486397</v>
      </c>
      <c r="X68" s="792">
        <v>0.03303284726431277</v>
      </c>
      <c r="Y68" s="792">
        <v>0.2705252680801516</v>
      </c>
      <c r="Z68" s="792">
        <v>0.2705252680801516</v>
      </c>
      <c r="AA68" s="794">
        <v>0.02848275629322381</v>
      </c>
    </row>
    <row r="69" ht="12.75" customHeight="1">
      <c r="A69" s="791" t="s">
        <v>1059</v>
      </c>
      <c r="B69" s="581">
        <v>49.0</v>
      </c>
      <c r="C69" s="792">
        <v>0.0914083333333333</v>
      </c>
      <c r="D69" s="792">
        <v>0.0969331006904999</v>
      </c>
      <c r="E69" s="792">
        <v>0.08024512691065157</v>
      </c>
      <c r="F69" s="792">
        <v>0.2598016946931607</v>
      </c>
      <c r="G69" s="793">
        <v>0.7364987182992697</v>
      </c>
      <c r="H69" s="793">
        <v>1.02347270022497</v>
      </c>
      <c r="I69" s="792">
        <v>0.08514688243003364</v>
      </c>
      <c r="J69" s="792">
        <v>0.4830813033858449</v>
      </c>
      <c r="K69" s="792">
        <v>0.052913</v>
      </c>
      <c r="L69" s="792">
        <v>0.3864674292017484</v>
      </c>
      <c r="M69" s="792">
        <v>0.0675772489837691</v>
      </c>
      <c r="N69" s="793">
        <v>1.2420065495162</v>
      </c>
      <c r="O69" s="793">
        <v>1.94042778252431</v>
      </c>
      <c r="P69" s="793">
        <v>10.39087231942838</v>
      </c>
      <c r="Q69" s="793">
        <v>23.95732461794663</v>
      </c>
      <c r="R69" s="793">
        <v>4.027683457299504</v>
      </c>
      <c r="S69" s="793">
        <v>119.0149869199765</v>
      </c>
      <c r="T69" s="792">
        <v>0.1501093095182446</v>
      </c>
      <c r="U69" s="792">
        <v>0.06687597274237704</v>
      </c>
      <c r="V69" s="792">
        <v>0.01335360442383761</v>
      </c>
      <c r="W69" s="792">
        <v>0.05662949029008234</v>
      </c>
      <c r="X69" s="792">
        <v>-0.1276115597172532</v>
      </c>
      <c r="Y69" s="792">
        <v>0.00562724438125783</v>
      </c>
      <c r="Z69" s="792">
        <v>0.005627244381257834</v>
      </c>
      <c r="AA69" s="794">
        <v>0.08062096745970526</v>
      </c>
    </row>
    <row r="70" ht="12.75" customHeight="1">
      <c r="A70" s="791" t="s">
        <v>1458</v>
      </c>
      <c r="B70" s="581">
        <v>1.0</v>
      </c>
      <c r="C70" s="792">
        <v>0.09390000000000001</v>
      </c>
      <c r="D70" s="792">
        <v>0.07213952654232425</v>
      </c>
      <c r="E70" s="792">
        <v>0.1014433811591443</v>
      </c>
      <c r="F70" s="792">
        <v>0.3035856573705179</v>
      </c>
      <c r="G70" s="793">
        <v>0.5777016987693434</v>
      </c>
      <c r="H70" s="793">
        <v>0.5813323223955235</v>
      </c>
      <c r="I70" s="792">
        <v>0.06542742157884035</v>
      </c>
      <c r="J70" s="792">
        <v>0.1921142517209114</v>
      </c>
      <c r="K70" s="792">
        <v>0.047306</v>
      </c>
      <c r="L70" s="792">
        <v>0.3029767056496862</v>
      </c>
      <c r="M70" s="792">
        <v>0.05635389895782815</v>
      </c>
      <c r="N70" s="793">
        <v>2.013612127842784</v>
      </c>
      <c r="O70" s="793">
        <v>0.6526502811858702</v>
      </c>
      <c r="P70" s="793">
        <v>8.670902949469651</v>
      </c>
      <c r="Q70" s="793">
        <v>9.021948392609385</v>
      </c>
      <c r="R70" s="793">
        <v>1.02311753902663</v>
      </c>
      <c r="S70" s="793">
        <v>15.42110726643599</v>
      </c>
      <c r="T70" s="792">
        <v>0.01425753228120516</v>
      </c>
      <c r="U70" s="792">
        <v>0.0</v>
      </c>
      <c r="V70" s="792">
        <v>-0.002232783357245335</v>
      </c>
      <c r="W70" s="792">
        <v>0.3089932998182829</v>
      </c>
      <c r="X70" s="792">
        <v>0.07791857643569695</v>
      </c>
      <c r="Y70" s="792">
        <v>0.2733564013840831</v>
      </c>
      <c r="Z70" s="792">
        <v>0.273356401384083</v>
      </c>
      <c r="AA70" s="794">
        <v>0.0723402809220799</v>
      </c>
    </row>
    <row r="71" ht="12.75" customHeight="1">
      <c r="A71" s="791" t="s">
        <v>1459</v>
      </c>
      <c r="B71" s="581">
        <v>64.0</v>
      </c>
      <c r="C71" s="792">
        <v>0.1393538461538462</v>
      </c>
      <c r="D71" s="792">
        <v>0.1578786273430299</v>
      </c>
      <c r="E71" s="792">
        <v>0.1836043629376828</v>
      </c>
      <c r="F71" s="792">
        <v>0.2130575881425497</v>
      </c>
      <c r="G71" s="793">
        <v>0.7830073823550779</v>
      </c>
      <c r="H71" s="793">
        <v>0.9240873147803257</v>
      </c>
      <c r="I71" s="792">
        <v>0.08071429423920252</v>
      </c>
      <c r="J71" s="792">
        <v>0.411494619604859</v>
      </c>
      <c r="K71" s="792">
        <v>0.050672</v>
      </c>
      <c r="L71" s="792">
        <v>0.2139589276364729</v>
      </c>
      <c r="M71" s="792">
        <v>0.07157604548474453</v>
      </c>
      <c r="N71" s="793">
        <v>1.51285654737222</v>
      </c>
      <c r="O71" s="793">
        <v>4.165514392232257</v>
      </c>
      <c r="P71" s="793">
        <v>17.49429605278215</v>
      </c>
      <c r="Q71" s="793">
        <v>30.15118970795467</v>
      </c>
      <c r="R71" s="793">
        <v>74.73531863615672</v>
      </c>
      <c r="S71" s="793">
        <v>48.32886275673705</v>
      </c>
      <c r="T71" s="792">
        <v>0.0279065138233857</v>
      </c>
      <c r="U71" s="792">
        <v>0.05983156009616705</v>
      </c>
      <c r="V71" s="792">
        <v>0.03691620357476982</v>
      </c>
      <c r="W71" s="792">
        <v>0.3761320264700579</v>
      </c>
      <c r="X71" s="792">
        <v>0.001027511830047461</v>
      </c>
      <c r="Y71" s="792">
        <v>0.6454113964275203</v>
      </c>
      <c r="Z71" s="792">
        <v>0.6454113964275203</v>
      </c>
      <c r="AA71" s="794">
        <v>0.1388383491138674</v>
      </c>
    </row>
    <row r="72" ht="12.75" customHeight="1">
      <c r="A72" s="791" t="s">
        <v>1460</v>
      </c>
      <c r="B72" s="581">
        <v>34.0</v>
      </c>
      <c r="C72" s="792">
        <v>0.1542195238095238</v>
      </c>
      <c r="D72" s="792">
        <v>0.06243926058642881</v>
      </c>
      <c r="E72" s="792">
        <v>0.1219047629361606</v>
      </c>
      <c r="F72" s="792">
        <v>0.2252251277604007</v>
      </c>
      <c r="G72" s="793">
        <v>0.713248607812822</v>
      </c>
      <c r="H72" s="793">
        <v>0.9360151956832995</v>
      </c>
      <c r="I72" s="792">
        <v>0.08124627772747516</v>
      </c>
      <c r="J72" s="792">
        <v>0.4458209569703029</v>
      </c>
      <c r="K72" s="792">
        <v>0.050672</v>
      </c>
      <c r="L72" s="792">
        <v>0.312031037234781</v>
      </c>
      <c r="M72" s="792">
        <v>0.06775334495577662</v>
      </c>
      <c r="N72" s="793">
        <v>2.341077286457314</v>
      </c>
      <c r="O72" s="793">
        <v>1.270567409688029</v>
      </c>
      <c r="P72" s="793">
        <v>14.78728985763829</v>
      </c>
      <c r="Q72" s="793">
        <v>21.72632852434372</v>
      </c>
      <c r="R72" s="793">
        <v>7.478670033250118</v>
      </c>
      <c r="S72" s="793">
        <v>54.82641508404895</v>
      </c>
      <c r="T72" s="792">
        <v>0.1103301727419738</v>
      </c>
      <c r="U72" s="792">
        <v>0.02123403702293873</v>
      </c>
      <c r="V72" s="792">
        <v>0.02250584245230053</v>
      </c>
      <c r="W72" s="792">
        <v>0.461778096222205</v>
      </c>
      <c r="X72" s="792">
        <v>0.3438406473025444</v>
      </c>
      <c r="Y72" s="792">
        <v>0.06778339897708052</v>
      </c>
      <c r="Z72" s="792">
        <v>0.06778339897708052</v>
      </c>
      <c r="AA72" s="794">
        <v>0.0583825886047186</v>
      </c>
    </row>
    <row r="73" ht="12.75" customHeight="1">
      <c r="A73" s="791" t="s">
        <v>1461</v>
      </c>
      <c r="B73" s="581">
        <v>14.0</v>
      </c>
      <c r="C73" s="792">
        <v>0.007334166666666662</v>
      </c>
      <c r="D73" s="792">
        <v>0.1193852970381687</v>
      </c>
      <c r="E73" s="792">
        <v>0.3494656524485739</v>
      </c>
      <c r="F73" s="792">
        <v>0.2409399330749097</v>
      </c>
      <c r="G73" s="793">
        <v>1.317657066097484</v>
      </c>
      <c r="H73" s="793">
        <v>1.535309434029173</v>
      </c>
      <c r="I73" s="792">
        <v>0.1079748007577011</v>
      </c>
      <c r="J73" s="792">
        <v>0.4588350569025514</v>
      </c>
      <c r="K73" s="792">
        <v>0.052913</v>
      </c>
      <c r="L73" s="792">
        <v>0.1888990658131124</v>
      </c>
      <c r="M73" s="792">
        <v>0.09507487396524136</v>
      </c>
      <c r="N73" s="793">
        <v>3.407057313355093</v>
      </c>
      <c r="O73" s="793">
        <v>2.258992676124385</v>
      </c>
      <c r="P73" s="793">
        <v>14.42218164525563</v>
      </c>
      <c r="Q73" s="793">
        <v>19.10277195313944</v>
      </c>
      <c r="R73" s="793">
        <v>132.2044071168642</v>
      </c>
      <c r="S73" s="793">
        <v>23.4652767182357</v>
      </c>
      <c r="T73" s="792">
        <v>0.09607380193514467</v>
      </c>
      <c r="U73" s="792">
        <v>0.02420208532286543</v>
      </c>
      <c r="V73" s="792">
        <v>0.05754849649431835</v>
      </c>
      <c r="W73" s="792">
        <v>0.7351554799221606</v>
      </c>
      <c r="X73" s="792" t="s">
        <v>1385</v>
      </c>
      <c r="Y73" s="792">
        <v>0.5400747405477563</v>
      </c>
      <c r="Z73" s="792">
        <v>0.5400747405477563</v>
      </c>
      <c r="AA73" s="794">
        <v>0.1180903934644281</v>
      </c>
    </row>
    <row r="74" ht="12.75" customHeight="1">
      <c r="A74" s="791" t="s">
        <v>1462</v>
      </c>
      <c r="B74" s="581">
        <v>62.0</v>
      </c>
      <c r="C74" s="792">
        <v>0.1011516666666666</v>
      </c>
      <c r="D74" s="792">
        <v>0.1009716294559733</v>
      </c>
      <c r="E74" s="792">
        <v>0.1611399066695283</v>
      </c>
      <c r="F74" s="792">
        <v>0.2340424392522792</v>
      </c>
      <c r="G74" s="793">
        <v>0.8016320288830955</v>
      </c>
      <c r="H74" s="793">
        <v>0.9484338145727029</v>
      </c>
      <c r="I74" s="792">
        <v>0.08180014812994255</v>
      </c>
      <c r="J74" s="792">
        <v>0.3929235163979659</v>
      </c>
      <c r="K74" s="792">
        <v>0.050672</v>
      </c>
      <c r="L74" s="792">
        <v>0.2201900080484169</v>
      </c>
      <c r="M74" s="792">
        <v>0.07215667392072084</v>
      </c>
      <c r="N74" s="793">
        <v>1.830130602427373</v>
      </c>
      <c r="O74" s="793">
        <v>1.894802191775475</v>
      </c>
      <c r="P74" s="793">
        <v>13.70830732799682</v>
      </c>
      <c r="Q74" s="793">
        <v>17.10908961822408</v>
      </c>
      <c r="R74" s="793">
        <v>4.041707359923413</v>
      </c>
      <c r="S74" s="793">
        <v>28.79659905671755</v>
      </c>
      <c r="T74" s="792">
        <v>0.1742816366618782</v>
      </c>
      <c r="U74" s="792">
        <v>0.05615461995326568</v>
      </c>
      <c r="V74" s="792">
        <v>0.115792693288742</v>
      </c>
      <c r="W74" s="792">
        <v>1.522067587834988</v>
      </c>
      <c r="X74" s="792">
        <v>0.1833373242733274</v>
      </c>
      <c r="Y74" s="792">
        <v>0.3515139872979697</v>
      </c>
      <c r="Z74" s="792">
        <v>0.3515139872979698</v>
      </c>
      <c r="AA74" s="794">
        <v>0.1032102061381627</v>
      </c>
    </row>
    <row r="75" ht="12.75" customHeight="1">
      <c r="A75" s="791" t="s">
        <v>1463</v>
      </c>
      <c r="B75" s="581">
        <v>23.0</v>
      </c>
      <c r="C75" s="792">
        <v>0.09921764705882354</v>
      </c>
      <c r="D75" s="792">
        <v>0.06802333445025074</v>
      </c>
      <c r="E75" s="792">
        <v>0.1359082538480758</v>
      </c>
      <c r="F75" s="792">
        <v>0.1993283547887691</v>
      </c>
      <c r="G75" s="793">
        <v>0.7809280399984467</v>
      </c>
      <c r="H75" s="793">
        <v>0.8052405395912856</v>
      </c>
      <c r="I75" s="792">
        <v>0.07541372806577135</v>
      </c>
      <c r="J75" s="792">
        <v>0.433427459331772</v>
      </c>
      <c r="K75" s="792">
        <v>0.050672</v>
      </c>
      <c r="L75" s="792">
        <v>0.0735910047808918</v>
      </c>
      <c r="M75" s="792">
        <v>0.0726607085888313</v>
      </c>
      <c r="N75" s="793">
        <v>3.50631839900709</v>
      </c>
      <c r="O75" s="793">
        <v>2.109214581658399</v>
      </c>
      <c r="P75" s="793">
        <v>17.37850333571857</v>
      </c>
      <c r="Q75" s="793">
        <v>32.4376517932853</v>
      </c>
      <c r="R75" s="793">
        <v>7.192707124449913</v>
      </c>
      <c r="S75" s="793">
        <v>51.00402110176589</v>
      </c>
      <c r="T75" s="792">
        <v>-0.001092869869442083</v>
      </c>
      <c r="U75" s="792">
        <v>0.08175121451487377</v>
      </c>
      <c r="V75" s="792">
        <v>0.04866167273213698</v>
      </c>
      <c r="W75" s="792">
        <v>0.9396593445508252</v>
      </c>
      <c r="X75" s="792">
        <v>0.2605230828835304</v>
      </c>
      <c r="Y75" s="792">
        <v>0.1172686012019141</v>
      </c>
      <c r="Z75" s="792">
        <v>0.1172686012019141</v>
      </c>
      <c r="AA75" s="794">
        <v>0.0711643313205802</v>
      </c>
    </row>
    <row r="76" ht="12.75" customHeight="1">
      <c r="A76" s="791" t="s">
        <v>1465</v>
      </c>
      <c r="B76" s="581">
        <v>15.0</v>
      </c>
      <c r="C76" s="792">
        <v>-0.02634000000000001</v>
      </c>
      <c r="D76" s="792">
        <v>0.02291904284365564</v>
      </c>
      <c r="E76" s="792">
        <v>0.06763219560214334</v>
      </c>
      <c r="F76" s="792">
        <v>0.1683250787933364</v>
      </c>
      <c r="G76" s="793">
        <v>0.8483611176919518</v>
      </c>
      <c r="H76" s="793">
        <v>1.118303794493113</v>
      </c>
      <c r="I76" s="792">
        <v>0.08937634923439286</v>
      </c>
      <c r="J76" s="792">
        <v>0.4942294835852475</v>
      </c>
      <c r="K76" s="792">
        <v>0.052913</v>
      </c>
      <c r="L76" s="792">
        <v>0.341889525326874</v>
      </c>
      <c r="M76" s="792">
        <v>0.07238731195941303</v>
      </c>
      <c r="N76" s="793">
        <v>4.647896587530888</v>
      </c>
      <c r="O76" s="793">
        <v>0.4900949912566914</v>
      </c>
      <c r="P76" s="793">
        <v>8.941596612794147</v>
      </c>
      <c r="Q76" s="793">
        <v>26.53328940759531</v>
      </c>
      <c r="R76" s="793">
        <v>3.934869386323708</v>
      </c>
      <c r="S76" s="793">
        <v>20.54145124502642</v>
      </c>
      <c r="T76" s="792">
        <v>6.101959405518128E-4</v>
      </c>
      <c r="U76" s="792">
        <v>-0.001286278476755283</v>
      </c>
      <c r="V76" s="792">
        <v>-0.01902096474950331</v>
      </c>
      <c r="W76" s="792">
        <v>-0.986095767319352</v>
      </c>
      <c r="X76" s="792">
        <v>0.1289757404783532</v>
      </c>
      <c r="Y76" s="792">
        <v>0.374369182997856</v>
      </c>
      <c r="Z76" s="792">
        <v>0.3743691829978559</v>
      </c>
      <c r="AA76" s="794">
        <v>0.01727112934058555</v>
      </c>
    </row>
    <row r="77" ht="12.75" customHeight="1">
      <c r="A77" s="791" t="s">
        <v>1466</v>
      </c>
      <c r="B77" s="581">
        <v>26.0</v>
      </c>
      <c r="C77" s="792">
        <v>0.131436</v>
      </c>
      <c r="D77" s="792">
        <v>0.4024828941128652</v>
      </c>
      <c r="E77" s="792">
        <v>0.05163953108307977</v>
      </c>
      <c r="F77" s="792">
        <v>0.01530741623454399</v>
      </c>
      <c r="G77" s="793">
        <v>0.442715972660596</v>
      </c>
      <c r="H77" s="793">
        <v>0.620739021744814</v>
      </c>
      <c r="I77" s="792">
        <v>0.0671849603698187</v>
      </c>
      <c r="J77" s="792">
        <v>0.18768911101931</v>
      </c>
      <c r="K77" s="792">
        <v>0.047306</v>
      </c>
      <c r="L77" s="792">
        <v>0.3606948068513497</v>
      </c>
      <c r="M77" s="792">
        <v>0.05574896546559382</v>
      </c>
      <c r="N77" s="793">
        <v>0.1358141102577872</v>
      </c>
      <c r="O77" s="793">
        <v>12.04363486179559</v>
      </c>
      <c r="P77" s="793">
        <v>16.72686143770284</v>
      </c>
      <c r="Q77" s="793">
        <v>31.16527146395935</v>
      </c>
      <c r="R77" s="793">
        <v>2.07565447564478</v>
      </c>
      <c r="S77" s="793">
        <v>368.6869306176905</v>
      </c>
      <c r="T77" s="792">
        <v>0.01244439175304288</v>
      </c>
      <c r="U77" s="792">
        <v>0.05037309275944871</v>
      </c>
      <c r="V77" s="792">
        <v>-0.2285465829626117</v>
      </c>
      <c r="W77" s="792">
        <v>-0.6131931990634106</v>
      </c>
      <c r="X77" s="792">
        <v>0.06364375400351006</v>
      </c>
      <c r="Y77" s="792">
        <v>1.614333910763689</v>
      </c>
      <c r="Z77" s="792">
        <v>1.614333910763689</v>
      </c>
      <c r="AA77" s="794">
        <v>0.3864440865122347</v>
      </c>
    </row>
    <row r="78" ht="12.75" customHeight="1">
      <c r="A78" s="791" t="s">
        <v>1061</v>
      </c>
      <c r="B78" s="581">
        <v>94.0</v>
      </c>
      <c r="C78" s="792">
        <v>0.06960433333333332</v>
      </c>
      <c r="D78" s="792">
        <v>0.07727354450343683</v>
      </c>
      <c r="E78" s="792">
        <v>0.215390934656582</v>
      </c>
      <c r="F78" s="792">
        <v>0.244149524999507</v>
      </c>
      <c r="G78" s="793">
        <v>1.001877579031808</v>
      </c>
      <c r="H78" s="793">
        <v>1.089399680292466</v>
      </c>
      <c r="I78" s="792">
        <v>0.088087225741044</v>
      </c>
      <c r="J78" s="792">
        <v>0.5324516747558207</v>
      </c>
      <c r="K78" s="792">
        <v>0.052913</v>
      </c>
      <c r="L78" s="792">
        <v>0.165003484848689</v>
      </c>
      <c r="M78" s="792">
        <v>0.0801006485684676</v>
      </c>
      <c r="N78" s="793">
        <v>2.98844717708956</v>
      </c>
      <c r="O78" s="793">
        <v>1.626083870573573</v>
      </c>
      <c r="P78" s="793">
        <v>11.46754934307429</v>
      </c>
      <c r="Q78" s="793">
        <v>20.01779594667462</v>
      </c>
      <c r="R78" s="793">
        <v>7.254263339516967</v>
      </c>
      <c r="S78" s="793">
        <v>314.0097616349124</v>
      </c>
      <c r="T78" s="792">
        <v>0.09802879692480027</v>
      </c>
      <c r="U78" s="792">
        <v>0.03467393814079728</v>
      </c>
      <c r="V78" s="792">
        <v>0.01590317882534068</v>
      </c>
      <c r="W78" s="792">
        <v>0.3836540602643476</v>
      </c>
      <c r="X78" s="792">
        <v>0.301150755894425</v>
      </c>
      <c r="Y78" s="792">
        <v>0.2993316850254261</v>
      </c>
      <c r="Z78" s="792">
        <v>0.2993316850254261</v>
      </c>
      <c r="AA78" s="794">
        <v>0.08075162903461014</v>
      </c>
    </row>
    <row r="79" ht="12.75" customHeight="1">
      <c r="A79" s="791" t="s">
        <v>1471</v>
      </c>
      <c r="B79" s="581">
        <v>3.0</v>
      </c>
      <c r="C79" s="792">
        <v>-0.13225</v>
      </c>
      <c r="D79" s="792">
        <v>0.02242369876648091</v>
      </c>
      <c r="E79" s="792">
        <v>0.03168147259457092</v>
      </c>
      <c r="F79" s="792" t="s">
        <v>1407</v>
      </c>
      <c r="G79" s="793">
        <v>0.1543579081482881</v>
      </c>
      <c r="H79" s="793">
        <v>0.5294301574135339</v>
      </c>
      <c r="I79" s="792">
        <v>0.06311258502064361</v>
      </c>
      <c r="J79" s="792">
        <v>0.5076716036736197</v>
      </c>
      <c r="K79" s="792">
        <v>0.052913</v>
      </c>
      <c r="L79" s="792">
        <v>0.7818843429629488</v>
      </c>
      <c r="M79" s="792">
        <v>0.04479472762848332</v>
      </c>
      <c r="N79" s="793">
        <v>1.3941683441358</v>
      </c>
      <c r="O79" s="793">
        <v>0.5884475951540894</v>
      </c>
      <c r="P79" s="793">
        <v>6.744024716994881</v>
      </c>
      <c r="Q79" s="793">
        <v>22.84162860078892</v>
      </c>
      <c r="R79" s="793">
        <v>0.7891497065800975</v>
      </c>
      <c r="S79" s="793" t="s">
        <v>1407</v>
      </c>
      <c r="T79" s="792">
        <v>0.1292814599781938</v>
      </c>
      <c r="U79" s="792">
        <v>0.05050259637942792</v>
      </c>
      <c r="V79" s="792">
        <v>-3.263286687133399E-4</v>
      </c>
      <c r="W79" s="792">
        <v>0.3864725146795398</v>
      </c>
      <c r="X79" s="792">
        <v>-0.3640800083778406</v>
      </c>
      <c r="Y79" s="792" t="s">
        <v>1407</v>
      </c>
      <c r="Z79" s="792" t="s">
        <v>1407</v>
      </c>
      <c r="AA79" s="794">
        <v>0.0249469785677154</v>
      </c>
    </row>
    <row r="80" ht="12.75" customHeight="1">
      <c r="A80" s="791" t="s">
        <v>1066</v>
      </c>
      <c r="B80" s="581">
        <v>66.0</v>
      </c>
      <c r="C80" s="792">
        <v>0.1117713043478261</v>
      </c>
      <c r="D80" s="792">
        <v>0.3532779191425264</v>
      </c>
      <c r="E80" s="792">
        <v>0.2722696683513359</v>
      </c>
      <c r="F80" s="792">
        <v>0.1579041821254234</v>
      </c>
      <c r="G80" s="793">
        <v>1.504649275474425</v>
      </c>
      <c r="H80" s="793">
        <v>1.518199402905489</v>
      </c>
      <c r="I80" s="792">
        <v>0.1072116933695848</v>
      </c>
      <c r="J80" s="792">
        <v>0.5582720818010325</v>
      </c>
      <c r="K80" s="792">
        <v>0.052913</v>
      </c>
      <c r="L80" s="792">
        <v>0.02525662180453639</v>
      </c>
      <c r="M80" s="792">
        <v>0.1055061908992829</v>
      </c>
      <c r="N80" s="793">
        <v>1.206668138058751</v>
      </c>
      <c r="O80" s="793">
        <v>15.70064938278062</v>
      </c>
      <c r="P80" s="793">
        <v>34.75309880575283</v>
      </c>
      <c r="Q80" s="793">
        <v>44.2986309983463</v>
      </c>
      <c r="R80" s="793">
        <v>13.31217620946142</v>
      </c>
      <c r="S80" s="793">
        <v>100.1844033428251</v>
      </c>
      <c r="T80" s="792">
        <v>0.2261798105356759</v>
      </c>
      <c r="U80" s="792">
        <v>0.1054897123198143</v>
      </c>
      <c r="V80" s="792">
        <v>0.04411912078641628</v>
      </c>
      <c r="W80" s="792">
        <v>0.3528579818500374</v>
      </c>
      <c r="X80" s="792">
        <v>0.313647157765139</v>
      </c>
      <c r="Y80" s="792">
        <v>0.163921671873215</v>
      </c>
      <c r="Z80" s="792">
        <v>0.163921671873215</v>
      </c>
      <c r="AA80" s="794">
        <v>0.3646671843853678</v>
      </c>
    </row>
    <row r="81" ht="12.75" customHeight="1">
      <c r="A81" s="791" t="s">
        <v>1472</v>
      </c>
      <c r="B81" s="581">
        <v>31.0</v>
      </c>
      <c r="C81" s="792">
        <v>0.0937880769230769</v>
      </c>
      <c r="D81" s="792">
        <v>0.2617117457785153</v>
      </c>
      <c r="E81" s="792">
        <v>0.2840446306841209</v>
      </c>
      <c r="F81" s="792">
        <v>0.1706597834515437</v>
      </c>
      <c r="G81" s="793">
        <v>1.391691156337394</v>
      </c>
      <c r="H81" s="793">
        <v>1.397223424739433</v>
      </c>
      <c r="I81" s="792">
        <v>0.1018161647433787</v>
      </c>
      <c r="J81" s="792">
        <v>0.5007740861926404</v>
      </c>
      <c r="K81" s="792">
        <v>0.052913</v>
      </c>
      <c r="L81" s="792">
        <v>0.04635901910017966</v>
      </c>
      <c r="M81" s="792">
        <v>0.09893581330056925</v>
      </c>
      <c r="N81" s="793">
        <v>1.85110867228321</v>
      </c>
      <c r="O81" s="793">
        <v>7.607009043397782</v>
      </c>
      <c r="P81" s="793">
        <v>24.7432463754865</v>
      </c>
      <c r="Q81" s="793">
        <v>28.81067195233642</v>
      </c>
      <c r="R81" s="793">
        <v>9.702593586231997</v>
      </c>
      <c r="S81" s="793">
        <v>46.82523406292883</v>
      </c>
      <c r="T81" s="792">
        <v>0.2949356653926138</v>
      </c>
      <c r="U81" s="792">
        <v>0.06315919037709451</v>
      </c>
      <c r="V81" s="792">
        <v>0.04136868442374109</v>
      </c>
      <c r="W81" s="792">
        <v>0.2745310217095421</v>
      </c>
      <c r="X81" s="792">
        <v>0.3577797316274757</v>
      </c>
      <c r="Y81" s="792">
        <v>0.1935644354407952</v>
      </c>
      <c r="Z81" s="792">
        <v>0.1935644354407953</v>
      </c>
      <c r="AA81" s="794">
        <v>0.268634995359437</v>
      </c>
    </row>
    <row r="82" ht="12.75" customHeight="1">
      <c r="A82" s="791" t="s">
        <v>1474</v>
      </c>
      <c r="B82" s="581">
        <v>8.0</v>
      </c>
      <c r="C82" s="792">
        <v>-0.00118</v>
      </c>
      <c r="D82" s="792">
        <v>0.1260212388380478</v>
      </c>
      <c r="E82" s="792">
        <v>0.1199233294383786</v>
      </c>
      <c r="F82" s="792">
        <v>0.2057799810146609</v>
      </c>
      <c r="G82" s="793">
        <v>0.6607667999490512</v>
      </c>
      <c r="H82" s="793">
        <v>0.7529325380371511</v>
      </c>
      <c r="I82" s="792">
        <v>0.07308079119645694</v>
      </c>
      <c r="J82" s="792">
        <v>0.500867632683849</v>
      </c>
      <c r="K82" s="792">
        <v>0.052913</v>
      </c>
      <c r="L82" s="792">
        <v>0.1840078373164547</v>
      </c>
      <c r="M82" s="792">
        <v>0.06693565788096567</v>
      </c>
      <c r="N82" s="793">
        <v>0.936400727916788</v>
      </c>
      <c r="O82" s="793">
        <v>1.736253761657674</v>
      </c>
      <c r="P82" s="793">
        <v>7.953007498779779</v>
      </c>
      <c r="Q82" s="793">
        <v>12.81228537554587</v>
      </c>
      <c r="R82" s="793">
        <v>1.499212209670936</v>
      </c>
      <c r="S82" s="793">
        <v>18.87317661275351</v>
      </c>
      <c r="T82" s="792">
        <v>0.09627700371036162</v>
      </c>
      <c r="U82" s="792">
        <v>0.1167342173606417</v>
      </c>
      <c r="V82" s="792">
        <v>0.04891888371061272</v>
      </c>
      <c r="W82" s="792">
        <v>0.36708062720816</v>
      </c>
      <c r="X82" s="792">
        <v>0.1015362461355712</v>
      </c>
      <c r="Y82" s="792">
        <v>0.1466510312478444</v>
      </c>
      <c r="Z82" s="792">
        <v>0.1466510312478444</v>
      </c>
      <c r="AA82" s="794">
        <v>0.1351732930298853</v>
      </c>
    </row>
    <row r="83" ht="12.75" customHeight="1">
      <c r="A83" s="791" t="s">
        <v>1068</v>
      </c>
      <c r="B83" s="581">
        <v>11.0</v>
      </c>
      <c r="C83" s="792">
        <v>0.1242728571428571</v>
      </c>
      <c r="D83" s="792">
        <v>0.09034931883156833</v>
      </c>
      <c r="E83" s="792">
        <v>0.2092969665965342</v>
      </c>
      <c r="F83" s="792">
        <v>0.189530678311892</v>
      </c>
      <c r="G83" s="793">
        <v>1.000186823524826</v>
      </c>
      <c r="H83" s="793">
        <v>1.017318327861263</v>
      </c>
      <c r="I83" s="792">
        <v>0.08487239742261231</v>
      </c>
      <c r="J83" s="792">
        <v>0.500827620601969</v>
      </c>
      <c r="K83" s="792">
        <v>0.052913</v>
      </c>
      <c r="L83" s="792">
        <v>0.1067020183928412</v>
      </c>
      <c r="M83" s="792">
        <v>0.0800507842361955</v>
      </c>
      <c r="N83" s="793">
        <v>2.622100111204864</v>
      </c>
      <c r="O83" s="793">
        <v>2.040976521871971</v>
      </c>
      <c r="P83" s="793">
        <v>16.86473952387312</v>
      </c>
      <c r="Q83" s="793">
        <v>22.31882168500499</v>
      </c>
      <c r="R83" s="793">
        <v>6.060299460491326</v>
      </c>
      <c r="S83" s="793">
        <v>24.47482766284358</v>
      </c>
      <c r="T83" s="792">
        <v>0.1655533897217753</v>
      </c>
      <c r="U83" s="792">
        <v>0.01326049552083642</v>
      </c>
      <c r="V83" s="792">
        <v>0.003992591203534647</v>
      </c>
      <c r="W83" s="792">
        <v>0.1910578706044996</v>
      </c>
      <c r="X83" s="792">
        <v>0.1948971193415638</v>
      </c>
      <c r="Y83" s="792">
        <v>0.6493070127580998</v>
      </c>
      <c r="Z83" s="792">
        <v>0.6493070127580998</v>
      </c>
      <c r="AA83" s="794">
        <v>0.09149196348386501</v>
      </c>
    </row>
    <row r="84" ht="12.75" customHeight="1">
      <c r="A84" s="791" t="s">
        <v>1476</v>
      </c>
      <c r="B84" s="581">
        <v>77.0</v>
      </c>
      <c r="C84" s="792">
        <v>0.1671506451612904</v>
      </c>
      <c r="D84" s="792">
        <v>0.3384971230031091</v>
      </c>
      <c r="E84" s="792">
        <v>0.2701916640773067</v>
      </c>
      <c r="F84" s="792">
        <v>0.2249556616684641</v>
      </c>
      <c r="G84" s="793">
        <v>1.020691742721276</v>
      </c>
      <c r="H84" s="793">
        <v>1.028311248084757</v>
      </c>
      <c r="I84" s="792">
        <v>0.08536268166458016</v>
      </c>
      <c r="J84" s="792">
        <v>0.5706184370658361</v>
      </c>
      <c r="K84" s="792">
        <v>0.052913</v>
      </c>
      <c r="L84" s="792">
        <v>0.02003643127727034</v>
      </c>
      <c r="M84" s="792">
        <v>0.08444745892589496</v>
      </c>
      <c r="N84" s="793">
        <v>1.344742246409012</v>
      </c>
      <c r="O84" s="793">
        <v>9.12764468187753</v>
      </c>
      <c r="P84" s="793">
        <v>22.01423459051252</v>
      </c>
      <c r="Q84" s="793">
        <v>26.97606060908115</v>
      </c>
      <c r="R84" s="793">
        <v>9.098095158592308</v>
      </c>
      <c r="S84" s="793">
        <v>39.34028773134155</v>
      </c>
      <c r="T84" s="792">
        <v>0.07247951798907225</v>
      </c>
      <c r="U84" s="792">
        <v>0.2294239058700271</v>
      </c>
      <c r="V84" s="792">
        <v>0.1952111132285167</v>
      </c>
      <c r="W84" s="792">
        <v>0.8236394230364615</v>
      </c>
      <c r="X84" s="792">
        <v>0.3650885060505082</v>
      </c>
      <c r="Y84" s="792">
        <v>0.08336933665167408</v>
      </c>
      <c r="Z84" s="792">
        <v>0.08336933665167412</v>
      </c>
      <c r="AA84" s="794">
        <v>0.3600053019156746</v>
      </c>
    </row>
    <row r="85" ht="12.75" customHeight="1">
      <c r="A85" s="791" t="s">
        <v>1477</v>
      </c>
      <c r="B85" s="581">
        <v>29.0</v>
      </c>
      <c r="C85" s="792">
        <v>0.291795</v>
      </c>
      <c r="D85" s="792">
        <v>0.03686141997593261</v>
      </c>
      <c r="E85" s="792">
        <v>0.03434780196741558</v>
      </c>
      <c r="F85" s="792">
        <v>0.1714671615369269</v>
      </c>
      <c r="G85" s="793">
        <v>1.590525087708313</v>
      </c>
      <c r="H85" s="793">
        <v>1.68867611616606</v>
      </c>
      <c r="I85" s="792">
        <v>0.1148149547810063</v>
      </c>
      <c r="J85" s="792">
        <v>0.526123151821511</v>
      </c>
      <c r="K85" s="792">
        <v>0.052913</v>
      </c>
      <c r="L85" s="792">
        <v>0.1095194173837779</v>
      </c>
      <c r="M85" s="792">
        <v>0.1065867385254665</v>
      </c>
      <c r="N85" s="793">
        <v>1.350096770203276</v>
      </c>
      <c r="O85" s="793">
        <v>9.561036618683037</v>
      </c>
      <c r="P85" s="793">
        <v>30.26060384626827</v>
      </c>
      <c r="Q85" s="793">
        <v>172.9895420599664</v>
      </c>
      <c r="R85" s="793">
        <v>10.85573713554495</v>
      </c>
      <c r="S85" s="793">
        <v>67.21143650446582</v>
      </c>
      <c r="T85" s="792">
        <v>0.1479788206979543</v>
      </c>
      <c r="U85" s="792">
        <v>0.3366827711878975</v>
      </c>
      <c r="V85" s="792">
        <v>0.2601112711019424</v>
      </c>
      <c r="W85" s="792">
        <v>14.14213936786985</v>
      </c>
      <c r="X85" s="792">
        <v>-0.01469962217495586</v>
      </c>
      <c r="Y85" s="792">
        <v>2.200339087546239E-4</v>
      </c>
      <c r="Z85" s="792">
        <v>2.2003390875458E-4</v>
      </c>
      <c r="AA85" s="794">
        <v>0.04704900770571774</v>
      </c>
    </row>
    <row r="86" ht="12.75" customHeight="1">
      <c r="A86" s="791" t="s">
        <v>1055</v>
      </c>
      <c r="B86" s="581">
        <v>309.0</v>
      </c>
      <c r="C86" s="792">
        <v>0.1956449999999999</v>
      </c>
      <c r="D86" s="792">
        <v>0.3298251373604765</v>
      </c>
      <c r="E86" s="792">
        <v>0.2931842949283384</v>
      </c>
      <c r="F86" s="792">
        <v>0.1801118280986946</v>
      </c>
      <c r="G86" s="793">
        <v>1.248199417466542</v>
      </c>
      <c r="H86" s="793">
        <v>1.276648178078175</v>
      </c>
      <c r="I86" s="792">
        <v>0.09643850874228661</v>
      </c>
      <c r="J86" s="792">
        <v>0.5678932632947824</v>
      </c>
      <c r="K86" s="792">
        <v>0.052913</v>
      </c>
      <c r="L86" s="792">
        <v>0.05282518875796975</v>
      </c>
      <c r="M86" s="792">
        <v>0.09344048072400105</v>
      </c>
      <c r="N86" s="793">
        <v>1.538171580168537</v>
      </c>
      <c r="O86" s="793">
        <v>11.40876367309658</v>
      </c>
      <c r="P86" s="793">
        <v>24.48353576982544</v>
      </c>
      <c r="Q86" s="793">
        <v>32.41233949136116</v>
      </c>
      <c r="R86" s="793">
        <v>9.137089676994028</v>
      </c>
      <c r="S86" s="793">
        <v>79.1742086869903</v>
      </c>
      <c r="T86" s="792">
        <v>0.1004621606690162</v>
      </c>
      <c r="U86" s="792">
        <v>0.1778828534720713</v>
      </c>
      <c r="V86" s="792">
        <v>0.1782069104792839</v>
      </c>
      <c r="W86" s="792">
        <v>0.7377874473291637</v>
      </c>
      <c r="X86" s="792">
        <v>0.2962489469128928</v>
      </c>
      <c r="Y86" s="792">
        <v>0.2098427241306356</v>
      </c>
      <c r="Z86" s="792">
        <v>0.2098427241306356</v>
      </c>
      <c r="AA86" s="794">
        <v>0.3444930578460967</v>
      </c>
    </row>
    <row r="87" ht="12.75" customHeight="1">
      <c r="A87" s="791" t="s">
        <v>1480</v>
      </c>
      <c r="B87" s="581">
        <v>19.0</v>
      </c>
      <c r="C87" s="792">
        <v>0.113735294117647</v>
      </c>
      <c r="D87" s="792">
        <v>0.04095917963841709</v>
      </c>
      <c r="E87" s="792">
        <v>0.06720259161412713</v>
      </c>
      <c r="F87" s="792">
        <v>0.2055038199855564</v>
      </c>
      <c r="G87" s="793">
        <v>0.9449429751018495</v>
      </c>
      <c r="H87" s="793">
        <v>1.062846247426205</v>
      </c>
      <c r="I87" s="792">
        <v>0.08690294263520874</v>
      </c>
      <c r="J87" s="792">
        <v>0.3850985479390227</v>
      </c>
      <c r="K87" s="792">
        <v>0.050672</v>
      </c>
      <c r="L87" s="792">
        <v>0.1903681360933958</v>
      </c>
      <c r="M87" s="792">
        <v>0.07759414206880617</v>
      </c>
      <c r="N87" s="793">
        <v>1.803682775623288</v>
      </c>
      <c r="O87" s="793">
        <v>1.169237506224056</v>
      </c>
      <c r="P87" s="793">
        <v>11.5909777899304</v>
      </c>
      <c r="Q87" s="793">
        <v>24.55963765291909</v>
      </c>
      <c r="R87" s="793">
        <v>1.875816282053751</v>
      </c>
      <c r="S87" s="793">
        <v>47.57535973483309</v>
      </c>
      <c r="T87" s="792">
        <v>0.2160521346105519</v>
      </c>
      <c r="U87" s="792">
        <v>0.06523182846245952</v>
      </c>
      <c r="V87" s="792">
        <v>0.05693403439916032</v>
      </c>
      <c r="W87" s="792">
        <v>2.114887130483973</v>
      </c>
      <c r="X87" s="792">
        <v>0.03679172566231069</v>
      </c>
      <c r="Y87" s="792">
        <v>0.6506039648192232</v>
      </c>
      <c r="Z87" s="792">
        <v>0.6506039648192232</v>
      </c>
      <c r="AA87" s="794">
        <v>0.04106902683477847</v>
      </c>
    </row>
    <row r="88" ht="12.75" customHeight="1">
      <c r="A88" s="791" t="s">
        <v>1481</v>
      </c>
      <c r="B88" s="581">
        <v>12.0</v>
      </c>
      <c r="C88" s="792">
        <v>0.03700142857142857</v>
      </c>
      <c r="D88" s="792">
        <v>0.2098002834514103</v>
      </c>
      <c r="E88" s="792">
        <v>0.1037201961446925</v>
      </c>
      <c r="F88" s="792">
        <v>0.2292724474869074</v>
      </c>
      <c r="G88" s="793">
        <v>0.3924208398534512</v>
      </c>
      <c r="H88" s="793">
        <v>0.5381352736640138</v>
      </c>
      <c r="I88" s="792">
        <v>0.06350083320541502</v>
      </c>
      <c r="J88" s="792">
        <v>0.4018099968867836</v>
      </c>
      <c r="K88" s="792">
        <v>0.050672</v>
      </c>
      <c r="L88" s="792">
        <v>0.3418744765076534</v>
      </c>
      <c r="M88" s="792">
        <v>0.05478411670071081</v>
      </c>
      <c r="N88" s="793">
        <v>0.547755760741675</v>
      </c>
      <c r="O88" s="793">
        <v>3.717039475911651</v>
      </c>
      <c r="P88" s="793">
        <v>8.974175092717237</v>
      </c>
      <c r="Q88" s="793">
        <v>18.83018672737929</v>
      </c>
      <c r="R88" s="793">
        <v>3.47189936412773</v>
      </c>
      <c r="S88" s="793">
        <v>107.1357594326258</v>
      </c>
      <c r="T88" s="792">
        <v>0.1207190497175611</v>
      </c>
      <c r="U88" s="792">
        <v>0.1164084819149942</v>
      </c>
      <c r="V88" s="792">
        <v>0.003818546423257787</v>
      </c>
      <c r="W88" s="792">
        <v>0.1642032061454339</v>
      </c>
      <c r="X88" s="792">
        <v>0.1606139649618447</v>
      </c>
      <c r="Y88" s="792">
        <v>0.5144702760836396</v>
      </c>
      <c r="Z88" s="792">
        <v>0.5144702760836396</v>
      </c>
      <c r="AA88" s="794">
        <v>0.1974999133842151</v>
      </c>
    </row>
    <row r="89" ht="12.75" customHeight="1">
      <c r="A89" s="791" t="s">
        <v>1074</v>
      </c>
      <c r="B89" s="581">
        <v>57.0</v>
      </c>
      <c r="C89" s="792">
        <v>0.03271975609756098</v>
      </c>
      <c r="D89" s="792">
        <v>0.2069676450216517</v>
      </c>
      <c r="E89" s="792">
        <v>0.2547374909112715</v>
      </c>
      <c r="F89" s="792">
        <v>0.1654122121456244</v>
      </c>
      <c r="G89" s="793">
        <v>0.8872512120358865</v>
      </c>
      <c r="H89" s="793">
        <v>0.9232195753877382</v>
      </c>
      <c r="I89" s="792">
        <v>0.08067559306229313</v>
      </c>
      <c r="J89" s="792">
        <v>0.5526305461735282</v>
      </c>
      <c r="K89" s="792">
        <v>0.052913</v>
      </c>
      <c r="L89" s="792">
        <v>0.0844398133306591</v>
      </c>
      <c r="M89" s="792">
        <v>0.07721433392584677</v>
      </c>
      <c r="N89" s="793">
        <v>2.567713718021117</v>
      </c>
      <c r="O89" s="793">
        <v>6.516094095866539</v>
      </c>
      <c r="P89" s="793">
        <v>24.07393620437578</v>
      </c>
      <c r="Q89" s="793">
        <v>30.86329287384121</v>
      </c>
      <c r="R89" s="793">
        <v>8.371116364967031</v>
      </c>
      <c r="S89" s="793">
        <v>84.71608418708595</v>
      </c>
      <c r="T89" s="792">
        <v>0.2225183939866851</v>
      </c>
      <c r="U89" s="792">
        <v>0.0281076844659746</v>
      </c>
      <c r="V89" s="792">
        <v>0.07072557296624397</v>
      </c>
      <c r="W89" s="792">
        <v>0.4660719333859651</v>
      </c>
      <c r="X89" s="792">
        <v>0.2495656053027011</v>
      </c>
      <c r="Y89" s="792">
        <v>0.4144942269536068</v>
      </c>
      <c r="Z89" s="792">
        <v>0.4144942269536068</v>
      </c>
      <c r="AA89" s="794">
        <v>0.220114777801369</v>
      </c>
    </row>
    <row r="90" ht="12.75" customHeight="1">
      <c r="A90" s="791" t="s">
        <v>1076</v>
      </c>
      <c r="B90" s="581">
        <v>39.0</v>
      </c>
      <c r="C90" s="792">
        <v>0.135675</v>
      </c>
      <c r="D90" s="792">
        <v>0.2047121991102734</v>
      </c>
      <c r="E90" s="792">
        <v>0.1203656674304767</v>
      </c>
      <c r="F90" s="792">
        <v>0.1848517475418197</v>
      </c>
      <c r="G90" s="793">
        <v>0.3815003583638724</v>
      </c>
      <c r="H90" s="793">
        <v>0.6287201518745624</v>
      </c>
      <c r="I90" s="792">
        <v>0.06754091877360549</v>
      </c>
      <c r="J90" s="792">
        <v>0.6028775992480886</v>
      </c>
      <c r="K90" s="792">
        <v>0.052913</v>
      </c>
      <c r="L90" s="792">
        <v>0.4899603993254088</v>
      </c>
      <c r="M90" s="792">
        <v>0.05389249919761376</v>
      </c>
      <c r="N90" s="793">
        <v>0.6028725777224047</v>
      </c>
      <c r="O90" s="793">
        <v>2.614800563000675</v>
      </c>
      <c r="P90" s="793">
        <v>6.535199474016229</v>
      </c>
      <c r="Q90" s="793">
        <v>12.21662037892945</v>
      </c>
      <c r="R90" s="793">
        <v>1.636312343271219</v>
      </c>
      <c r="S90" s="793">
        <v>16.78771582738809</v>
      </c>
      <c r="T90" s="792">
        <v>-0.03687981395123043</v>
      </c>
      <c r="U90" s="792">
        <v>0.1659486202751017</v>
      </c>
      <c r="V90" s="792">
        <v>0.009079285207758405</v>
      </c>
      <c r="W90" s="792">
        <v>0.1195448837923946</v>
      </c>
      <c r="X90" s="792">
        <v>0.1981752609619614</v>
      </c>
      <c r="Y90" s="792">
        <v>0.4768170904952796</v>
      </c>
      <c r="Z90" s="792">
        <v>0.4768170904952796</v>
      </c>
      <c r="AA90" s="794">
        <v>0.2083636986390195</v>
      </c>
    </row>
    <row r="91" ht="12.75" customHeight="1">
      <c r="A91" s="791" t="s">
        <v>1082</v>
      </c>
      <c r="B91" s="581">
        <v>10.0</v>
      </c>
      <c r="C91" s="792">
        <v>0.02911</v>
      </c>
      <c r="D91" s="792">
        <v>0.4353823574802625</v>
      </c>
      <c r="E91" s="792">
        <v>0.6307780350577148</v>
      </c>
      <c r="F91" s="792">
        <v>0.2090382482803566</v>
      </c>
      <c r="G91" s="793">
        <v>0.6902977739311797</v>
      </c>
      <c r="H91" s="793">
        <v>0.794314579701523</v>
      </c>
      <c r="I91" s="792">
        <v>0.07492643025468793</v>
      </c>
      <c r="J91" s="792">
        <v>0.659579872239021</v>
      </c>
      <c r="K91" s="792">
        <v>0.060195</v>
      </c>
      <c r="L91" s="792">
        <v>0.1867836255543749</v>
      </c>
      <c r="M91" s="792">
        <v>0.0693639802170545</v>
      </c>
      <c r="N91" s="793">
        <v>1.824169681032902</v>
      </c>
      <c r="O91" s="793">
        <v>6.395192946988778</v>
      </c>
      <c r="P91" s="793">
        <v>13.4609035421483</v>
      </c>
      <c r="Q91" s="793">
        <v>14.63178059025161</v>
      </c>
      <c r="R91" s="793" t="s">
        <v>1385</v>
      </c>
      <c r="S91" s="793">
        <v>23.20849327075583</v>
      </c>
      <c r="T91" s="792">
        <v>0.1691180707068567</v>
      </c>
      <c r="U91" s="792">
        <v>0.02502676547752698</v>
      </c>
      <c r="V91" s="792">
        <v>-0.009100870596708189</v>
      </c>
      <c r="W91" s="792">
        <v>0.02380472041274977</v>
      </c>
      <c r="X91" s="792" t="s">
        <v>1385</v>
      </c>
      <c r="Y91" s="792">
        <v>0.8760466767746319</v>
      </c>
      <c r="Z91" s="792">
        <v>0.8760466767746319</v>
      </c>
      <c r="AA91" s="794">
        <v>0.4378658265277791</v>
      </c>
    </row>
    <row r="92" ht="12.75" customHeight="1">
      <c r="A92" s="791" t="s">
        <v>1099</v>
      </c>
      <c r="B92" s="581">
        <v>19.0</v>
      </c>
      <c r="C92" s="792">
        <v>0.09120833333333332</v>
      </c>
      <c r="D92" s="792">
        <v>0.07567222148665109</v>
      </c>
      <c r="E92" s="792">
        <v>0.1300079849084052</v>
      </c>
      <c r="F92" s="792">
        <v>0.1591187458982918</v>
      </c>
      <c r="G92" s="793">
        <v>0.7115266417564335</v>
      </c>
      <c r="H92" s="793">
        <v>0.8599219267913129</v>
      </c>
      <c r="I92" s="792">
        <v>0.07785251793489256</v>
      </c>
      <c r="J92" s="792">
        <v>0.381329406156173</v>
      </c>
      <c r="K92" s="792">
        <v>0.050672</v>
      </c>
      <c r="L92" s="792">
        <v>0.2671284506038499</v>
      </c>
      <c r="M92" s="792">
        <v>0.06720784508008498</v>
      </c>
      <c r="N92" s="793">
        <v>1.975348112283715</v>
      </c>
      <c r="O92" s="793">
        <v>1.639695228238321</v>
      </c>
      <c r="P92" s="793">
        <v>12.54996307458267</v>
      </c>
      <c r="Q92" s="793">
        <v>21.45013376445814</v>
      </c>
      <c r="R92" s="793">
        <v>4.787260376058109</v>
      </c>
      <c r="S92" s="793">
        <v>28.86782830570481</v>
      </c>
      <c r="T92" s="792">
        <v>0.06961477987266072</v>
      </c>
      <c r="U92" s="792">
        <v>0.04926841752620164</v>
      </c>
      <c r="V92" s="792">
        <v>0.02204541910190438</v>
      </c>
      <c r="W92" s="792">
        <v>0.5150479409503609</v>
      </c>
      <c r="X92" s="792">
        <v>0.3658208748571981</v>
      </c>
      <c r="Y92" s="792">
        <v>0.2912283098456141</v>
      </c>
      <c r="Z92" s="792">
        <v>0.2912283098456141</v>
      </c>
      <c r="AA92" s="794">
        <v>0.07705762663370866</v>
      </c>
    </row>
    <row r="93" ht="12.75" customHeight="1">
      <c r="A93" s="791" t="s">
        <v>1484</v>
      </c>
      <c r="B93" s="581">
        <v>4.0</v>
      </c>
      <c r="C93" s="792">
        <v>0.0491</v>
      </c>
      <c r="D93" s="792">
        <v>0.3741088611342688</v>
      </c>
      <c r="E93" s="792">
        <v>0.1423695952231054</v>
      </c>
      <c r="F93" s="792">
        <v>0.2243574345423973</v>
      </c>
      <c r="G93" s="793">
        <v>0.8137222539977831</v>
      </c>
      <c r="H93" s="793">
        <v>0.9751457485154854</v>
      </c>
      <c r="I93" s="792">
        <v>0.08299150038379065</v>
      </c>
      <c r="J93" s="792">
        <v>0.2389848583668918</v>
      </c>
      <c r="K93" s="792">
        <v>0.047306</v>
      </c>
      <c r="L93" s="792">
        <v>0.2174757293484189</v>
      </c>
      <c r="M93" s="792">
        <v>0.0726587934475234</v>
      </c>
      <c r="N93" s="793">
        <v>0.4581341102513573</v>
      </c>
      <c r="O93" s="793">
        <v>6.665559703504334</v>
      </c>
      <c r="P93" s="793">
        <v>13.48817865261892</v>
      </c>
      <c r="Q93" s="793">
        <v>17.80639978287504</v>
      </c>
      <c r="R93" s="793">
        <v>5.834457605365392</v>
      </c>
      <c r="S93" s="793">
        <v>21.52936812241127</v>
      </c>
      <c r="T93" s="792">
        <v>0.01560028672271265</v>
      </c>
      <c r="U93" s="792">
        <v>0.1786192898938035</v>
      </c>
      <c r="V93" s="792">
        <v>0.06467622928467356</v>
      </c>
      <c r="W93" s="792">
        <v>0.2007778740725049</v>
      </c>
      <c r="X93" s="792">
        <v>0.2906747758227465</v>
      </c>
      <c r="Y93" s="792">
        <v>0.4269576177721758</v>
      </c>
      <c r="Z93" s="792">
        <v>0.4269576177721759</v>
      </c>
      <c r="AA93" s="794">
        <v>0.3743350584498729</v>
      </c>
    </row>
    <row r="94" ht="12.75" customHeight="1">
      <c r="A94" s="791" t="s">
        <v>1487</v>
      </c>
      <c r="B94" s="581">
        <v>26.0</v>
      </c>
      <c r="C94" s="792">
        <v>0.03334882352941176</v>
      </c>
      <c r="D94" s="792">
        <v>0.06891848716024367</v>
      </c>
      <c r="E94" s="792">
        <v>0.0929945748076969</v>
      </c>
      <c r="F94" s="792">
        <v>0.2456120559375066</v>
      </c>
      <c r="G94" s="793">
        <v>0.8688507380232171</v>
      </c>
      <c r="H94" s="793">
        <v>1.011348928552129</v>
      </c>
      <c r="I94" s="792">
        <v>0.08460616221342496</v>
      </c>
      <c r="J94" s="792">
        <v>0.3529091741098341</v>
      </c>
      <c r="K94" s="792">
        <v>0.050672</v>
      </c>
      <c r="L94" s="792">
        <v>0.2014798077300748</v>
      </c>
      <c r="M94" s="792">
        <v>0.07521676753085833</v>
      </c>
      <c r="N94" s="793">
        <v>1.465720741219483</v>
      </c>
      <c r="O94" s="793">
        <v>1.742911412147477</v>
      </c>
      <c r="P94" s="793">
        <v>10.41260081844975</v>
      </c>
      <c r="Q94" s="793">
        <v>23.81223099936394</v>
      </c>
      <c r="R94" s="793">
        <v>2.857861050952057</v>
      </c>
      <c r="S94" s="793">
        <v>37.42267866557278</v>
      </c>
      <c r="T94" s="792">
        <v>0.07993963029162131</v>
      </c>
      <c r="U94" s="792">
        <v>0.1291100524580807</v>
      </c>
      <c r="V94" s="792">
        <v>0.05034245360306305</v>
      </c>
      <c r="W94" s="792">
        <v>0.9871253630575415</v>
      </c>
      <c r="X94" s="792">
        <v>0.07602721205023472</v>
      </c>
      <c r="Y94" s="792">
        <v>0.2836976246444857</v>
      </c>
      <c r="Z94" s="792">
        <v>0.2836976246444858</v>
      </c>
      <c r="AA94" s="794">
        <v>0.07304748295281488</v>
      </c>
    </row>
    <row r="95" ht="12.75" customHeight="1">
      <c r="A95" s="791" t="s">
        <v>1489</v>
      </c>
      <c r="B95" s="581">
        <v>14.0</v>
      </c>
      <c r="C95" s="792">
        <v>0.05332142857142856</v>
      </c>
      <c r="D95" s="792">
        <v>0.2349211260172051</v>
      </c>
      <c r="E95" s="792">
        <v>0.05994651585116697</v>
      </c>
      <c r="F95" s="792">
        <v>0.1446596448467966</v>
      </c>
      <c r="G95" s="793">
        <v>0.1491105350525881</v>
      </c>
      <c r="H95" s="793">
        <v>0.2394349278899265</v>
      </c>
      <c r="I95" s="792">
        <v>0.05017879778389073</v>
      </c>
      <c r="J95" s="792">
        <v>0.1496203104444805</v>
      </c>
      <c r="K95" s="792">
        <v>0.047306</v>
      </c>
      <c r="L95" s="792">
        <v>0.4489881182181434</v>
      </c>
      <c r="M95" s="792">
        <v>0.0435789877327735</v>
      </c>
      <c r="N95" s="793">
        <v>0.2961332983090297</v>
      </c>
      <c r="O95" s="793">
        <v>5.251606084018362</v>
      </c>
      <c r="P95" s="793">
        <v>13.72701503876966</v>
      </c>
      <c r="Q95" s="793">
        <v>22.63088377861899</v>
      </c>
      <c r="R95" s="793">
        <v>1.810187136029114</v>
      </c>
      <c r="S95" s="793">
        <v>19.92009807169647</v>
      </c>
      <c r="T95" s="792">
        <v>0.200490227302997</v>
      </c>
      <c r="U95" s="792">
        <v>0.4722569896271344</v>
      </c>
      <c r="V95" s="792">
        <v>0.3357585494036782</v>
      </c>
      <c r="W95" s="792">
        <v>1.723010954678944</v>
      </c>
      <c r="X95" s="792">
        <v>0.1041551458639964</v>
      </c>
      <c r="Y95" s="792">
        <v>0.6540272470025379</v>
      </c>
      <c r="Z95" s="792">
        <v>0.6540272470025379</v>
      </c>
      <c r="AA95" s="794">
        <v>0.2320548386616668</v>
      </c>
    </row>
    <row r="96" ht="12.75" customHeight="1">
      <c r="A96" s="791" t="s">
        <v>1491</v>
      </c>
      <c r="B96" s="581">
        <v>14.0</v>
      </c>
      <c r="C96" s="792">
        <v>0.1329741666666667</v>
      </c>
      <c r="D96" s="792">
        <v>0.3371569629910201</v>
      </c>
      <c r="E96" s="792">
        <v>0.07250660955174709</v>
      </c>
      <c r="F96" s="792">
        <v>0.1593952925924101</v>
      </c>
      <c r="G96" s="793">
        <v>0.2824728934513352</v>
      </c>
      <c r="H96" s="793">
        <v>0.4126827948416138</v>
      </c>
      <c r="I96" s="792">
        <v>0.05790565264993597</v>
      </c>
      <c r="J96" s="792">
        <v>0.2959850912260439</v>
      </c>
      <c r="K96" s="792">
        <v>0.047306</v>
      </c>
      <c r="L96" s="792">
        <v>0.3840826448037364</v>
      </c>
      <c r="M96" s="792">
        <v>0.04929215662737624</v>
      </c>
      <c r="N96" s="793">
        <v>0.2428214395012541</v>
      </c>
      <c r="O96" s="793">
        <v>7.156354779193479</v>
      </c>
      <c r="P96" s="793">
        <v>14.1380037482983</v>
      </c>
      <c r="Q96" s="793">
        <v>21.08450292243973</v>
      </c>
      <c r="R96" s="793">
        <v>1.995218318011635</v>
      </c>
      <c r="S96" s="793">
        <v>23.06574330907612</v>
      </c>
      <c r="T96" s="792">
        <v>0.1254269312658624</v>
      </c>
      <c r="U96" s="792">
        <v>0.5583955373648559</v>
      </c>
      <c r="V96" s="792">
        <v>0.4372464923478553</v>
      </c>
      <c r="W96" s="792">
        <v>1.621776055167613</v>
      </c>
      <c r="X96" s="792">
        <v>0.1721237299186459</v>
      </c>
      <c r="Y96" s="792">
        <v>0.5643624413230548</v>
      </c>
      <c r="Z96" s="792">
        <v>0.3483342398441462</v>
      </c>
      <c r="AA96" s="794">
        <v>0.3363152786730426</v>
      </c>
    </row>
    <row r="97" ht="12.75" customHeight="1">
      <c r="A97" s="791" t="s">
        <v>1493</v>
      </c>
      <c r="B97" s="581">
        <v>5994.0</v>
      </c>
      <c r="C97" s="792">
        <v>0.1276619611360236</v>
      </c>
      <c r="D97" s="792">
        <v>0.1281752284968014</v>
      </c>
      <c r="E97" s="792">
        <v>0.08955910414193033</v>
      </c>
      <c r="F97" s="792">
        <v>0.1937980793299847</v>
      </c>
      <c r="G97" s="793">
        <v>0.7557168656692986</v>
      </c>
      <c r="H97" s="793">
        <v>0.9121109366553466</v>
      </c>
      <c r="I97" s="792">
        <v>0.08018014777482846</v>
      </c>
      <c r="J97" s="792">
        <v>0.4806656285191974</v>
      </c>
      <c r="K97" s="792">
        <v>0.052913</v>
      </c>
      <c r="L97" s="792">
        <v>0.2601977029597565</v>
      </c>
      <c r="M97" s="792">
        <v>0.06964333829337646</v>
      </c>
      <c r="N97" s="793">
        <v>0.8217850332049548</v>
      </c>
      <c r="O97" s="793">
        <v>3.966336026067594</v>
      </c>
      <c r="P97" s="793">
        <v>19.73192765753076</v>
      </c>
      <c r="Q97" s="793">
        <v>29.12435352911371</v>
      </c>
      <c r="R97" s="793">
        <v>4.605157981124835</v>
      </c>
      <c r="S97" s="793">
        <v>57.86385472116818</v>
      </c>
      <c r="T97" s="792">
        <v>-0.218557714977511</v>
      </c>
      <c r="U97" s="792">
        <v>0.06574601952281343</v>
      </c>
      <c r="V97" s="792">
        <v>0.04231213491497981</v>
      </c>
      <c r="W97" s="792">
        <v>0.5082267476343577</v>
      </c>
      <c r="X97" s="792">
        <v>0.1721237299186459</v>
      </c>
      <c r="Y97" s="792">
        <v>0.3483342398441463</v>
      </c>
      <c r="Z97" s="792">
        <v>0.3483342398441462</v>
      </c>
      <c r="AA97" s="794">
        <v>0.1293493515564674</v>
      </c>
    </row>
    <row r="98" ht="12.75" customHeight="1">
      <c r="A98" s="791" t="s">
        <v>1494</v>
      </c>
      <c r="B98" s="581">
        <v>4822.0</v>
      </c>
      <c r="C98" s="792">
        <v>0.1374555939982446</v>
      </c>
      <c r="D98" s="792">
        <v>0.1313558888445586</v>
      </c>
      <c r="E98" s="792">
        <v>0.150709519195417</v>
      </c>
      <c r="F98" s="792">
        <v>0.1941595389275362</v>
      </c>
      <c r="G98" s="793">
        <v>0.9009675279492425</v>
      </c>
      <c r="H98" s="793">
        <v>0.9912959719564087</v>
      </c>
      <c r="I98" s="792">
        <v>0.08371180034925582</v>
      </c>
      <c r="J98" s="792">
        <v>0.5276481947225026</v>
      </c>
      <c r="K98" s="792">
        <v>0.052913</v>
      </c>
      <c r="L98" s="792">
        <v>0.1473976156754532</v>
      </c>
      <c r="M98" s="792">
        <v>0.07722231810255238</v>
      </c>
      <c r="N98" s="793">
        <v>1.433775561214941</v>
      </c>
      <c r="O98" s="793">
        <v>3.460309277512211</v>
      </c>
      <c r="P98" s="793">
        <v>16.95495213807789</v>
      </c>
      <c r="Q98" s="793">
        <v>25.69673869799494</v>
      </c>
      <c r="R98" s="793">
        <v>5.439045771367902</v>
      </c>
      <c r="S98" s="793">
        <v>61.55859909121619</v>
      </c>
      <c r="T98" s="792">
        <v>0.0930119522313709</v>
      </c>
      <c r="U98" s="792">
        <v>0.07176980158080977</v>
      </c>
      <c r="V98" s="792">
        <v>0.04291451109387252</v>
      </c>
      <c r="W98" s="792">
        <v>0.4880880996617148</v>
      </c>
      <c r="X98" s="792">
        <v>0.176020012107524</v>
      </c>
      <c r="Y98" s="792">
        <v>0.3665287542467456</v>
      </c>
      <c r="Z98" s="792">
        <v>0.3665287542467456</v>
      </c>
      <c r="AA98" s="794">
        <v>0.1326207555589437</v>
      </c>
    </row>
    <row r="99" ht="12.75" customHeight="1">
      <c r="A99" s="9"/>
      <c r="B99" s="748"/>
      <c r="C99" s="748"/>
      <c r="D99" s="748"/>
      <c r="E99" s="748"/>
      <c r="F99" s="748"/>
      <c r="G99" s="748"/>
      <c r="H99" s="748"/>
      <c r="I99" s="748"/>
      <c r="J99" s="748"/>
      <c r="K99" s="748"/>
      <c r="L99" s="748"/>
      <c r="M99" s="748"/>
      <c r="N99" s="748"/>
      <c r="O99" s="748"/>
      <c r="P99" s="748"/>
      <c r="Q99" s="748"/>
      <c r="R99" s="748"/>
      <c r="S99" s="748"/>
      <c r="T99" s="748"/>
      <c r="U99" s="748"/>
      <c r="V99" s="748"/>
      <c r="W99" s="748"/>
      <c r="X99" s="748"/>
      <c r="Y99" s="748"/>
      <c r="Z99" s="748"/>
      <c r="AA99" s="748"/>
    </row>
    <row r="100" ht="12.75" customHeight="1">
      <c r="A100" s="9"/>
      <c r="B100" s="748"/>
      <c r="C100" s="748"/>
      <c r="D100" s="748"/>
      <c r="E100" s="748"/>
      <c r="F100" s="748"/>
      <c r="G100" s="748"/>
      <c r="H100" s="748"/>
      <c r="I100" s="748"/>
      <c r="J100" s="748"/>
      <c r="K100" s="748"/>
      <c r="L100" s="748"/>
      <c r="M100" s="748"/>
      <c r="N100" s="748"/>
      <c r="O100" s="748"/>
      <c r="P100" s="748"/>
      <c r="Q100" s="748"/>
      <c r="R100" s="748"/>
      <c r="S100" s="748"/>
      <c r="T100" s="748"/>
      <c r="U100" s="748"/>
      <c r="V100" s="748"/>
      <c r="W100" s="748"/>
      <c r="X100" s="748"/>
      <c r="Y100" s="748"/>
      <c r="Z100" s="748"/>
      <c r="AA100" s="748"/>
    </row>
    <row r="101" ht="12.75" customHeight="1">
      <c r="A101" s="9"/>
      <c r="B101" s="748"/>
      <c r="C101" s="748"/>
      <c r="D101" s="748"/>
      <c r="E101" s="748"/>
      <c r="F101" s="748"/>
      <c r="G101" s="748"/>
      <c r="H101" s="748"/>
      <c r="I101" s="748"/>
      <c r="J101" s="748"/>
      <c r="K101" s="748"/>
      <c r="L101" s="748"/>
      <c r="M101" s="748"/>
      <c r="N101" s="748"/>
      <c r="O101" s="748"/>
      <c r="P101" s="748"/>
      <c r="Q101" s="748"/>
      <c r="R101" s="748"/>
      <c r="S101" s="748"/>
      <c r="T101" s="748"/>
      <c r="U101" s="748"/>
      <c r="V101" s="748"/>
      <c r="W101" s="748"/>
      <c r="X101" s="748"/>
      <c r="Y101" s="748"/>
      <c r="Z101" s="748"/>
      <c r="AA101" s="748"/>
    </row>
    <row r="102" ht="12.75" customHeight="1">
      <c r="A102" s="9"/>
      <c r="B102" s="748"/>
      <c r="C102" s="748"/>
      <c r="D102" s="748"/>
      <c r="E102" s="748"/>
      <c r="F102" s="748"/>
      <c r="G102" s="748"/>
      <c r="H102" s="748"/>
      <c r="I102" s="748"/>
      <c r="J102" s="748"/>
      <c r="K102" s="748"/>
      <c r="L102" s="748"/>
      <c r="M102" s="748"/>
      <c r="N102" s="748"/>
      <c r="O102" s="748"/>
      <c r="P102" s="748"/>
      <c r="Q102" s="748"/>
      <c r="R102" s="748"/>
      <c r="S102" s="748"/>
      <c r="T102" s="748"/>
      <c r="U102" s="748"/>
      <c r="V102" s="748"/>
      <c r="W102" s="748"/>
      <c r="X102" s="748"/>
      <c r="Y102" s="748"/>
      <c r="Z102" s="748"/>
      <c r="AA102" s="748"/>
    </row>
    <row r="103" ht="12.75" customHeight="1">
      <c r="A103" s="9"/>
      <c r="B103" s="748"/>
      <c r="C103" s="748"/>
      <c r="D103" s="748"/>
      <c r="E103" s="748"/>
      <c r="F103" s="748"/>
      <c r="G103" s="748"/>
      <c r="H103" s="748"/>
      <c r="I103" s="748"/>
      <c r="J103" s="748"/>
      <c r="K103" s="748"/>
      <c r="L103" s="748"/>
      <c r="M103" s="748"/>
      <c r="N103" s="748"/>
      <c r="O103" s="748"/>
      <c r="P103" s="748"/>
      <c r="Q103" s="748"/>
      <c r="R103" s="748"/>
      <c r="S103" s="748"/>
      <c r="T103" s="748"/>
      <c r="U103" s="748"/>
      <c r="V103" s="748"/>
      <c r="W103" s="748"/>
      <c r="X103" s="748"/>
      <c r="Y103" s="748"/>
      <c r="Z103" s="748"/>
      <c r="AA103" s="748"/>
    </row>
    <row r="104" ht="12.75" customHeight="1">
      <c r="A104" s="9"/>
      <c r="B104" s="748"/>
      <c r="C104" s="748"/>
      <c r="D104" s="748"/>
      <c r="E104" s="748"/>
      <c r="F104" s="748"/>
      <c r="G104" s="748"/>
      <c r="H104" s="748"/>
      <c r="I104" s="748"/>
      <c r="J104" s="748"/>
      <c r="K104" s="748"/>
      <c r="L104" s="748"/>
      <c r="M104" s="748"/>
      <c r="N104" s="748"/>
      <c r="O104" s="748"/>
      <c r="P104" s="748"/>
      <c r="Q104" s="748"/>
      <c r="R104" s="748"/>
      <c r="S104" s="748"/>
      <c r="T104" s="748"/>
      <c r="U104" s="748"/>
      <c r="V104" s="748"/>
      <c r="W104" s="748"/>
      <c r="X104" s="748"/>
      <c r="Y104" s="748"/>
      <c r="Z104" s="748"/>
      <c r="AA104" s="748"/>
    </row>
    <row r="105" ht="12.75" customHeight="1">
      <c r="A105" s="9"/>
      <c r="B105" s="748"/>
      <c r="C105" s="748"/>
      <c r="D105" s="748"/>
      <c r="E105" s="748"/>
      <c r="F105" s="748"/>
      <c r="G105" s="748"/>
      <c r="H105" s="748"/>
      <c r="I105" s="748"/>
      <c r="J105" s="748"/>
      <c r="K105" s="748"/>
      <c r="L105" s="748"/>
      <c r="M105" s="748"/>
      <c r="N105" s="748"/>
      <c r="O105" s="748"/>
      <c r="P105" s="748"/>
      <c r="Q105" s="748"/>
      <c r="R105" s="748"/>
      <c r="S105" s="748"/>
      <c r="T105" s="748"/>
      <c r="U105" s="748"/>
      <c r="V105" s="748"/>
      <c r="W105" s="748"/>
      <c r="X105" s="748"/>
      <c r="Y105" s="748"/>
      <c r="Z105" s="748"/>
      <c r="AA105" s="748"/>
    </row>
    <row r="106" ht="12.75" customHeight="1">
      <c r="A106" s="9"/>
      <c r="B106" s="748"/>
      <c r="C106" s="748"/>
      <c r="D106" s="748"/>
      <c r="E106" s="748"/>
      <c r="F106" s="748"/>
      <c r="G106" s="748"/>
      <c r="H106" s="748"/>
      <c r="I106" s="748"/>
      <c r="J106" s="748"/>
      <c r="K106" s="748"/>
      <c r="L106" s="748"/>
      <c r="M106" s="748"/>
      <c r="N106" s="748"/>
      <c r="O106" s="748"/>
      <c r="P106" s="748"/>
      <c r="Q106" s="748"/>
      <c r="R106" s="748"/>
      <c r="S106" s="748"/>
      <c r="T106" s="748"/>
      <c r="U106" s="748"/>
      <c r="V106" s="748"/>
      <c r="W106" s="748"/>
      <c r="X106" s="748"/>
      <c r="Y106" s="748"/>
      <c r="Z106" s="748"/>
      <c r="AA106" s="748"/>
    </row>
    <row r="107" ht="12.75" customHeight="1">
      <c r="A107" s="9"/>
      <c r="B107" s="748"/>
      <c r="C107" s="748"/>
      <c r="D107" s="748"/>
      <c r="E107" s="748"/>
      <c r="F107" s="748"/>
      <c r="G107" s="748"/>
      <c r="H107" s="748"/>
      <c r="I107" s="748"/>
      <c r="J107" s="748"/>
      <c r="K107" s="748"/>
      <c r="L107" s="748"/>
      <c r="M107" s="748"/>
      <c r="N107" s="748"/>
      <c r="O107" s="748"/>
      <c r="P107" s="748"/>
      <c r="Q107" s="748"/>
      <c r="R107" s="748"/>
      <c r="S107" s="748"/>
      <c r="T107" s="748"/>
      <c r="U107" s="748"/>
      <c r="V107" s="748"/>
      <c r="W107" s="748"/>
      <c r="X107" s="748"/>
      <c r="Y107" s="748"/>
      <c r="Z107" s="748"/>
      <c r="AA107" s="748"/>
    </row>
    <row r="108" ht="12.75" customHeight="1">
      <c r="A108" s="9"/>
      <c r="B108" s="748"/>
      <c r="C108" s="748"/>
      <c r="D108" s="748"/>
      <c r="E108" s="748"/>
      <c r="F108" s="748"/>
      <c r="G108" s="748"/>
      <c r="H108" s="748"/>
      <c r="I108" s="748"/>
      <c r="J108" s="748"/>
      <c r="K108" s="748"/>
      <c r="L108" s="748"/>
      <c r="M108" s="748"/>
      <c r="N108" s="748"/>
      <c r="O108" s="748"/>
      <c r="P108" s="748"/>
      <c r="Q108" s="748"/>
      <c r="R108" s="748"/>
      <c r="S108" s="748"/>
      <c r="T108" s="748"/>
      <c r="U108" s="748"/>
      <c r="V108" s="748"/>
      <c r="W108" s="748"/>
      <c r="X108" s="748"/>
      <c r="Y108" s="748"/>
      <c r="Z108" s="748"/>
      <c r="AA108" s="748"/>
    </row>
    <row r="109" ht="12.75" customHeight="1">
      <c r="A109" s="9"/>
      <c r="B109" s="748"/>
      <c r="C109" s="748"/>
      <c r="D109" s="748"/>
      <c r="E109" s="748"/>
      <c r="F109" s="748"/>
      <c r="G109" s="748"/>
      <c r="H109" s="748"/>
      <c r="I109" s="748"/>
      <c r="J109" s="748"/>
      <c r="K109" s="748"/>
      <c r="L109" s="748"/>
      <c r="M109" s="748"/>
      <c r="N109" s="748"/>
      <c r="O109" s="748"/>
      <c r="P109" s="748"/>
      <c r="Q109" s="748"/>
      <c r="R109" s="748"/>
      <c r="S109" s="748"/>
      <c r="T109" s="748"/>
      <c r="U109" s="748"/>
      <c r="V109" s="748"/>
      <c r="W109" s="748"/>
      <c r="X109" s="748"/>
      <c r="Y109" s="748"/>
      <c r="Z109" s="748"/>
      <c r="AA109" s="748"/>
    </row>
    <row r="110" ht="12.75" customHeight="1">
      <c r="A110" s="9"/>
      <c r="B110" s="748"/>
      <c r="C110" s="748"/>
      <c r="D110" s="748"/>
      <c r="E110" s="748"/>
      <c r="F110" s="748"/>
      <c r="G110" s="748"/>
      <c r="H110" s="748"/>
      <c r="I110" s="748"/>
      <c r="J110" s="748"/>
      <c r="K110" s="748"/>
      <c r="L110" s="748"/>
      <c r="M110" s="748"/>
      <c r="N110" s="748"/>
      <c r="O110" s="748"/>
      <c r="P110" s="748"/>
      <c r="Q110" s="748"/>
      <c r="R110" s="748"/>
      <c r="S110" s="748"/>
      <c r="T110" s="748"/>
      <c r="U110" s="748"/>
      <c r="V110" s="748"/>
      <c r="W110" s="748"/>
      <c r="X110" s="748"/>
      <c r="Y110" s="748"/>
      <c r="Z110" s="748"/>
      <c r="AA110" s="748"/>
    </row>
    <row r="111" ht="12.75" customHeight="1">
      <c r="A111" s="9"/>
      <c r="B111" s="748"/>
      <c r="C111" s="748"/>
      <c r="D111" s="748"/>
      <c r="E111" s="748"/>
      <c r="F111" s="748"/>
      <c r="G111" s="748"/>
      <c r="H111" s="748"/>
      <c r="I111" s="748"/>
      <c r="J111" s="748"/>
      <c r="K111" s="748"/>
      <c r="L111" s="748"/>
      <c r="M111" s="748"/>
      <c r="N111" s="748"/>
      <c r="O111" s="748"/>
      <c r="P111" s="748"/>
      <c r="Q111" s="748"/>
      <c r="R111" s="748"/>
      <c r="S111" s="748"/>
      <c r="T111" s="748"/>
      <c r="U111" s="748"/>
      <c r="V111" s="748"/>
      <c r="W111" s="748"/>
      <c r="X111" s="748"/>
      <c r="Y111" s="748"/>
      <c r="Z111" s="748"/>
      <c r="AA111" s="748"/>
    </row>
    <row r="112" ht="12.75" customHeight="1">
      <c r="A112" s="9"/>
      <c r="B112" s="748"/>
      <c r="C112" s="748"/>
      <c r="D112" s="748"/>
      <c r="E112" s="748"/>
      <c r="F112" s="748"/>
      <c r="G112" s="748"/>
      <c r="H112" s="748"/>
      <c r="I112" s="748"/>
      <c r="J112" s="748"/>
      <c r="K112" s="748"/>
      <c r="L112" s="748"/>
      <c r="M112" s="748"/>
      <c r="N112" s="748"/>
      <c r="O112" s="748"/>
      <c r="P112" s="748"/>
      <c r="Q112" s="748"/>
      <c r="R112" s="748"/>
      <c r="S112" s="748"/>
      <c r="T112" s="748"/>
      <c r="U112" s="748"/>
      <c r="V112" s="748"/>
      <c r="W112" s="748"/>
      <c r="X112" s="748"/>
      <c r="Y112" s="748"/>
      <c r="Z112" s="748"/>
      <c r="AA112" s="748"/>
    </row>
    <row r="113" ht="12.75" customHeight="1">
      <c r="A113" s="9"/>
      <c r="B113" s="748"/>
      <c r="C113" s="748"/>
      <c r="D113" s="748"/>
      <c r="E113" s="748"/>
      <c r="F113" s="748"/>
      <c r="G113" s="748"/>
      <c r="H113" s="748"/>
      <c r="I113" s="748"/>
      <c r="J113" s="748"/>
      <c r="K113" s="748"/>
      <c r="L113" s="748"/>
      <c r="M113" s="748"/>
      <c r="N113" s="748"/>
      <c r="O113" s="748"/>
      <c r="P113" s="748"/>
      <c r="Q113" s="748"/>
      <c r="R113" s="748"/>
      <c r="S113" s="748"/>
      <c r="T113" s="748"/>
      <c r="U113" s="748"/>
      <c r="V113" s="748"/>
      <c r="W113" s="748"/>
      <c r="X113" s="748"/>
      <c r="Y113" s="748"/>
      <c r="Z113" s="748"/>
      <c r="AA113" s="748"/>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3" width="8.38"/>
    <col customWidth="1" min="24" max="27" width="8.5"/>
  </cols>
  <sheetData>
    <row r="1" ht="37.5" customHeight="1">
      <c r="A1" s="33" t="s">
        <v>72</v>
      </c>
      <c r="B1" s="35">
        <f>'Input sheet'!B1</f>
        <v>0.0</v>
      </c>
      <c r="C1" s="33" t="s">
        <v>57</v>
      </c>
      <c r="D1" s="37">
        <f>'Input sheet'!D1</f>
        <v>39.4</v>
      </c>
      <c r="E1" s="7"/>
      <c r="F1" s="7"/>
      <c r="G1" s="7"/>
      <c r="H1" s="7"/>
      <c r="I1" s="7"/>
      <c r="J1" s="7"/>
      <c r="K1" s="7"/>
      <c r="L1" s="7"/>
      <c r="M1" s="7"/>
      <c r="N1" s="7"/>
      <c r="O1" s="7"/>
      <c r="P1" s="7"/>
      <c r="Q1" s="7"/>
      <c r="R1" s="7"/>
      <c r="S1" s="7"/>
      <c r="T1" s="7"/>
      <c r="U1" s="7"/>
      <c r="V1" s="7"/>
      <c r="W1" s="7"/>
      <c r="X1" s="7"/>
      <c r="Y1" s="7"/>
      <c r="Z1" s="7"/>
      <c r="AA1" s="786"/>
    </row>
    <row r="2" ht="12.75" customHeight="1">
      <c r="A2" s="787" t="s">
        <v>909</v>
      </c>
      <c r="B2" s="788" t="s">
        <v>1352</v>
      </c>
      <c r="C2" s="789" t="s">
        <v>1354</v>
      </c>
      <c r="D2" s="789" t="s">
        <v>1356</v>
      </c>
      <c r="E2" s="789" t="s">
        <v>1357</v>
      </c>
      <c r="F2" s="788" t="s">
        <v>1358</v>
      </c>
      <c r="G2" s="788" t="s">
        <v>1052</v>
      </c>
      <c r="H2" s="788" t="s">
        <v>1359</v>
      </c>
      <c r="I2" s="788" t="s">
        <v>1360</v>
      </c>
      <c r="J2" s="788" t="s">
        <v>1361</v>
      </c>
      <c r="K2" s="788" t="s">
        <v>1362</v>
      </c>
      <c r="L2" s="788" t="s">
        <v>1363</v>
      </c>
      <c r="M2" s="788" t="s">
        <v>320</v>
      </c>
      <c r="N2" s="790" t="s">
        <v>1365</v>
      </c>
      <c r="O2" s="788" t="s">
        <v>616</v>
      </c>
      <c r="P2" s="788" t="s">
        <v>107</v>
      </c>
      <c r="Q2" s="788" t="s">
        <v>624</v>
      </c>
      <c r="R2" s="788" t="s">
        <v>1366</v>
      </c>
      <c r="S2" s="788" t="s">
        <v>1368</v>
      </c>
      <c r="T2" s="788" t="s">
        <v>1369</v>
      </c>
      <c r="U2" s="788" t="s">
        <v>1370</v>
      </c>
      <c r="V2" s="788" t="s">
        <v>1371</v>
      </c>
      <c r="W2" s="788" t="s">
        <v>742</v>
      </c>
      <c r="X2" s="788" t="s">
        <v>1372</v>
      </c>
      <c r="Y2" s="788" t="s">
        <v>1373</v>
      </c>
      <c r="Z2" s="788" t="s">
        <v>1374</v>
      </c>
      <c r="AA2" s="788" t="s">
        <v>1375</v>
      </c>
    </row>
    <row r="3" ht="12.75" customHeight="1">
      <c r="A3" s="791" t="s">
        <v>911</v>
      </c>
      <c r="B3" s="581">
        <v>419.0</v>
      </c>
      <c r="C3" s="792">
        <v>0.07674594488188972</v>
      </c>
      <c r="D3" s="792">
        <v>0.08545219135145969</v>
      </c>
      <c r="E3" s="792">
        <v>0.1793365767118328</v>
      </c>
      <c r="F3" s="792">
        <v>0.2822286846399317</v>
      </c>
      <c r="G3" s="793">
        <v>1.086116136197718</v>
      </c>
      <c r="H3" s="793">
        <v>1.272831803339158</v>
      </c>
      <c r="I3" s="792">
        <v>0.1111604305279946</v>
      </c>
      <c r="J3" s="792">
        <v>0.4781971571430378</v>
      </c>
      <c r="K3" s="792">
        <v>0.060013</v>
      </c>
      <c r="L3" s="792">
        <v>0.288534317211795</v>
      </c>
      <c r="M3" s="792">
        <v>0.09200962059183242</v>
      </c>
      <c r="N3" s="793">
        <v>2.59090949067257</v>
      </c>
      <c r="O3" s="793">
        <v>1.522018704690608</v>
      </c>
      <c r="P3" s="793">
        <v>11.07983364143014</v>
      </c>
      <c r="Q3" s="793">
        <v>16.45856942463147</v>
      </c>
      <c r="R3" s="793">
        <v>2.478629080794582</v>
      </c>
      <c r="S3" s="793">
        <v>41.3764398297482</v>
      </c>
      <c r="T3" s="792">
        <v>-0.007390632597755556</v>
      </c>
      <c r="U3" s="792">
        <v>0.01732371975045077</v>
      </c>
      <c r="V3" s="792">
        <v>0.005775691916061007</v>
      </c>
      <c r="W3" s="792">
        <v>0.1094157659092899</v>
      </c>
      <c r="X3" s="792">
        <v>0.03119124058113678</v>
      </c>
      <c r="Y3" s="792">
        <v>1.949837102286307</v>
      </c>
      <c r="Z3" s="792">
        <v>1.949837102286307</v>
      </c>
      <c r="AA3" s="794">
        <v>0.08651034773304266</v>
      </c>
    </row>
    <row r="4" ht="12.75" customHeight="1">
      <c r="A4" s="791" t="s">
        <v>914</v>
      </c>
      <c r="B4" s="581">
        <v>319.0</v>
      </c>
      <c r="C4" s="792">
        <v>0.1003011386138613</v>
      </c>
      <c r="D4" s="792">
        <v>0.09178508343052239</v>
      </c>
      <c r="E4" s="792">
        <v>0.1546266528982992</v>
      </c>
      <c r="F4" s="792">
        <v>0.1751405846269328</v>
      </c>
      <c r="G4" s="793">
        <v>1.166684299427081</v>
      </c>
      <c r="H4" s="793">
        <v>1.230944636330449</v>
      </c>
      <c r="I4" s="792">
        <v>0.1088021830254043</v>
      </c>
      <c r="J4" s="792">
        <v>0.4653536316295678</v>
      </c>
      <c r="K4" s="792">
        <v>0.060013</v>
      </c>
      <c r="L4" s="792">
        <v>0.1150476572634508</v>
      </c>
      <c r="M4" s="792">
        <v>0.1014374669409912</v>
      </c>
      <c r="N4" s="793">
        <v>2.464919908721302</v>
      </c>
      <c r="O4" s="793">
        <v>3.385246124413623</v>
      </c>
      <c r="P4" s="793">
        <v>22.39882312783213</v>
      </c>
      <c r="Q4" s="793">
        <v>33.08486316707189</v>
      </c>
      <c r="R4" s="793">
        <v>6.7223105530477</v>
      </c>
      <c r="S4" s="793">
        <v>189.8800924782406</v>
      </c>
      <c r="T4" s="792">
        <v>0.3930613319380565</v>
      </c>
      <c r="U4" s="792">
        <v>0.03804922771784651</v>
      </c>
      <c r="V4" s="792">
        <v>0.01515165972398432</v>
      </c>
      <c r="W4" s="792">
        <v>0.701525987902954</v>
      </c>
      <c r="X4" s="792">
        <v>0.184497379944047</v>
      </c>
      <c r="Y4" s="792">
        <v>0.3781931193720836</v>
      </c>
      <c r="Z4" s="792">
        <v>0.3781931193720836</v>
      </c>
      <c r="AA4" s="794">
        <v>0.09389575724340557</v>
      </c>
    </row>
    <row r="5" ht="12.75" customHeight="1">
      <c r="A5" s="791" t="s">
        <v>916</v>
      </c>
      <c r="B5" s="581">
        <v>150.0</v>
      </c>
      <c r="C5" s="792">
        <v>0.2065428346456692</v>
      </c>
      <c r="D5" s="792">
        <v>0.08209446269459414</v>
      </c>
      <c r="E5" s="792">
        <v>0.09013467295800828</v>
      </c>
      <c r="F5" s="792">
        <v>0.2145641497321069</v>
      </c>
      <c r="G5" s="793">
        <v>0.6840621552018372</v>
      </c>
      <c r="H5" s="793">
        <v>0.990625140921233</v>
      </c>
      <c r="I5" s="792">
        <v>0.09527219543386542</v>
      </c>
      <c r="J5" s="792">
        <v>0.3363451647411857</v>
      </c>
      <c r="K5" s="792">
        <v>0.057772</v>
      </c>
      <c r="L5" s="792">
        <v>0.4409828120665577</v>
      </c>
      <c r="M5" s="792">
        <v>0.07227187614534744</v>
      </c>
      <c r="N5" s="793">
        <v>1.314039929397383</v>
      </c>
      <c r="O5" s="793">
        <v>1.39780767934131</v>
      </c>
      <c r="P5" s="793">
        <v>9.070637277664346</v>
      </c>
      <c r="Q5" s="793">
        <v>16.92162740052879</v>
      </c>
      <c r="R5" s="793">
        <v>2.482139376008782</v>
      </c>
      <c r="S5" s="793">
        <v>26.88178846969008</v>
      </c>
      <c r="T5" s="792">
        <v>-0.0352949395584087</v>
      </c>
      <c r="U5" s="792">
        <v>0.09934211456049283</v>
      </c>
      <c r="V5" s="792">
        <v>0.0333533351332803</v>
      </c>
      <c r="W5" s="792">
        <v>0.4769658494357197</v>
      </c>
      <c r="X5" s="792">
        <v>0.1728223849205911</v>
      </c>
      <c r="Y5" s="792">
        <v>0.387394121808358</v>
      </c>
      <c r="Z5" s="792">
        <v>0.387394121808358</v>
      </c>
      <c r="AA5" s="794">
        <v>0.08085745560647267</v>
      </c>
    </row>
    <row r="6" ht="12.75" customHeight="1">
      <c r="A6" s="791" t="s">
        <v>920</v>
      </c>
      <c r="B6" s="581">
        <v>1207.0</v>
      </c>
      <c r="C6" s="792">
        <v>0.09614445595854917</v>
      </c>
      <c r="D6" s="792">
        <v>0.1259492517915098</v>
      </c>
      <c r="E6" s="792">
        <v>0.1606658149624852</v>
      </c>
      <c r="F6" s="792">
        <v>0.2763686998977823</v>
      </c>
      <c r="G6" s="793">
        <v>0.7052666591336804</v>
      </c>
      <c r="H6" s="793">
        <v>0.7624174150098879</v>
      </c>
      <c r="I6" s="792">
        <v>0.08242410046505669</v>
      </c>
      <c r="J6" s="792">
        <v>0.4091273514267088</v>
      </c>
      <c r="K6" s="792">
        <v>0.057772</v>
      </c>
      <c r="L6" s="792">
        <v>0.1575730805753863</v>
      </c>
      <c r="M6" s="792">
        <v>0.07623008279493278</v>
      </c>
      <c r="N6" s="793">
        <v>1.520636578025724</v>
      </c>
      <c r="O6" s="793">
        <v>2.310920519812083</v>
      </c>
      <c r="P6" s="793">
        <v>14.04802801054984</v>
      </c>
      <c r="Q6" s="793">
        <v>17.70304330825734</v>
      </c>
      <c r="R6" s="793">
        <v>3.286923684168487</v>
      </c>
      <c r="S6" s="793">
        <v>59.3101092936845</v>
      </c>
      <c r="T6" s="792">
        <v>0.2233567265794157</v>
      </c>
      <c r="U6" s="792">
        <v>0.04350827738498098</v>
      </c>
      <c r="V6" s="792">
        <v>0.02075162325912593</v>
      </c>
      <c r="W6" s="792">
        <v>0.3984749537560307</v>
      </c>
      <c r="X6" s="792">
        <v>0.135444417693777</v>
      </c>
      <c r="Y6" s="792">
        <v>0.4950642841442704</v>
      </c>
      <c r="Z6" s="792">
        <v>0.4950642841442704</v>
      </c>
      <c r="AA6" s="794">
        <v>0.1271797277890002</v>
      </c>
    </row>
    <row r="7" ht="12.75" customHeight="1">
      <c r="A7" s="791" t="s">
        <v>923</v>
      </c>
      <c r="B7" s="581">
        <v>165.0</v>
      </c>
      <c r="C7" s="792">
        <v>0.1418665048543689</v>
      </c>
      <c r="D7" s="792">
        <v>0.04312659717257243</v>
      </c>
      <c r="E7" s="792">
        <v>0.04329071184798652</v>
      </c>
      <c r="F7" s="792">
        <v>0.2390673556586037</v>
      </c>
      <c r="G7" s="793">
        <v>1.145382385474323</v>
      </c>
      <c r="H7" s="793">
        <v>1.405957835982734</v>
      </c>
      <c r="I7" s="792">
        <v>0.1186554261658279</v>
      </c>
      <c r="J7" s="792">
        <v>0.4654404513744416</v>
      </c>
      <c r="K7" s="792">
        <v>0.060013</v>
      </c>
      <c r="L7" s="792">
        <v>0.323459037203528</v>
      </c>
      <c r="M7" s="792">
        <v>0.09476224319438756</v>
      </c>
      <c r="N7" s="793">
        <v>1.190480404319043</v>
      </c>
      <c r="O7" s="793">
        <v>1.503898859337182</v>
      </c>
      <c r="P7" s="793">
        <v>17.28772934908585</v>
      </c>
      <c r="Q7" s="793">
        <v>33.70303535892507</v>
      </c>
      <c r="R7" s="793">
        <v>2.110181568787867</v>
      </c>
      <c r="S7" s="793">
        <v>64.09523391345726</v>
      </c>
      <c r="T7" s="792">
        <v>-0.02520913600754166</v>
      </c>
      <c r="U7" s="792">
        <v>0.06287660024028328</v>
      </c>
      <c r="V7" s="792">
        <v>0.03524237424452151</v>
      </c>
      <c r="W7" s="792">
        <v>0.7777227200140658</v>
      </c>
      <c r="X7" s="792">
        <v>0.06229174013282179</v>
      </c>
      <c r="Y7" s="792">
        <v>0.5043075049258341</v>
      </c>
      <c r="Z7" s="792">
        <v>0.5043075049258341</v>
      </c>
      <c r="AA7" s="794">
        <v>0.04689886327259096</v>
      </c>
    </row>
    <row r="8" ht="12.75" customHeight="1">
      <c r="A8" s="791" t="s">
        <v>1383</v>
      </c>
      <c r="B8" s="581">
        <v>797.0</v>
      </c>
      <c r="C8" s="792">
        <v>0.1160243396226415</v>
      </c>
      <c r="D8" s="792">
        <v>0.054480012734338</v>
      </c>
      <c r="E8" s="792">
        <v>0.129164411679616</v>
      </c>
      <c r="F8" s="792">
        <v>0.2446634577663042</v>
      </c>
      <c r="G8" s="793">
        <v>1.35347187966227</v>
      </c>
      <c r="H8" s="793">
        <v>1.449821287328946</v>
      </c>
      <c r="I8" s="792">
        <v>0.1211249384766196</v>
      </c>
      <c r="J8" s="792">
        <v>0.3854979087963625</v>
      </c>
      <c r="K8" s="792">
        <v>0.057772</v>
      </c>
      <c r="L8" s="792">
        <v>0.2175268904635065</v>
      </c>
      <c r="M8" s="792">
        <v>0.1041557321241016</v>
      </c>
      <c r="N8" s="793">
        <v>1.978693584514997</v>
      </c>
      <c r="O8" s="793">
        <v>0.9601357791579264</v>
      </c>
      <c r="P8" s="793">
        <v>9.234581285045799</v>
      </c>
      <c r="Q8" s="793">
        <v>16.7734046072978</v>
      </c>
      <c r="R8" s="793">
        <v>1.709664937251359</v>
      </c>
      <c r="S8" s="793">
        <v>84.42572934865285</v>
      </c>
      <c r="T8" s="792">
        <v>0.113707633526337</v>
      </c>
      <c r="U8" s="792">
        <v>0.04910659095170623</v>
      </c>
      <c r="V8" s="792">
        <v>0.03102023720172524</v>
      </c>
      <c r="W8" s="792">
        <v>0.8843655233716815</v>
      </c>
      <c r="X8" s="792">
        <v>0.06557540474582693</v>
      </c>
      <c r="Y8" s="792">
        <v>0.4855678893549565</v>
      </c>
      <c r="Z8" s="792">
        <v>0.4855678893549565</v>
      </c>
      <c r="AA8" s="794">
        <v>0.05854135025966486</v>
      </c>
    </row>
    <row r="9" ht="12.75" customHeight="1">
      <c r="A9" s="791" t="s">
        <v>1384</v>
      </c>
      <c r="B9" s="581">
        <v>604.0</v>
      </c>
      <c r="C9" s="792">
        <v>0.1920111229946524</v>
      </c>
      <c r="D9" s="792">
        <v>0.003764173341521477</v>
      </c>
      <c r="E9" s="792" t="s">
        <v>1385</v>
      </c>
      <c r="F9" s="792">
        <v>0.1961144608007977</v>
      </c>
      <c r="G9" s="793">
        <v>0.3627650509714354</v>
      </c>
      <c r="H9" s="793">
        <v>0.6974939226520271</v>
      </c>
      <c r="I9" s="792">
        <v>0.07876890784530913</v>
      </c>
      <c r="J9" s="792">
        <v>0.2456745394659963</v>
      </c>
      <c r="K9" s="792">
        <v>0.054406</v>
      </c>
      <c r="L9" s="792">
        <v>0.6791998663586672</v>
      </c>
      <c r="M9" s="792">
        <v>0.05284676268305152</v>
      </c>
      <c r="N9" s="793">
        <v>0.1356689082812272</v>
      </c>
      <c r="O9" s="793">
        <v>8.915344526636781</v>
      </c>
      <c r="P9" s="793" t="s">
        <v>1385</v>
      </c>
      <c r="Q9" s="793" t="s">
        <v>1385</v>
      </c>
      <c r="R9" s="793">
        <v>1.137116206218977</v>
      </c>
      <c r="S9" s="793">
        <v>23.38045406728875</v>
      </c>
      <c r="T9" s="792" t="s">
        <v>1385</v>
      </c>
      <c r="U9" s="792">
        <v>0.03772105485958777</v>
      </c>
      <c r="V9" s="792">
        <v>0.04141034109444433</v>
      </c>
      <c r="W9" s="792">
        <v>0.05284676268305152</v>
      </c>
      <c r="X9" s="792">
        <v>0.1154484306660823</v>
      </c>
      <c r="Y9" s="792">
        <v>0.386738920946787</v>
      </c>
      <c r="Z9" s="792">
        <v>0.386738920946787</v>
      </c>
      <c r="AA9" s="794">
        <v>0.003964435373141322</v>
      </c>
    </row>
    <row r="10" ht="12.75" customHeight="1">
      <c r="A10" s="791" t="s">
        <v>1391</v>
      </c>
      <c r="B10" s="581">
        <v>825.0</v>
      </c>
      <c r="C10" s="792">
        <v>0.08385352769679301</v>
      </c>
      <c r="D10" s="792">
        <v>-1.84356592717434E-5</v>
      </c>
      <c r="E10" s="792" t="s">
        <v>1385</v>
      </c>
      <c r="F10" s="792">
        <v>0.1888032243731155</v>
      </c>
      <c r="G10" s="793">
        <v>0.300363382663931</v>
      </c>
      <c r="H10" s="793">
        <v>0.5134872216822973</v>
      </c>
      <c r="I10" s="792">
        <v>0.06840933058071334</v>
      </c>
      <c r="J10" s="792">
        <v>0.2333197668167571</v>
      </c>
      <c r="K10" s="792">
        <v>0.054406</v>
      </c>
      <c r="L10" s="792">
        <v>0.6691759667879212</v>
      </c>
      <c r="M10" s="792">
        <v>0.04980213479454618</v>
      </c>
      <c r="N10" s="793">
        <v>0.1560152998323367</v>
      </c>
      <c r="O10" s="793">
        <v>6.853213297701307</v>
      </c>
      <c r="P10" s="793" t="s">
        <v>1385</v>
      </c>
      <c r="Q10" s="793" t="s">
        <v>1385</v>
      </c>
      <c r="R10" s="793">
        <v>0.8521249253102618</v>
      </c>
      <c r="S10" s="793">
        <v>27.96282854641907</v>
      </c>
      <c r="T10" s="792" t="s">
        <v>1385</v>
      </c>
      <c r="U10" s="792">
        <v>0.02869397566472593</v>
      </c>
      <c r="V10" s="792">
        <v>0.01112152021199289</v>
      </c>
      <c r="W10" s="792" t="s">
        <v>1385</v>
      </c>
      <c r="X10" s="792">
        <v>0.08743636772936156</v>
      </c>
      <c r="Y10" s="792">
        <v>0.3240942519908634</v>
      </c>
      <c r="Z10" s="792">
        <v>0.3240942519908634</v>
      </c>
      <c r="AA10" s="794">
        <v>-4.985057620980141E-4</v>
      </c>
    </row>
    <row r="11" ht="12.75" customHeight="1">
      <c r="A11" s="791" t="s">
        <v>942</v>
      </c>
      <c r="B11" s="581">
        <v>217.0</v>
      </c>
      <c r="C11" s="792">
        <v>0.08623367231638417</v>
      </c>
      <c r="D11" s="792">
        <v>0.2246869431320431</v>
      </c>
      <c r="E11" s="792">
        <v>0.1541797328393322</v>
      </c>
      <c r="F11" s="792">
        <v>0.2613676519002731</v>
      </c>
      <c r="G11" s="793">
        <v>0.7250443439894131</v>
      </c>
      <c r="H11" s="793">
        <v>0.7926708486212135</v>
      </c>
      <c r="I11" s="792">
        <v>0.08412736877737433</v>
      </c>
      <c r="J11" s="792">
        <v>0.3400924182097906</v>
      </c>
      <c r="K11" s="792">
        <v>0.057772</v>
      </c>
      <c r="L11" s="792">
        <v>0.1686994095482963</v>
      </c>
      <c r="M11" s="792">
        <v>0.07720864747563046</v>
      </c>
      <c r="N11" s="793">
        <v>0.8429143566413393</v>
      </c>
      <c r="O11" s="793">
        <v>3.317562249652816</v>
      </c>
      <c r="P11" s="793">
        <v>12.21587017546518</v>
      </c>
      <c r="Q11" s="793">
        <v>14.66554108192349</v>
      </c>
      <c r="R11" s="793">
        <v>2.792196541240661</v>
      </c>
      <c r="S11" s="793">
        <v>46.91779425396877</v>
      </c>
      <c r="T11" s="792">
        <v>0.1089390607252331</v>
      </c>
      <c r="U11" s="792">
        <v>0.04942352468965783</v>
      </c>
      <c r="V11" s="792">
        <v>0.02150371483904871</v>
      </c>
      <c r="W11" s="792">
        <v>0.1350866678403306</v>
      </c>
      <c r="X11" s="792">
        <v>0.1368554582862769</v>
      </c>
      <c r="Y11" s="792">
        <v>0.6482262661274606</v>
      </c>
      <c r="Z11" s="792">
        <v>0.6482262661274606</v>
      </c>
      <c r="AA11" s="794">
        <v>0.2240047000147512</v>
      </c>
    </row>
    <row r="12" ht="12.75" customHeight="1">
      <c r="A12" s="791" t="s">
        <v>1392</v>
      </c>
      <c r="B12" s="581">
        <v>94.0</v>
      </c>
      <c r="C12" s="792">
        <v>0.1146848484848485</v>
      </c>
      <c r="D12" s="792">
        <v>0.1762373004333796</v>
      </c>
      <c r="E12" s="792">
        <v>0.2536750868954302</v>
      </c>
      <c r="F12" s="792">
        <v>0.2150647923164333</v>
      </c>
      <c r="G12" s="793">
        <v>0.5420226574467705</v>
      </c>
      <c r="H12" s="793">
        <v>0.5928484661583204</v>
      </c>
      <c r="I12" s="792">
        <v>0.07287736864471345</v>
      </c>
      <c r="J12" s="792">
        <v>0.3692959472824889</v>
      </c>
      <c r="K12" s="792">
        <v>0.057772</v>
      </c>
      <c r="L12" s="792">
        <v>0.1576833132689677</v>
      </c>
      <c r="M12" s="792">
        <v>0.0681843781577377</v>
      </c>
      <c r="N12" s="793">
        <v>1.684058870872386</v>
      </c>
      <c r="O12" s="793">
        <v>3.479428463941298</v>
      </c>
      <c r="P12" s="793">
        <v>15.96984623355032</v>
      </c>
      <c r="Q12" s="793">
        <v>19.56846985783336</v>
      </c>
      <c r="R12" s="793">
        <v>5.764797681476511</v>
      </c>
      <c r="S12" s="793">
        <v>25.61747416655314</v>
      </c>
      <c r="T12" s="792">
        <v>-0.04259179605187283</v>
      </c>
      <c r="U12" s="792">
        <v>0.05084832952342258</v>
      </c>
      <c r="V12" s="792">
        <v>0.04017224207262719</v>
      </c>
      <c r="W12" s="792">
        <v>0.3284070707327453</v>
      </c>
      <c r="X12" s="792">
        <v>0.2598706885673671</v>
      </c>
      <c r="Y12" s="792">
        <v>0.6925682809074487</v>
      </c>
      <c r="Z12" s="792">
        <v>0.6925682809074487</v>
      </c>
      <c r="AA12" s="794">
        <v>0.1769400293198462</v>
      </c>
    </row>
    <row r="13" ht="12.75" customHeight="1">
      <c r="A13" s="791" t="s">
        <v>1395</v>
      </c>
      <c r="B13" s="581">
        <v>127.0</v>
      </c>
      <c r="C13" s="792">
        <v>0.04378435185185185</v>
      </c>
      <c r="D13" s="792">
        <v>0.099745610173364</v>
      </c>
      <c r="E13" s="792">
        <v>0.09505074643010343</v>
      </c>
      <c r="F13" s="792">
        <v>0.2739218863111449</v>
      </c>
      <c r="G13" s="793">
        <v>0.6557707626756251</v>
      </c>
      <c r="H13" s="793">
        <v>0.832172827138835</v>
      </c>
      <c r="I13" s="792">
        <v>0.0863513301679164</v>
      </c>
      <c r="J13" s="792">
        <v>0.4048451394444616</v>
      </c>
      <c r="K13" s="792">
        <v>0.057772</v>
      </c>
      <c r="L13" s="792">
        <v>0.3621320222057915</v>
      </c>
      <c r="M13" s="792">
        <v>0.07069415870681217</v>
      </c>
      <c r="N13" s="793">
        <v>1.124682571928328</v>
      </c>
      <c r="O13" s="793">
        <v>1.28396634799039</v>
      </c>
      <c r="P13" s="793">
        <v>8.470985533530179</v>
      </c>
      <c r="Q13" s="793">
        <v>12.46141938306218</v>
      </c>
      <c r="R13" s="793">
        <v>1.146614660496049</v>
      </c>
      <c r="S13" s="793">
        <v>24.0900467177271</v>
      </c>
      <c r="T13" s="792">
        <v>0.1149106002691143</v>
      </c>
      <c r="U13" s="792">
        <v>0.03068373401142042</v>
      </c>
      <c r="V13" s="792">
        <v>-0.01573549859391516</v>
      </c>
      <c r="W13" s="792">
        <v>1.190689467464322</v>
      </c>
      <c r="X13" s="792">
        <v>0.04473782008334493</v>
      </c>
      <c r="Y13" s="792">
        <v>0.6964216921009886</v>
      </c>
      <c r="Z13" s="792">
        <v>0.6964216921009886</v>
      </c>
      <c r="AA13" s="794">
        <v>0.09990661270545796</v>
      </c>
    </row>
    <row r="14" ht="12.75" customHeight="1">
      <c r="A14" s="791" t="s">
        <v>1397</v>
      </c>
      <c r="B14" s="581">
        <v>623.0</v>
      </c>
      <c r="C14" s="792">
        <v>0.2056042203742203</v>
      </c>
      <c r="D14" s="792">
        <v>0.00936980891288772</v>
      </c>
      <c r="E14" s="792" t="s">
        <v>1385</v>
      </c>
      <c r="F14" s="792">
        <v>0.2065715244003343</v>
      </c>
      <c r="G14" s="793">
        <v>0.4895737616143335</v>
      </c>
      <c r="H14" s="793">
        <v>0.9846136258120903</v>
      </c>
      <c r="I14" s="792">
        <v>0.0949337471332207</v>
      </c>
      <c r="J14" s="792">
        <v>0.4096425651180902</v>
      </c>
      <c r="K14" s="792">
        <v>0.057772</v>
      </c>
      <c r="L14" s="792">
        <v>0.6417521201815757</v>
      </c>
      <c r="M14" s="792">
        <v>0.06167911262613984</v>
      </c>
      <c r="N14" s="793">
        <v>0.2205893241741448</v>
      </c>
      <c r="O14" s="793">
        <v>6.425086045280601</v>
      </c>
      <c r="P14" s="793" t="s">
        <v>1385</v>
      </c>
      <c r="Q14" s="793" t="s">
        <v>1385</v>
      </c>
      <c r="R14" s="793">
        <v>1.826843688865809</v>
      </c>
      <c r="S14" s="793">
        <v>53.98421953296227</v>
      </c>
      <c r="T14" s="792">
        <v>-1.351920263628781</v>
      </c>
      <c r="U14" s="792">
        <v>0.02055931639036452</v>
      </c>
      <c r="V14" s="792">
        <v>-0.02327760480171667</v>
      </c>
      <c r="W14" s="792">
        <v>-18.27826446284563</v>
      </c>
      <c r="X14" s="792">
        <v>0.1262058152334762</v>
      </c>
      <c r="Y14" s="792">
        <v>0.3937461996953135</v>
      </c>
      <c r="Z14" s="792">
        <v>0.3937461996953135</v>
      </c>
      <c r="AA14" s="794">
        <v>0.009198303646540864</v>
      </c>
    </row>
    <row r="15" ht="12.75" customHeight="1">
      <c r="A15" s="791" t="s">
        <v>945</v>
      </c>
      <c r="B15" s="581">
        <v>469.0</v>
      </c>
      <c r="C15" s="792">
        <v>0.06150354395604395</v>
      </c>
      <c r="D15" s="792">
        <v>0.104013279470123</v>
      </c>
      <c r="E15" s="792">
        <v>0.1418910136383785</v>
      </c>
      <c r="F15" s="792">
        <v>0.24573048899787</v>
      </c>
      <c r="G15" s="793">
        <v>0.9027205933766406</v>
      </c>
      <c r="H15" s="793">
        <v>1.004830306752776</v>
      </c>
      <c r="I15" s="792">
        <v>0.09607194627018131</v>
      </c>
      <c r="J15" s="792">
        <v>0.3463065425796759</v>
      </c>
      <c r="K15" s="792">
        <v>0.057772</v>
      </c>
      <c r="L15" s="792">
        <v>0.185531557752461</v>
      </c>
      <c r="M15" s="792">
        <v>0.08624680673034867</v>
      </c>
      <c r="N15" s="793">
        <v>1.736044949585409</v>
      </c>
      <c r="O15" s="793">
        <v>1.885103661587265</v>
      </c>
      <c r="P15" s="793">
        <v>12.41049028823695</v>
      </c>
      <c r="Q15" s="793">
        <v>17.77273086059952</v>
      </c>
      <c r="R15" s="793">
        <v>2.792930450487378</v>
      </c>
      <c r="S15" s="793">
        <v>50.22868282017253</v>
      </c>
      <c r="T15" s="792">
        <v>0.1764431626868936</v>
      </c>
      <c r="U15" s="792">
        <v>0.04220721589610317</v>
      </c>
      <c r="V15" s="792">
        <v>0.03851289586139801</v>
      </c>
      <c r="W15" s="792">
        <v>0.5678532356760978</v>
      </c>
      <c r="X15" s="792">
        <v>0.1199623129442536</v>
      </c>
      <c r="Y15" s="792">
        <v>0.3940633772763545</v>
      </c>
      <c r="Z15" s="792">
        <v>0.3940633772763544</v>
      </c>
      <c r="AA15" s="794">
        <v>0.1059645664693134</v>
      </c>
    </row>
    <row r="16" ht="12.75" customHeight="1">
      <c r="A16" s="791" t="s">
        <v>1403</v>
      </c>
      <c r="B16" s="581">
        <v>994.0</v>
      </c>
      <c r="C16" s="792">
        <v>0.08317985294117648</v>
      </c>
      <c r="D16" s="792">
        <v>0.1014531411173584</v>
      </c>
      <c r="E16" s="792">
        <v>0.2209232108722554</v>
      </c>
      <c r="F16" s="792">
        <v>0.240598575019885</v>
      </c>
      <c r="G16" s="793">
        <v>0.9083303812347316</v>
      </c>
      <c r="H16" s="793">
        <v>0.9921459759086856</v>
      </c>
      <c r="I16" s="792">
        <v>0.09535781844365901</v>
      </c>
      <c r="J16" s="792">
        <v>0.39436765478505</v>
      </c>
      <c r="K16" s="792">
        <v>0.057772</v>
      </c>
      <c r="L16" s="792">
        <v>0.1708602159893155</v>
      </c>
      <c r="M16" s="792">
        <v>0.08643164082203345</v>
      </c>
      <c r="N16" s="793">
        <v>2.798120026864799</v>
      </c>
      <c r="O16" s="793">
        <v>2.038494152735544</v>
      </c>
      <c r="P16" s="793">
        <v>14.08667338014467</v>
      </c>
      <c r="Q16" s="793">
        <v>19.47730673518671</v>
      </c>
      <c r="R16" s="793">
        <v>4.312507113881225</v>
      </c>
      <c r="S16" s="793">
        <v>33.30317046429641</v>
      </c>
      <c r="T16" s="792">
        <v>0.1086695822781252</v>
      </c>
      <c r="U16" s="792">
        <v>0.02434992145368171</v>
      </c>
      <c r="V16" s="792">
        <v>0.0184769805890268</v>
      </c>
      <c r="W16" s="792">
        <v>0.3306833532753314</v>
      </c>
      <c r="X16" s="792">
        <v>0.1526748014600343</v>
      </c>
      <c r="Y16" s="792">
        <v>0.5010992675903158</v>
      </c>
      <c r="Z16" s="792">
        <v>0.5010992675903158</v>
      </c>
      <c r="AA16" s="794">
        <v>0.1017907093921405</v>
      </c>
    </row>
    <row r="17" ht="12.75" customHeight="1">
      <c r="A17" s="791" t="s">
        <v>947</v>
      </c>
      <c r="B17" s="581">
        <v>42.0</v>
      </c>
      <c r="C17" s="792">
        <v>0.04344324324324324</v>
      </c>
      <c r="D17" s="792">
        <v>0.1733696641675961</v>
      </c>
      <c r="E17" s="792">
        <v>0.1114996469460938</v>
      </c>
      <c r="F17" s="792">
        <v>0.1902468001305999</v>
      </c>
      <c r="G17" s="793">
        <v>0.5908296327587623</v>
      </c>
      <c r="H17" s="793">
        <v>1.096995264367076</v>
      </c>
      <c r="I17" s="792">
        <v>0.1012608333838664</v>
      </c>
      <c r="J17" s="792">
        <v>0.3902685527392315</v>
      </c>
      <c r="K17" s="792">
        <v>0.057772</v>
      </c>
      <c r="L17" s="792">
        <v>0.5539018621904962</v>
      </c>
      <c r="M17" s="792">
        <v>0.06905388292441811</v>
      </c>
      <c r="N17" s="793">
        <v>0.7289545858158519</v>
      </c>
      <c r="O17" s="793">
        <v>2.161055912071605</v>
      </c>
      <c r="P17" s="793">
        <v>6.577342258822858</v>
      </c>
      <c r="Q17" s="793">
        <v>12.47474740791351</v>
      </c>
      <c r="R17" s="793">
        <v>1.382253894334376</v>
      </c>
      <c r="S17" s="793">
        <v>69.65703724181841</v>
      </c>
      <c r="T17" s="792">
        <v>0.02563457440573476</v>
      </c>
      <c r="U17" s="792">
        <v>0.1253108803031226</v>
      </c>
      <c r="V17" s="792">
        <v>-0.00846223695224528</v>
      </c>
      <c r="W17" s="792">
        <v>-0.06103697963226201</v>
      </c>
      <c r="X17" s="792">
        <v>0.08117679258610265</v>
      </c>
      <c r="Y17" s="792">
        <v>0.427508090181722</v>
      </c>
      <c r="Z17" s="792">
        <v>0.427508090181722</v>
      </c>
      <c r="AA17" s="794">
        <v>0.1708042415923675</v>
      </c>
    </row>
    <row r="18" ht="12.75" customHeight="1">
      <c r="A18" s="791" t="s">
        <v>951</v>
      </c>
      <c r="B18" s="581">
        <v>909.0</v>
      </c>
      <c r="C18" s="792">
        <v>0.1022355144032922</v>
      </c>
      <c r="D18" s="792">
        <v>0.03683526617345578</v>
      </c>
      <c r="E18" s="792">
        <v>0.03150724849543016</v>
      </c>
      <c r="F18" s="792">
        <v>0.1952137018339548</v>
      </c>
      <c r="G18" s="793">
        <v>1.002147261333976</v>
      </c>
      <c r="H18" s="793">
        <v>1.256025755860968</v>
      </c>
      <c r="I18" s="792">
        <v>0.1102142500549725</v>
      </c>
      <c r="J18" s="792">
        <v>0.3769658576831276</v>
      </c>
      <c r="K18" s="792">
        <v>0.057772</v>
      </c>
      <c r="L18" s="792">
        <v>0.3354586303709491</v>
      </c>
      <c r="M18" s="792">
        <v>0.08770530925033596</v>
      </c>
      <c r="N18" s="793">
        <v>1.026596001628205</v>
      </c>
      <c r="O18" s="793">
        <v>1.430356040944339</v>
      </c>
      <c r="P18" s="793">
        <v>13.70731320537325</v>
      </c>
      <c r="Q18" s="793">
        <v>36.46457577473927</v>
      </c>
      <c r="R18" s="793">
        <v>1.447331671682962</v>
      </c>
      <c r="S18" s="793">
        <v>114.4192437230266</v>
      </c>
      <c r="T18" s="792">
        <v>0.1198485933607353</v>
      </c>
      <c r="U18" s="792">
        <v>0.08007167165324842</v>
      </c>
      <c r="V18" s="792">
        <v>0.04269507096280636</v>
      </c>
      <c r="W18" s="792">
        <v>1.387265232285311</v>
      </c>
      <c r="X18" s="792">
        <v>-0.005573782630959668</v>
      </c>
      <c r="Y18" s="792">
        <v>0.0257938561950232</v>
      </c>
      <c r="Z18" s="792">
        <v>0.02579385619502317</v>
      </c>
      <c r="AA18" s="794">
        <v>0.03770662879468786</v>
      </c>
    </row>
    <row r="19" ht="12.75" customHeight="1">
      <c r="A19" s="791" t="s">
        <v>953</v>
      </c>
      <c r="B19" s="581">
        <v>63.0</v>
      </c>
      <c r="C19" s="792">
        <v>0.08666413793103449</v>
      </c>
      <c r="D19" s="792">
        <v>0.06829306808360508</v>
      </c>
      <c r="E19" s="792">
        <v>0.06387008533010807</v>
      </c>
      <c r="F19" s="792">
        <v>0.2619878560483466</v>
      </c>
      <c r="G19" s="793">
        <v>0.9100571271749189</v>
      </c>
      <c r="H19" s="793">
        <v>1.169202539534707</v>
      </c>
      <c r="I19" s="792">
        <v>0.105326102975804</v>
      </c>
      <c r="J19" s="792">
        <v>0.2976335182440655</v>
      </c>
      <c r="K19" s="792">
        <v>0.054406</v>
      </c>
      <c r="L19" s="792">
        <v>0.3443446292047727</v>
      </c>
      <c r="M19" s="792">
        <v>0.08303911819198612</v>
      </c>
      <c r="N19" s="793">
        <v>1.211716408598134</v>
      </c>
      <c r="O19" s="793">
        <v>1.09533195940077</v>
      </c>
      <c r="P19" s="793">
        <v>8.654862706456012</v>
      </c>
      <c r="Q19" s="793">
        <v>16.0032352044593</v>
      </c>
      <c r="R19" s="793">
        <v>1.249065420355111</v>
      </c>
      <c r="S19" s="793">
        <v>25.31045837315828</v>
      </c>
      <c r="T19" s="792">
        <v>0.2094916906520285</v>
      </c>
      <c r="U19" s="792">
        <v>0.07144863379156786</v>
      </c>
      <c r="V19" s="792">
        <v>0.03765567387890058</v>
      </c>
      <c r="W19" s="792">
        <v>0.7879921497032947</v>
      </c>
      <c r="X19" s="792">
        <v>0.04612381373974563</v>
      </c>
      <c r="Y19" s="792">
        <v>0.9479579715987305</v>
      </c>
      <c r="Z19" s="792">
        <v>0.9479579715987305</v>
      </c>
      <c r="AA19" s="794">
        <v>0.07186235416761465</v>
      </c>
    </row>
    <row r="20" ht="12.75" customHeight="1">
      <c r="A20" s="791" t="s">
        <v>954</v>
      </c>
      <c r="B20" s="581">
        <v>952.0</v>
      </c>
      <c r="C20" s="792">
        <v>0.104829791086351</v>
      </c>
      <c r="D20" s="792">
        <v>0.1096589444553511</v>
      </c>
      <c r="E20" s="792">
        <v>0.09511963803857178</v>
      </c>
      <c r="F20" s="792">
        <v>0.2368584498762568</v>
      </c>
      <c r="G20" s="793">
        <v>1.042806876150528</v>
      </c>
      <c r="H20" s="793">
        <v>1.153626570549779</v>
      </c>
      <c r="I20" s="792">
        <v>0.1044491759219526</v>
      </c>
      <c r="J20" s="792">
        <v>0.3944561466212217</v>
      </c>
      <c r="K20" s="792">
        <v>0.057772</v>
      </c>
      <c r="L20" s="792">
        <v>0.1903826322183655</v>
      </c>
      <c r="M20" s="792">
        <v>0.09277226044219615</v>
      </c>
      <c r="N20" s="793">
        <v>1.086801036464634</v>
      </c>
      <c r="O20" s="793">
        <v>2.369147221270728</v>
      </c>
      <c r="P20" s="793">
        <v>13.10422120366732</v>
      </c>
      <c r="Q20" s="793">
        <v>21.13221706534345</v>
      </c>
      <c r="R20" s="793">
        <v>2.305932026419518</v>
      </c>
      <c r="S20" s="793">
        <v>71.55248185616203</v>
      </c>
      <c r="T20" s="792">
        <v>0.188851790471505</v>
      </c>
      <c r="U20" s="792">
        <v>0.08356948030847569</v>
      </c>
      <c r="V20" s="792">
        <v>0.04059743600865064</v>
      </c>
      <c r="W20" s="792">
        <v>0.5714053236357013</v>
      </c>
      <c r="X20" s="792">
        <v>0.07754989282786187</v>
      </c>
      <c r="Y20" s="792">
        <v>0.6322933133153792</v>
      </c>
      <c r="Z20" s="792">
        <v>0.6322933133153792</v>
      </c>
      <c r="AA20" s="794">
        <v>0.1114082506718834</v>
      </c>
    </row>
    <row r="21" ht="12.75" customHeight="1">
      <c r="A21" s="791" t="s">
        <v>1408</v>
      </c>
      <c r="B21" s="581">
        <v>212.0</v>
      </c>
      <c r="C21" s="792">
        <v>0.1417645794392523</v>
      </c>
      <c r="D21" s="792">
        <v>0.160380928991067</v>
      </c>
      <c r="E21" s="792">
        <v>0.1415339475997465</v>
      </c>
      <c r="F21" s="792">
        <v>0.2253369140725343</v>
      </c>
      <c r="G21" s="793">
        <v>1.133004876354471</v>
      </c>
      <c r="H21" s="793">
        <v>1.142939745797756</v>
      </c>
      <c r="I21" s="792">
        <v>0.1038475076884137</v>
      </c>
      <c r="J21" s="792">
        <v>0.5863203643675186</v>
      </c>
      <c r="K21" s="792">
        <v>0.060013</v>
      </c>
      <c r="L21" s="792">
        <v>0.1659934006150313</v>
      </c>
      <c r="M21" s="792">
        <v>0.09404396968593158</v>
      </c>
      <c r="N21" s="793">
        <v>1.018141877124254</v>
      </c>
      <c r="O21" s="793">
        <v>2.138494087796913</v>
      </c>
      <c r="P21" s="793">
        <v>7.963502495488167</v>
      </c>
      <c r="Q21" s="793">
        <v>12.44827555769511</v>
      </c>
      <c r="R21" s="793">
        <v>1.702759118798788</v>
      </c>
      <c r="S21" s="793">
        <v>55.83822331560874</v>
      </c>
      <c r="T21" s="792">
        <v>-0.03182386355455838</v>
      </c>
      <c r="U21" s="792">
        <v>0.1531792993778489</v>
      </c>
      <c r="V21" s="792">
        <v>0.07980645606284488</v>
      </c>
      <c r="W21" s="792">
        <v>0.8101914176507035</v>
      </c>
      <c r="X21" s="792">
        <v>0.1064305784503838</v>
      </c>
      <c r="Y21" s="792">
        <v>0.1457356470815472</v>
      </c>
      <c r="Z21" s="792">
        <v>0.1457356470815472</v>
      </c>
      <c r="AA21" s="794">
        <v>0.1600560850651751</v>
      </c>
    </row>
    <row r="22" ht="12.75" customHeight="1">
      <c r="A22" s="791" t="s">
        <v>1410</v>
      </c>
      <c r="B22" s="581">
        <v>1225.0</v>
      </c>
      <c r="C22" s="792">
        <v>0.1362441606714628</v>
      </c>
      <c r="D22" s="792">
        <v>0.07559715564708971</v>
      </c>
      <c r="E22" s="792">
        <v>0.2095530575895281</v>
      </c>
      <c r="F22" s="792">
        <v>0.241104512501915</v>
      </c>
      <c r="G22" s="793">
        <v>1.071576962077093</v>
      </c>
      <c r="H22" s="793">
        <v>1.116690482307339</v>
      </c>
      <c r="I22" s="792">
        <v>0.1023696741539032</v>
      </c>
      <c r="J22" s="792">
        <v>0.4251425025648063</v>
      </c>
      <c r="K22" s="792">
        <v>0.057772</v>
      </c>
      <c r="L22" s="792">
        <v>0.1305361924568258</v>
      </c>
      <c r="M22" s="792">
        <v>0.09463482640319927</v>
      </c>
      <c r="N22" s="793">
        <v>3.754696569367509</v>
      </c>
      <c r="O22" s="793">
        <v>1.462691531651747</v>
      </c>
      <c r="P22" s="793">
        <v>14.62189410503168</v>
      </c>
      <c r="Q22" s="793">
        <v>18.50678978918463</v>
      </c>
      <c r="R22" s="793">
        <v>3.988447812965845</v>
      </c>
      <c r="S22" s="793">
        <v>57.1524916632356</v>
      </c>
      <c r="T22" s="792">
        <v>0.2986624035760102</v>
      </c>
      <c r="U22" s="792">
        <v>0.01127500409349758</v>
      </c>
      <c r="V22" s="792">
        <v>0.01295621319281684</v>
      </c>
      <c r="W22" s="792">
        <v>0.3204695946130923</v>
      </c>
      <c r="X22" s="792">
        <v>0.1712249184908235</v>
      </c>
      <c r="Y22" s="792">
        <v>0.5308893627711585</v>
      </c>
      <c r="Z22" s="792">
        <v>0.5308893627711585</v>
      </c>
      <c r="AA22" s="794">
        <v>0.07699690554423458</v>
      </c>
    </row>
    <row r="23" ht="12.75" customHeight="1">
      <c r="A23" s="791" t="s">
        <v>1412</v>
      </c>
      <c r="B23" s="581">
        <v>343.0</v>
      </c>
      <c r="C23" s="792">
        <v>0.03269141263940521</v>
      </c>
      <c r="D23" s="792">
        <v>0.1261161260895933</v>
      </c>
      <c r="E23" s="792">
        <v>0.1991018502577356</v>
      </c>
      <c r="F23" s="792">
        <v>0.1521153393536447</v>
      </c>
      <c r="G23" s="793">
        <v>1.468198255805328</v>
      </c>
      <c r="H23" s="793">
        <v>1.486104698951083</v>
      </c>
      <c r="I23" s="792">
        <v>0.123167694550946</v>
      </c>
      <c r="J23" s="792">
        <v>0.4355863705546168</v>
      </c>
      <c r="K23" s="792">
        <v>0.057772</v>
      </c>
      <c r="L23" s="792">
        <v>0.0582940538462114</v>
      </c>
      <c r="M23" s="792">
        <v>0.1185011126646903</v>
      </c>
      <c r="N23" s="793">
        <v>2.483535697457855</v>
      </c>
      <c r="O23" s="793">
        <v>3.401964501723067</v>
      </c>
      <c r="P23" s="793">
        <v>20.17631396252562</v>
      </c>
      <c r="Q23" s="793">
        <v>26.72844191888277</v>
      </c>
      <c r="R23" s="793">
        <v>8.108983243361163</v>
      </c>
      <c r="S23" s="793">
        <v>72.09569105131055</v>
      </c>
      <c r="T23" s="792">
        <v>0.0468501235687087</v>
      </c>
      <c r="U23" s="792">
        <v>0.04658691068189368</v>
      </c>
      <c r="V23" s="792">
        <v>0.04470095057015005</v>
      </c>
      <c r="W23" s="792">
        <v>0.5636063210472699</v>
      </c>
      <c r="X23" s="792">
        <v>0.277039452958027</v>
      </c>
      <c r="Y23" s="792">
        <v>0.2278229782793236</v>
      </c>
      <c r="Z23" s="792">
        <v>0.2278229782793236</v>
      </c>
      <c r="AA23" s="794">
        <v>0.1308945366117925</v>
      </c>
    </row>
    <row r="24" ht="12.75" customHeight="1">
      <c r="A24" s="791" t="s">
        <v>1413</v>
      </c>
      <c r="B24" s="581">
        <v>804.0</v>
      </c>
      <c r="C24" s="792">
        <v>0.1072884663536776</v>
      </c>
      <c r="D24" s="792">
        <v>0.09709673046607357</v>
      </c>
      <c r="E24" s="792">
        <v>0.09292383137761633</v>
      </c>
      <c r="F24" s="792">
        <v>0.2179975327781559</v>
      </c>
      <c r="G24" s="793">
        <v>0.916676263756567</v>
      </c>
      <c r="H24" s="793">
        <v>1.034395575517056</v>
      </c>
      <c r="I24" s="792">
        <v>0.09773647090161025</v>
      </c>
      <c r="J24" s="792">
        <v>0.3731687162179469</v>
      </c>
      <c r="K24" s="792">
        <v>0.057772</v>
      </c>
      <c r="L24" s="792">
        <v>0.232374586691848</v>
      </c>
      <c r="M24" s="792">
        <v>0.08504388578279709</v>
      </c>
      <c r="N24" s="793">
        <v>1.225762869525703</v>
      </c>
      <c r="O24" s="793">
        <v>1.801143397732801</v>
      </c>
      <c r="P24" s="793">
        <v>12.30950884697506</v>
      </c>
      <c r="Q24" s="793">
        <v>18.06629251210746</v>
      </c>
      <c r="R24" s="793">
        <v>2.085552014437456</v>
      </c>
      <c r="S24" s="793">
        <v>113.953724234675</v>
      </c>
      <c r="T24" s="792">
        <v>0.1741098942728497</v>
      </c>
      <c r="U24" s="792">
        <v>0.05039692998533842</v>
      </c>
      <c r="V24" s="792">
        <v>0.03258718214841953</v>
      </c>
      <c r="W24" s="792">
        <v>0.5030362245690382</v>
      </c>
      <c r="X24" s="792">
        <v>0.1231367968469118</v>
      </c>
      <c r="Y24" s="792">
        <v>0.3808241185270089</v>
      </c>
      <c r="Z24" s="792">
        <v>0.3808241185270089</v>
      </c>
      <c r="AA24" s="794">
        <v>0.09875558744803167</v>
      </c>
    </row>
    <row r="25" ht="12.75" customHeight="1">
      <c r="A25" s="791" t="s">
        <v>1415</v>
      </c>
      <c r="B25" s="581">
        <v>329.0</v>
      </c>
      <c r="C25" s="792">
        <v>0.1528802214022139</v>
      </c>
      <c r="D25" s="792">
        <v>0.1511301914180594</v>
      </c>
      <c r="E25" s="792">
        <v>0.08984867749422655</v>
      </c>
      <c r="F25" s="792">
        <v>0.1866219483750491</v>
      </c>
      <c r="G25" s="793">
        <v>0.6525743978395595</v>
      </c>
      <c r="H25" s="793">
        <v>0.7973881744550738</v>
      </c>
      <c r="I25" s="792">
        <v>0.08439295422182067</v>
      </c>
      <c r="J25" s="792">
        <v>0.3001957538334818</v>
      </c>
      <c r="K25" s="792">
        <v>0.057772</v>
      </c>
      <c r="L25" s="792">
        <v>0.3266130503117056</v>
      </c>
      <c r="M25" s="792">
        <v>0.07091111524574394</v>
      </c>
      <c r="N25" s="793">
        <v>0.713018226876631</v>
      </c>
      <c r="O25" s="793">
        <v>2.142610860245727</v>
      </c>
      <c r="P25" s="793">
        <v>10.93598617969207</v>
      </c>
      <c r="Q25" s="793">
        <v>13.87796565041826</v>
      </c>
      <c r="R25" s="793">
        <v>1.219083164468916</v>
      </c>
      <c r="S25" s="793">
        <v>30.90374249724573</v>
      </c>
      <c r="T25" s="792">
        <v>0.06047307870750648</v>
      </c>
      <c r="U25" s="792">
        <v>0.05049747468338432</v>
      </c>
      <c r="V25" s="792">
        <v>0.04118970458666176</v>
      </c>
      <c r="W25" s="792">
        <v>0.3940937534268104</v>
      </c>
      <c r="X25" s="792">
        <v>0.08940598086230321</v>
      </c>
      <c r="Y25" s="792">
        <v>0.2275537926825434</v>
      </c>
      <c r="Z25" s="792">
        <v>0.2275537926825434</v>
      </c>
      <c r="AA25" s="794">
        <v>0.1514242703353955</v>
      </c>
    </row>
    <row r="26" ht="12.75" customHeight="1">
      <c r="A26" s="791" t="s">
        <v>1417</v>
      </c>
      <c r="B26" s="581">
        <v>1193.0</v>
      </c>
      <c r="C26" s="792">
        <v>0.2746880244399182</v>
      </c>
      <c r="D26" s="792">
        <v>0.0747631386588691</v>
      </c>
      <c r="E26" s="792">
        <v>0.02994251473785985</v>
      </c>
      <c r="F26" s="792">
        <v>0.1514735874010796</v>
      </c>
      <c r="G26" s="793">
        <v>1.180809226110082</v>
      </c>
      <c r="H26" s="793">
        <v>1.23079009870406</v>
      </c>
      <c r="I26" s="792">
        <v>0.1087934825570386</v>
      </c>
      <c r="J26" s="792">
        <v>0.6551156857132975</v>
      </c>
      <c r="K26" s="792">
        <v>0.067295</v>
      </c>
      <c r="L26" s="792">
        <v>0.1099234313818439</v>
      </c>
      <c r="M26" s="792">
        <v>0.1023551326284541</v>
      </c>
      <c r="N26" s="793">
        <v>0.7137106650893518</v>
      </c>
      <c r="O26" s="793">
        <v>7.941242537185091</v>
      </c>
      <c r="P26" s="793">
        <v>16.7139255842355</v>
      </c>
      <c r="Q26" s="793">
        <v>77.6872538057531</v>
      </c>
      <c r="R26" s="793">
        <v>6.16991008259856</v>
      </c>
      <c r="S26" s="793">
        <v>161.4363708559394</v>
      </c>
      <c r="T26" s="792">
        <v>0.2061185652369878</v>
      </c>
      <c r="U26" s="792">
        <v>0.04125881247911806</v>
      </c>
      <c r="V26" s="792">
        <v>-0.008775711371815296</v>
      </c>
      <c r="W26" s="792">
        <v>0.2884013354227785</v>
      </c>
      <c r="X26" s="792">
        <v>-0.03240908101582884</v>
      </c>
      <c r="Y26" s="792">
        <v>0.003082840460578802</v>
      </c>
      <c r="Z26" s="792">
        <v>0.003082840460578828</v>
      </c>
      <c r="AA26" s="794">
        <v>0.07711814341614401</v>
      </c>
    </row>
    <row r="27" ht="12.75" customHeight="1">
      <c r="A27" s="791" t="s">
        <v>1418</v>
      </c>
      <c r="B27" s="581">
        <v>1260.0</v>
      </c>
      <c r="C27" s="792">
        <v>0.1405023452380951</v>
      </c>
      <c r="D27" s="792">
        <v>0.2307005981619253</v>
      </c>
      <c r="E27" s="792">
        <v>0.1473728320717214</v>
      </c>
      <c r="F27" s="792">
        <v>0.1785869778712996</v>
      </c>
      <c r="G27" s="793">
        <v>0.9987543035477139</v>
      </c>
      <c r="H27" s="793">
        <v>1.062590304522225</v>
      </c>
      <c r="I27" s="792">
        <v>0.09932383414460129</v>
      </c>
      <c r="J27" s="792">
        <v>0.4748578941902974</v>
      </c>
      <c r="K27" s="792">
        <v>0.060013</v>
      </c>
      <c r="L27" s="792">
        <v>0.129978872744778</v>
      </c>
      <c r="M27" s="792">
        <v>0.09223528915158788</v>
      </c>
      <c r="N27" s="793">
        <v>1.069789855397048</v>
      </c>
      <c r="O27" s="793">
        <v>4.396216010054473</v>
      </c>
      <c r="P27" s="793">
        <v>13.84795033944487</v>
      </c>
      <c r="Q27" s="793">
        <v>18.25249834262768</v>
      </c>
      <c r="R27" s="793">
        <v>4.168315605852477</v>
      </c>
      <c r="S27" s="793">
        <v>87.1395900402255</v>
      </c>
      <c r="T27" s="792">
        <v>0.1854197434266482</v>
      </c>
      <c r="U27" s="792">
        <v>0.05516960512930716</v>
      </c>
      <c r="V27" s="792">
        <v>0.04100221692426161</v>
      </c>
      <c r="W27" s="792">
        <v>0.2739738186617197</v>
      </c>
      <c r="X27" s="792">
        <v>0.1676965576538432</v>
      </c>
      <c r="Y27" s="792">
        <v>0.5762128480991967</v>
      </c>
      <c r="Z27" s="792">
        <v>0.5762128480991967</v>
      </c>
      <c r="AA27" s="794">
        <v>0.232777170289741</v>
      </c>
    </row>
    <row r="28" ht="12.75" customHeight="1">
      <c r="A28" s="791" t="s">
        <v>1419</v>
      </c>
      <c r="B28" s="581">
        <v>281.0</v>
      </c>
      <c r="C28" s="792">
        <v>0.1620242780748663</v>
      </c>
      <c r="D28" s="792">
        <v>0.1592522447774741</v>
      </c>
      <c r="E28" s="792">
        <v>0.1436168305911461</v>
      </c>
      <c r="F28" s="792">
        <v>0.2182083391157739</v>
      </c>
      <c r="G28" s="793">
        <v>0.7445772281882472</v>
      </c>
      <c r="H28" s="793">
        <v>0.8117409279101255</v>
      </c>
      <c r="I28" s="792">
        <v>0.08520101424134008</v>
      </c>
      <c r="J28" s="792">
        <v>0.4191251235753797</v>
      </c>
      <c r="K28" s="792">
        <v>0.057772</v>
      </c>
      <c r="L28" s="792">
        <v>0.2224420101713282</v>
      </c>
      <c r="M28" s="792">
        <v>0.07583937082027092</v>
      </c>
      <c r="N28" s="793">
        <v>1.158577029914721</v>
      </c>
      <c r="O28" s="793">
        <v>2.059812675436004</v>
      </c>
      <c r="P28" s="793">
        <v>8.96222721383151</v>
      </c>
      <c r="Q28" s="793">
        <v>12.6386234104291</v>
      </c>
      <c r="R28" s="793">
        <v>1.875245666387401</v>
      </c>
      <c r="S28" s="793">
        <v>43.56981844578971</v>
      </c>
      <c r="T28" s="792">
        <v>0.05962165675968654</v>
      </c>
      <c r="U28" s="792">
        <v>0.04803119911203096</v>
      </c>
      <c r="V28" s="792">
        <v>0.01716441311420942</v>
      </c>
      <c r="W28" s="792">
        <v>0.2682088254248861</v>
      </c>
      <c r="X28" s="792">
        <v>0.1231223784745393</v>
      </c>
      <c r="Y28" s="792">
        <v>0.291698943380429</v>
      </c>
      <c r="Z28" s="792">
        <v>0.2916989433804289</v>
      </c>
      <c r="AA28" s="794">
        <v>0.158969011417232</v>
      </c>
    </row>
    <row r="29" ht="12.75" customHeight="1">
      <c r="A29" s="791" t="s">
        <v>970</v>
      </c>
      <c r="B29" s="581">
        <v>1158.0</v>
      </c>
      <c r="C29" s="792">
        <v>0.1226251446540881</v>
      </c>
      <c r="D29" s="792">
        <v>0.08346886353166785</v>
      </c>
      <c r="E29" s="792">
        <v>0.1144961316091309</v>
      </c>
      <c r="F29" s="792">
        <v>0.2082826655740018</v>
      </c>
      <c r="G29" s="793">
        <v>1.340641028310137</v>
      </c>
      <c r="H29" s="793">
        <v>1.37347459397753</v>
      </c>
      <c r="I29" s="792">
        <v>0.116826619640935</v>
      </c>
      <c r="J29" s="792">
        <v>0.4675953653347252</v>
      </c>
      <c r="K29" s="792">
        <v>0.060013</v>
      </c>
      <c r="L29" s="792">
        <v>0.1207865686939959</v>
      </c>
      <c r="M29" s="792">
        <v>0.1081252859545784</v>
      </c>
      <c r="N29" s="793">
        <v>1.76125580909048</v>
      </c>
      <c r="O29" s="793">
        <v>2.773452136969885</v>
      </c>
      <c r="P29" s="793">
        <v>20.85572741582318</v>
      </c>
      <c r="Q29" s="793">
        <v>31.70450980225604</v>
      </c>
      <c r="R29" s="793">
        <v>4.043956201786439</v>
      </c>
      <c r="S29" s="793">
        <v>68.10792996666788</v>
      </c>
      <c r="T29" s="792">
        <v>0.2234405368112239</v>
      </c>
      <c r="U29" s="792">
        <v>0.06486886789391699</v>
      </c>
      <c r="V29" s="792">
        <v>0.05029910515200876</v>
      </c>
      <c r="W29" s="792">
        <v>0.9335745564419485</v>
      </c>
      <c r="X29" s="792">
        <v>0.0961873341842435</v>
      </c>
      <c r="Y29" s="792">
        <v>0.5434065940764218</v>
      </c>
      <c r="Z29" s="792">
        <v>0.5434065940764218</v>
      </c>
      <c r="AA29" s="794">
        <v>0.08672941850100438</v>
      </c>
    </row>
    <row r="30" ht="12.75" customHeight="1">
      <c r="A30" s="791" t="s">
        <v>1421</v>
      </c>
      <c r="B30" s="581">
        <v>122.0</v>
      </c>
      <c r="C30" s="792">
        <v>0.0487872</v>
      </c>
      <c r="D30" s="792">
        <v>0.06024299069552206</v>
      </c>
      <c r="E30" s="792">
        <v>0.08067930496038599</v>
      </c>
      <c r="F30" s="792">
        <v>0.2022039970998216</v>
      </c>
      <c r="G30" s="793">
        <v>1.192587261247057</v>
      </c>
      <c r="H30" s="793">
        <v>1.197057726576267</v>
      </c>
      <c r="I30" s="792">
        <v>0.1068943500062438</v>
      </c>
      <c r="J30" s="792">
        <v>0.4363352385632949</v>
      </c>
      <c r="K30" s="792">
        <v>0.057772</v>
      </c>
      <c r="L30" s="792">
        <v>0.1404077849602574</v>
      </c>
      <c r="M30" s="792">
        <v>0.09793926694899856</v>
      </c>
      <c r="N30" s="793">
        <v>1.905898248521927</v>
      </c>
      <c r="O30" s="793">
        <v>1.039260705734136</v>
      </c>
      <c r="P30" s="793">
        <v>10.74168895955012</v>
      </c>
      <c r="Q30" s="793">
        <v>16.90140412881469</v>
      </c>
      <c r="R30" s="793">
        <v>2.039730177567915</v>
      </c>
      <c r="S30" s="793">
        <v>41.30178588943661</v>
      </c>
      <c r="T30" s="792">
        <v>0.05190685604887678</v>
      </c>
      <c r="U30" s="792">
        <v>0.03874597962615006</v>
      </c>
      <c r="V30" s="792">
        <v>0.02625063410691698</v>
      </c>
      <c r="W30" s="792">
        <v>0.5365526675160485</v>
      </c>
      <c r="X30" s="792">
        <v>0.09603486037823634</v>
      </c>
      <c r="Y30" s="792">
        <v>0.2603029591110594</v>
      </c>
      <c r="Z30" s="792">
        <v>0.2603029591110595</v>
      </c>
      <c r="AA30" s="794">
        <v>0.06240396146647516</v>
      </c>
    </row>
    <row r="31" ht="12.75" customHeight="1">
      <c r="A31" s="791" t="s">
        <v>1422</v>
      </c>
      <c r="B31" s="581">
        <v>1481.0</v>
      </c>
      <c r="C31" s="792">
        <v>0.06761983578219538</v>
      </c>
      <c r="D31" s="792">
        <v>0.06285178727031872</v>
      </c>
      <c r="E31" s="792">
        <v>0.08238339577137488</v>
      </c>
      <c r="F31" s="792">
        <v>0.2069309978310537</v>
      </c>
      <c r="G31" s="793">
        <v>1.568504800835242</v>
      </c>
      <c r="H31" s="793">
        <v>1.598188009962662</v>
      </c>
      <c r="I31" s="792">
        <v>0.1294779849608979</v>
      </c>
      <c r="J31" s="792">
        <v>0.4437466205926912</v>
      </c>
      <c r="K31" s="792">
        <v>0.057772</v>
      </c>
      <c r="L31" s="792">
        <v>0.1241014389380188</v>
      </c>
      <c r="M31" s="792">
        <v>0.1187602444873785</v>
      </c>
      <c r="N31" s="793">
        <v>1.696701573690425</v>
      </c>
      <c r="O31" s="793">
        <v>2.228538017319137</v>
      </c>
      <c r="P31" s="793">
        <v>18.73319590271263</v>
      </c>
      <c r="Q31" s="793">
        <v>33.64228784866712</v>
      </c>
      <c r="R31" s="793">
        <v>3.321911464681992</v>
      </c>
      <c r="S31" s="793">
        <v>71.38356122051283</v>
      </c>
      <c r="T31" s="792">
        <v>0.1842233323915506</v>
      </c>
      <c r="U31" s="792">
        <v>0.0558990803782144</v>
      </c>
      <c r="V31" s="792">
        <v>0.03578329643912726</v>
      </c>
      <c r="W31" s="792">
        <v>1.076818856510423</v>
      </c>
      <c r="X31" s="792">
        <v>0.08833256233995526</v>
      </c>
      <c r="Y31" s="792">
        <v>0.473841378453791</v>
      </c>
      <c r="Z31" s="792">
        <v>0.473841378453791</v>
      </c>
      <c r="AA31" s="794">
        <v>0.06619619065040791</v>
      </c>
    </row>
    <row r="32" ht="12.75" customHeight="1">
      <c r="A32" s="791" t="s">
        <v>1423</v>
      </c>
      <c r="B32" s="581">
        <v>1390.0</v>
      </c>
      <c r="C32" s="792">
        <v>0.1039016103379722</v>
      </c>
      <c r="D32" s="792">
        <v>0.05103313747408488</v>
      </c>
      <c r="E32" s="792">
        <v>0.07191370425530605</v>
      </c>
      <c r="F32" s="792">
        <v>0.2349389993321367</v>
      </c>
      <c r="G32" s="793">
        <v>0.7593173946857013</v>
      </c>
      <c r="H32" s="793">
        <v>1.001049199678247</v>
      </c>
      <c r="I32" s="792">
        <v>0.09585906994188534</v>
      </c>
      <c r="J32" s="792">
        <v>0.4013334266150131</v>
      </c>
      <c r="K32" s="792">
        <v>0.057772</v>
      </c>
      <c r="L32" s="792">
        <v>0.4335942318966762</v>
      </c>
      <c r="M32" s="792">
        <v>0.07298965107188389</v>
      </c>
      <c r="N32" s="793">
        <v>1.8622198609708</v>
      </c>
      <c r="O32" s="793">
        <v>0.8331417163904553</v>
      </c>
      <c r="P32" s="793">
        <v>11.25676178665598</v>
      </c>
      <c r="Q32" s="793">
        <v>15.73247701220291</v>
      </c>
      <c r="R32" s="793">
        <v>1.338797269929496</v>
      </c>
      <c r="S32" s="793">
        <v>54.77523881408556</v>
      </c>
      <c r="T32" s="792">
        <v>0.166742074480186</v>
      </c>
      <c r="U32" s="792">
        <v>0.03097633607529609</v>
      </c>
      <c r="V32" s="792">
        <v>0.02030391472809753</v>
      </c>
      <c r="W32" s="792">
        <v>1.334058187202646</v>
      </c>
      <c r="X32" s="792">
        <v>0.1038389635201734</v>
      </c>
      <c r="Y32" s="792">
        <v>0.5712975406127115</v>
      </c>
      <c r="Z32" s="792">
        <v>0.5712975406127115</v>
      </c>
      <c r="AA32" s="794">
        <v>0.05075448795180893</v>
      </c>
    </row>
    <row r="33" ht="12.75" customHeight="1">
      <c r="A33" s="791" t="s">
        <v>972</v>
      </c>
      <c r="B33" s="581">
        <v>733.0</v>
      </c>
      <c r="C33" s="792">
        <v>0.09896481707317072</v>
      </c>
      <c r="D33" s="792">
        <v>0.1164367044875581</v>
      </c>
      <c r="E33" s="792">
        <v>0.1104082332093956</v>
      </c>
      <c r="F33" s="792">
        <v>0.1688580418309515</v>
      </c>
      <c r="G33" s="793">
        <v>0.9820773204991382</v>
      </c>
      <c r="H33" s="793">
        <v>1.01273062606517</v>
      </c>
      <c r="I33" s="792">
        <v>0.09651673424746908</v>
      </c>
      <c r="J33" s="792">
        <v>0.4754234283025113</v>
      </c>
      <c r="K33" s="792">
        <v>0.060013</v>
      </c>
      <c r="L33" s="792">
        <v>0.1129496356378006</v>
      </c>
      <c r="M33" s="792">
        <v>0.09067395889192645</v>
      </c>
      <c r="N33" s="793">
        <v>1.203186003702762</v>
      </c>
      <c r="O33" s="793">
        <v>4.086008084246441</v>
      </c>
      <c r="P33" s="793">
        <v>18.6510960197796</v>
      </c>
      <c r="Q33" s="793">
        <v>32.79646400983268</v>
      </c>
      <c r="R33" s="793">
        <v>3.879756392862385</v>
      </c>
      <c r="S33" s="793">
        <v>120.3947657867325</v>
      </c>
      <c r="T33" s="792">
        <v>0.02658281946959752</v>
      </c>
      <c r="U33" s="792">
        <v>0.04018002931143158</v>
      </c>
      <c r="V33" s="792">
        <v>-0.00351896915787122</v>
      </c>
      <c r="W33" s="792">
        <v>-0.05099055506765343</v>
      </c>
      <c r="X33" s="792">
        <v>0.05676629033718954</v>
      </c>
      <c r="Y33" s="792">
        <v>0.4972811127041215</v>
      </c>
      <c r="Z33" s="792">
        <v>0.4972811127041215</v>
      </c>
      <c r="AA33" s="794">
        <v>0.1165323567036004</v>
      </c>
    </row>
    <row r="34" ht="12.75" customHeight="1">
      <c r="A34" s="791" t="s">
        <v>1424</v>
      </c>
      <c r="B34" s="581">
        <v>397.0</v>
      </c>
      <c r="C34" s="792">
        <v>0.1231948739495799</v>
      </c>
      <c r="D34" s="792">
        <v>0.112732930985851</v>
      </c>
      <c r="E34" s="792">
        <v>0.104107262845173</v>
      </c>
      <c r="F34" s="792">
        <v>0.218857991266837</v>
      </c>
      <c r="G34" s="793">
        <v>0.9079972563351502</v>
      </c>
      <c r="H34" s="793">
        <v>1.101814896754947</v>
      </c>
      <c r="I34" s="792">
        <v>0.1015321786873035</v>
      </c>
      <c r="J34" s="792">
        <v>0.4397794475099763</v>
      </c>
      <c r="K34" s="792">
        <v>0.057772</v>
      </c>
      <c r="L34" s="792">
        <v>0.2630741066727338</v>
      </c>
      <c r="M34" s="792">
        <v>0.08616419567465208</v>
      </c>
      <c r="N34" s="793">
        <v>1.038750185764989</v>
      </c>
      <c r="O34" s="793">
        <v>2.939585935446154</v>
      </c>
      <c r="P34" s="793">
        <v>14.73594195663689</v>
      </c>
      <c r="Q34" s="793">
        <v>24.95585645173527</v>
      </c>
      <c r="R34" s="793">
        <v>3.230666262138519</v>
      </c>
      <c r="S34" s="793">
        <v>63.54047071947007</v>
      </c>
      <c r="T34" s="792">
        <v>0.1551603150452389</v>
      </c>
      <c r="U34" s="792">
        <v>0.08183814517197917</v>
      </c>
      <c r="V34" s="792">
        <v>0.08245893421818988</v>
      </c>
      <c r="W34" s="792">
        <v>1.164495900253167</v>
      </c>
      <c r="X34" s="792">
        <v>0.1015359987074659</v>
      </c>
      <c r="Y34" s="792">
        <v>0.4899190246652455</v>
      </c>
      <c r="Z34" s="792">
        <v>0.4899190246652455</v>
      </c>
      <c r="AA34" s="794">
        <v>0.1195259985384849</v>
      </c>
    </row>
    <row r="35" ht="12.75" customHeight="1">
      <c r="A35" s="791" t="s">
        <v>1425</v>
      </c>
      <c r="B35" s="581">
        <v>428.0</v>
      </c>
      <c r="C35" s="792">
        <v>0.1478062812500001</v>
      </c>
      <c r="D35" s="792">
        <v>0.06390944254858887</v>
      </c>
      <c r="E35" s="792">
        <v>0.06778885085649826</v>
      </c>
      <c r="F35" s="792">
        <v>0.2287472850503595</v>
      </c>
      <c r="G35" s="793">
        <v>0.4926714956404097</v>
      </c>
      <c r="H35" s="793">
        <v>0.6698983445718822</v>
      </c>
      <c r="I35" s="792">
        <v>0.07721527679939696</v>
      </c>
      <c r="J35" s="792">
        <v>0.3616680806301981</v>
      </c>
      <c r="K35" s="792">
        <v>0.057772</v>
      </c>
      <c r="L35" s="792">
        <v>0.3712300016556256</v>
      </c>
      <c r="M35" s="792">
        <v>0.06455632141832794</v>
      </c>
      <c r="N35" s="793">
        <v>1.297762187662093</v>
      </c>
      <c r="O35" s="793">
        <v>1.22078861958216</v>
      </c>
      <c r="P35" s="793">
        <v>12.90828233399416</v>
      </c>
      <c r="Q35" s="793">
        <v>18.57862663464822</v>
      </c>
      <c r="R35" s="793">
        <v>1.696640134676846</v>
      </c>
      <c r="S35" s="793">
        <v>48.07524004908791</v>
      </c>
      <c r="T35" s="792">
        <v>0.1853682224326317</v>
      </c>
      <c r="U35" s="792">
        <v>0.04075008846231119</v>
      </c>
      <c r="V35" s="792">
        <v>0.02736664559949343</v>
      </c>
      <c r="W35" s="792">
        <v>0.4068070075467013</v>
      </c>
      <c r="X35" s="792">
        <v>0.09833823007303287</v>
      </c>
      <c r="Y35" s="792">
        <v>0.444720779029448</v>
      </c>
      <c r="Z35" s="792">
        <v>0.4447207790294481</v>
      </c>
      <c r="AA35" s="794">
        <v>0.06495277549415406</v>
      </c>
    </row>
    <row r="36" ht="12.75" customHeight="1">
      <c r="A36" s="791" t="s">
        <v>1426</v>
      </c>
      <c r="B36" s="581">
        <v>1138.0</v>
      </c>
      <c r="C36" s="792">
        <v>0.1702458536585366</v>
      </c>
      <c r="D36" s="792">
        <v>0.1412558564710877</v>
      </c>
      <c r="E36" s="792" t="s">
        <v>1385</v>
      </c>
      <c r="F36" s="792">
        <v>0.1740499833727564</v>
      </c>
      <c r="G36" s="793">
        <v>0.2951148309916098</v>
      </c>
      <c r="H36" s="793">
        <v>0.8234879512698963</v>
      </c>
      <c r="I36" s="792">
        <v>0.08586237165649516</v>
      </c>
      <c r="J36" s="792">
        <v>0.4134446924749124</v>
      </c>
      <c r="K36" s="792">
        <v>0.057772</v>
      </c>
      <c r="L36" s="792">
        <v>0.7258880715059758</v>
      </c>
      <c r="M36" s="792">
        <v>0.05483274130914689</v>
      </c>
      <c r="N36" s="793">
        <v>0.09370829733743893</v>
      </c>
      <c r="O36" s="793">
        <v>13.71545649795927</v>
      </c>
      <c r="P36" s="793">
        <v>43.42140928005367</v>
      </c>
      <c r="Q36" s="793">
        <v>52.9149409569078</v>
      </c>
      <c r="R36" s="793">
        <v>2.378345302376829</v>
      </c>
      <c r="S36" s="793">
        <v>36.77969598617779</v>
      </c>
      <c r="T36" s="792" t="s">
        <v>1385</v>
      </c>
      <c r="U36" s="792">
        <v>0.03771431394118194</v>
      </c>
      <c r="V36" s="792">
        <v>0.01629781321843973</v>
      </c>
      <c r="W36" s="792">
        <v>0.1759084635186398</v>
      </c>
      <c r="X36" s="792">
        <v>0.1882546752702215</v>
      </c>
      <c r="Y36" s="792">
        <v>0.255992962917768</v>
      </c>
      <c r="Z36" s="792">
        <v>0.255992962917768</v>
      </c>
      <c r="AA36" s="794">
        <v>0.142886225713768</v>
      </c>
    </row>
    <row r="37" ht="12.75" customHeight="1">
      <c r="A37" s="791" t="s">
        <v>975</v>
      </c>
      <c r="B37" s="581">
        <v>1450.0</v>
      </c>
      <c r="C37" s="792">
        <v>0.09651845656192226</v>
      </c>
      <c r="D37" s="792">
        <v>0.08535824839322913</v>
      </c>
      <c r="E37" s="792">
        <v>0.1197351007742026</v>
      </c>
      <c r="F37" s="792">
        <v>0.2251731326547388</v>
      </c>
      <c r="G37" s="793">
        <v>0.5602253462264254</v>
      </c>
      <c r="H37" s="793">
        <v>0.6737244514596056</v>
      </c>
      <c r="I37" s="792">
        <v>0.0774306866171758</v>
      </c>
      <c r="J37" s="792">
        <v>0.3390480091894392</v>
      </c>
      <c r="K37" s="792">
        <v>0.057772</v>
      </c>
      <c r="L37" s="792">
        <v>0.2706192052933248</v>
      </c>
      <c r="M37" s="792">
        <v>0.06814426869857931</v>
      </c>
      <c r="N37" s="793">
        <v>1.708537671031893</v>
      </c>
      <c r="O37" s="793">
        <v>1.343450791966096</v>
      </c>
      <c r="P37" s="793">
        <v>11.07207595956246</v>
      </c>
      <c r="Q37" s="793">
        <v>15.46010621208901</v>
      </c>
      <c r="R37" s="793">
        <v>2.190257255778186</v>
      </c>
      <c r="S37" s="793">
        <v>39.76722771221749</v>
      </c>
      <c r="T37" s="792">
        <v>0.1057001589800805</v>
      </c>
      <c r="U37" s="792">
        <v>0.04101074115112663</v>
      </c>
      <c r="V37" s="792">
        <v>0.020243842028248</v>
      </c>
      <c r="W37" s="792">
        <v>0.3775059181948979</v>
      </c>
      <c r="X37" s="792">
        <v>0.1054317206378861</v>
      </c>
      <c r="Y37" s="792">
        <v>0.7332611309237579</v>
      </c>
      <c r="Z37" s="792">
        <v>0.7332611309237579</v>
      </c>
      <c r="AA37" s="794">
        <v>0.08597031829761158</v>
      </c>
    </row>
    <row r="38" ht="12.75" customHeight="1">
      <c r="A38" s="791" t="s">
        <v>977</v>
      </c>
      <c r="B38" s="581">
        <v>183.0</v>
      </c>
      <c r="C38" s="792">
        <v>0.1756622307692307</v>
      </c>
      <c r="D38" s="792">
        <v>0.02541970227621734</v>
      </c>
      <c r="E38" s="792">
        <v>0.1067498761891389</v>
      </c>
      <c r="F38" s="792">
        <v>0.2413611068922022</v>
      </c>
      <c r="G38" s="793">
        <v>0.498877421978958</v>
      </c>
      <c r="H38" s="793">
        <v>0.6848175876595803</v>
      </c>
      <c r="I38" s="792">
        <v>0.07805523018523437</v>
      </c>
      <c r="J38" s="792">
        <v>0.3599066960126782</v>
      </c>
      <c r="K38" s="792">
        <v>0.057772</v>
      </c>
      <c r="L38" s="792">
        <v>0.3680625521577038</v>
      </c>
      <c r="M38" s="792">
        <v>0.06519512955031707</v>
      </c>
      <c r="N38" s="793">
        <v>5.170335656479948</v>
      </c>
      <c r="O38" s="793">
        <v>0.4063924519185299</v>
      </c>
      <c r="P38" s="793">
        <v>10.43092181418722</v>
      </c>
      <c r="Q38" s="793">
        <v>16.01070807716903</v>
      </c>
      <c r="R38" s="793">
        <v>2.487621710645108</v>
      </c>
      <c r="S38" s="793">
        <v>38.00458911901727</v>
      </c>
      <c r="T38" s="792">
        <v>0.06759840602004305</v>
      </c>
      <c r="U38" s="792">
        <v>0.01130231904660455</v>
      </c>
      <c r="V38" s="792">
        <v>0.01073617490963571</v>
      </c>
      <c r="W38" s="792">
        <v>1.048939318582029</v>
      </c>
      <c r="X38" s="792">
        <v>0.09739405369784865</v>
      </c>
      <c r="Y38" s="792">
        <v>0.5283159694484992</v>
      </c>
      <c r="Z38" s="792">
        <v>0.5283159694484992</v>
      </c>
      <c r="AA38" s="794">
        <v>0.02507900730798633</v>
      </c>
    </row>
    <row r="39" ht="12.75" customHeight="1">
      <c r="A39" s="791" t="s">
        <v>1427</v>
      </c>
      <c r="B39" s="581">
        <v>383.0</v>
      </c>
      <c r="C39" s="792">
        <v>0.05826565517241379</v>
      </c>
      <c r="D39" s="792">
        <v>0.076458433925367</v>
      </c>
      <c r="E39" s="792">
        <v>0.1260784988471352</v>
      </c>
      <c r="F39" s="792">
        <v>0.1763284839789386</v>
      </c>
      <c r="G39" s="793">
        <v>0.9383844270287286</v>
      </c>
      <c r="H39" s="793">
        <v>0.9675096670659729</v>
      </c>
      <c r="I39" s="792">
        <v>0.09397079425581428</v>
      </c>
      <c r="J39" s="792">
        <v>0.3731196108275466</v>
      </c>
      <c r="K39" s="792">
        <v>0.057772</v>
      </c>
      <c r="L39" s="792">
        <v>0.2046293511407485</v>
      </c>
      <c r="M39" s="792">
        <v>0.08356425592320954</v>
      </c>
      <c r="N39" s="793">
        <v>2.273002349840159</v>
      </c>
      <c r="O39" s="793">
        <v>1.159141960256098</v>
      </c>
      <c r="P39" s="793">
        <v>10.62640195735794</v>
      </c>
      <c r="Q39" s="793">
        <v>14.66164540245441</v>
      </c>
      <c r="R39" s="793">
        <v>2.148889072136155</v>
      </c>
      <c r="S39" s="793">
        <v>46.60816021283126</v>
      </c>
      <c r="T39" s="792">
        <v>0.06010427322295106</v>
      </c>
      <c r="U39" s="792">
        <v>0.0283344100436264</v>
      </c>
      <c r="V39" s="792">
        <v>0.02274023185208124</v>
      </c>
      <c r="W39" s="792">
        <v>0.3272142521796023</v>
      </c>
      <c r="X39" s="792">
        <v>0.124947171027375</v>
      </c>
      <c r="Y39" s="792">
        <v>0.6746806927166548</v>
      </c>
      <c r="Z39" s="792">
        <v>0.6746806927166548</v>
      </c>
      <c r="AA39" s="794">
        <v>0.07776380429490147</v>
      </c>
    </row>
    <row r="40" ht="12.75" customHeight="1">
      <c r="A40" s="791" t="s">
        <v>1428</v>
      </c>
      <c r="B40" s="581">
        <v>258.0</v>
      </c>
      <c r="C40" s="792">
        <v>0.1546570731707318</v>
      </c>
      <c r="D40" s="792">
        <v>0.2772088159427238</v>
      </c>
      <c r="E40" s="792">
        <v>0.0548972040319626</v>
      </c>
      <c r="F40" s="792">
        <v>0.1681657061498398</v>
      </c>
      <c r="G40" s="793">
        <v>0.5668002134281666</v>
      </c>
      <c r="H40" s="793">
        <v>0.8366528343155816</v>
      </c>
      <c r="I40" s="792">
        <v>0.08660355457196725</v>
      </c>
      <c r="J40" s="792">
        <v>0.3902568545143564</v>
      </c>
      <c r="K40" s="792">
        <v>0.057772</v>
      </c>
      <c r="L40" s="792">
        <v>0.4166701744197298</v>
      </c>
      <c r="M40" s="792">
        <v>0.0684832724540582</v>
      </c>
      <c r="N40" s="793">
        <v>0.2239401164051635</v>
      </c>
      <c r="O40" s="793">
        <v>7.384570471196588</v>
      </c>
      <c r="P40" s="793">
        <v>14.17483835680301</v>
      </c>
      <c r="Q40" s="793">
        <v>23.76529429542548</v>
      </c>
      <c r="R40" s="793">
        <v>1.856125230284903</v>
      </c>
      <c r="S40" s="793">
        <v>72.0005708956159</v>
      </c>
      <c r="T40" s="792">
        <v>0.1029291358638173</v>
      </c>
      <c r="U40" s="792">
        <v>0.5785158213395271</v>
      </c>
      <c r="V40" s="792">
        <v>0.4368291264852562</v>
      </c>
      <c r="W40" s="792">
        <v>2.109525998680986</v>
      </c>
      <c r="X40" s="792">
        <v>0.0557709775383633</v>
      </c>
      <c r="Y40" s="792">
        <v>1.094159291030623</v>
      </c>
      <c r="Z40" s="792">
        <v>1.094159291030623</v>
      </c>
      <c r="AA40" s="794">
        <v>0.2763581664366516</v>
      </c>
    </row>
    <row r="41" ht="12.75" customHeight="1">
      <c r="A41" s="791" t="s">
        <v>1429</v>
      </c>
      <c r="B41" s="581">
        <v>842.0</v>
      </c>
      <c r="C41" s="792">
        <v>0.1487204181818183</v>
      </c>
      <c r="D41" s="792">
        <v>0.1427490200458664</v>
      </c>
      <c r="E41" s="792">
        <v>0.1370039723966101</v>
      </c>
      <c r="F41" s="792">
        <v>0.1760815968571464</v>
      </c>
      <c r="G41" s="793">
        <v>1.116510298878523</v>
      </c>
      <c r="H41" s="793">
        <v>1.181953930030054</v>
      </c>
      <c r="I41" s="792">
        <v>0.106044006260692</v>
      </c>
      <c r="J41" s="792">
        <v>0.4839016842739212</v>
      </c>
      <c r="K41" s="792">
        <v>0.060013</v>
      </c>
      <c r="L41" s="792">
        <v>0.1217394200592536</v>
      </c>
      <c r="M41" s="792">
        <v>0.09858669929284825</v>
      </c>
      <c r="N41" s="793">
        <v>1.29793712995898</v>
      </c>
      <c r="O41" s="793">
        <v>4.172189416209838</v>
      </c>
      <c r="P41" s="793">
        <v>18.54920460669446</v>
      </c>
      <c r="Q41" s="793">
        <v>28.09761418039386</v>
      </c>
      <c r="R41" s="793">
        <v>3.530957067275591</v>
      </c>
      <c r="S41" s="793">
        <v>86.01262097813844</v>
      </c>
      <c r="T41" s="792">
        <v>0.2674855667712721</v>
      </c>
      <c r="U41" s="792">
        <v>0.04842056452247467</v>
      </c>
      <c r="V41" s="792">
        <v>0.04025048844249895</v>
      </c>
      <c r="W41" s="792">
        <v>0.4914119233125671</v>
      </c>
      <c r="X41" s="792">
        <v>0.09063329402422651</v>
      </c>
      <c r="Y41" s="792">
        <v>0.4763395626831705</v>
      </c>
      <c r="Z41" s="792">
        <v>0.4763395626831706</v>
      </c>
      <c r="AA41" s="794">
        <v>0.1478429672712751</v>
      </c>
    </row>
    <row r="42" ht="12.75" customHeight="1">
      <c r="A42" s="791" t="s">
        <v>1430</v>
      </c>
      <c r="B42" s="581">
        <v>478.0</v>
      </c>
      <c r="C42" s="792">
        <v>0.09901601351351355</v>
      </c>
      <c r="D42" s="792">
        <v>0.03103276162562591</v>
      </c>
      <c r="E42" s="792">
        <v>0.2071533077572603</v>
      </c>
      <c r="F42" s="792">
        <v>0.2372986647503187</v>
      </c>
      <c r="G42" s="793">
        <v>0.7786715730650319</v>
      </c>
      <c r="H42" s="793">
        <v>0.916558867242304</v>
      </c>
      <c r="I42" s="792">
        <v>0.09110226422574172</v>
      </c>
      <c r="J42" s="792">
        <v>0.4240259110678302</v>
      </c>
      <c r="K42" s="792">
        <v>0.057772</v>
      </c>
      <c r="L42" s="792">
        <v>0.2760246029582183</v>
      </c>
      <c r="M42" s="792">
        <v>0.07785666591037353</v>
      </c>
      <c r="N42" s="793">
        <v>8.01749031695431</v>
      </c>
      <c r="O42" s="793">
        <v>0.4902307572418489</v>
      </c>
      <c r="P42" s="793">
        <v>11.28749654921444</v>
      </c>
      <c r="Q42" s="793">
        <v>15.30677530638024</v>
      </c>
      <c r="R42" s="793">
        <v>2.305915705654942</v>
      </c>
      <c r="S42" s="793">
        <v>96.39308012218274</v>
      </c>
      <c r="T42" s="792">
        <v>-0.02545612284791271</v>
      </c>
      <c r="U42" s="792">
        <v>0.006987445867613066</v>
      </c>
      <c r="V42" s="792">
        <v>0.007949035549248314</v>
      </c>
      <c r="W42" s="792">
        <v>0.5120369657965202</v>
      </c>
      <c r="X42" s="792">
        <v>0.08491605062057049</v>
      </c>
      <c r="Y42" s="792">
        <v>0.538847728322184</v>
      </c>
      <c r="Z42" s="792">
        <v>0.538847728322184</v>
      </c>
      <c r="AA42" s="794">
        <v>0.03113975705760709</v>
      </c>
    </row>
    <row r="43" ht="12.75" customHeight="1">
      <c r="A43" s="791" t="s">
        <v>1431</v>
      </c>
      <c r="B43" s="581">
        <v>430.0</v>
      </c>
      <c r="C43" s="792">
        <v>0.1298355252918289</v>
      </c>
      <c r="D43" s="792">
        <v>0.1478785625462087</v>
      </c>
      <c r="E43" s="792">
        <v>0.1254007836372798</v>
      </c>
      <c r="F43" s="792">
        <v>0.169746733393435</v>
      </c>
      <c r="G43" s="793">
        <v>1.207249439882182</v>
      </c>
      <c r="H43" s="793">
        <v>1.289920212997853</v>
      </c>
      <c r="I43" s="792">
        <v>0.1121225079917791</v>
      </c>
      <c r="J43" s="792">
        <v>0.5435311570366956</v>
      </c>
      <c r="K43" s="792">
        <v>0.060013</v>
      </c>
      <c r="L43" s="792">
        <v>0.1224871037195609</v>
      </c>
      <c r="M43" s="792">
        <v>0.1038748626140789</v>
      </c>
      <c r="N43" s="793">
        <v>1.086017834442093</v>
      </c>
      <c r="O43" s="793">
        <v>5.322439521482191</v>
      </c>
      <c r="P43" s="793">
        <v>20.95699362062974</v>
      </c>
      <c r="Q43" s="793">
        <v>33.85826118783636</v>
      </c>
      <c r="R43" s="793">
        <v>3.867002275955683</v>
      </c>
      <c r="S43" s="793">
        <v>321.7983479015028</v>
      </c>
      <c r="T43" s="792">
        <v>0.2436388625644416</v>
      </c>
      <c r="U43" s="792">
        <v>0.0670810322624049</v>
      </c>
      <c r="V43" s="792">
        <v>0.03649218682195308</v>
      </c>
      <c r="W43" s="792">
        <v>0.3842582577216607</v>
      </c>
      <c r="X43" s="792">
        <v>0.07934450832537844</v>
      </c>
      <c r="Y43" s="792">
        <v>0.1919090959935171</v>
      </c>
      <c r="Z43" s="792">
        <v>0.1919090959935171</v>
      </c>
      <c r="AA43" s="794">
        <v>0.1495091624733798</v>
      </c>
    </row>
    <row r="44" ht="12.75" customHeight="1">
      <c r="A44" s="791" t="s">
        <v>989</v>
      </c>
      <c r="B44" s="581">
        <v>160.0</v>
      </c>
      <c r="C44" s="792">
        <v>0.07172586466165419</v>
      </c>
      <c r="D44" s="792">
        <v>0.1071429289258849</v>
      </c>
      <c r="E44" s="792">
        <v>0.10363608542706</v>
      </c>
      <c r="F44" s="792">
        <v>0.2479057113920095</v>
      </c>
      <c r="G44" s="793">
        <v>0.8223996026589195</v>
      </c>
      <c r="H44" s="793">
        <v>0.9602309512811922</v>
      </c>
      <c r="I44" s="792">
        <v>0.09356100255713112</v>
      </c>
      <c r="J44" s="792">
        <v>0.3237403309830183</v>
      </c>
      <c r="K44" s="792">
        <v>0.057772</v>
      </c>
      <c r="L44" s="792">
        <v>0.285208071429653</v>
      </c>
      <c r="M44" s="792">
        <v>0.07917346493316262</v>
      </c>
      <c r="N44" s="793">
        <v>1.269298555414893</v>
      </c>
      <c r="O44" s="793">
        <v>1.142054296977896</v>
      </c>
      <c r="P44" s="793">
        <v>9.429707449467426</v>
      </c>
      <c r="Q44" s="793">
        <v>11.07266496689942</v>
      </c>
      <c r="R44" s="793">
        <v>1.364995842409945</v>
      </c>
      <c r="S44" s="793">
        <v>23.78670737589014</v>
      </c>
      <c r="T44" s="792">
        <v>0.6733095438039169</v>
      </c>
      <c r="U44" s="792">
        <v>0.005721484518663204</v>
      </c>
      <c r="V44" s="792">
        <v>0.005718924745036525</v>
      </c>
      <c r="W44" s="792">
        <v>0.4989447413284082</v>
      </c>
      <c r="X44" s="792">
        <v>0.1146515057283435</v>
      </c>
      <c r="Y44" s="792">
        <v>0.2439730014901416</v>
      </c>
      <c r="Z44" s="792">
        <v>0.2439730014901416</v>
      </c>
      <c r="AA44" s="794">
        <v>0.1019099235748424</v>
      </c>
    </row>
    <row r="45" ht="12.75" customHeight="1">
      <c r="A45" s="791" t="s">
        <v>1432</v>
      </c>
      <c r="B45" s="581">
        <v>249.0</v>
      </c>
      <c r="C45" s="792">
        <v>0.1425727380952381</v>
      </c>
      <c r="D45" s="792">
        <v>0.1226799969512325</v>
      </c>
      <c r="E45" s="792">
        <v>0.1320980263575953</v>
      </c>
      <c r="F45" s="792">
        <v>0.2044474188227856</v>
      </c>
      <c r="G45" s="793">
        <v>0.5838514857400334</v>
      </c>
      <c r="H45" s="793">
        <v>0.7601799253122585</v>
      </c>
      <c r="I45" s="792">
        <v>0.08229812979508017</v>
      </c>
      <c r="J45" s="792">
        <v>0.3600062293515836</v>
      </c>
      <c r="K45" s="792">
        <v>0.057772</v>
      </c>
      <c r="L45" s="792">
        <v>0.3177943471305495</v>
      </c>
      <c r="M45" s="792">
        <v>0.06984603005802403</v>
      </c>
      <c r="N45" s="793">
        <v>1.36360376102938</v>
      </c>
      <c r="O45" s="793">
        <v>2.13397603628438</v>
      </c>
      <c r="P45" s="793">
        <v>11.88770948710414</v>
      </c>
      <c r="Q45" s="793">
        <v>17.79832093020747</v>
      </c>
      <c r="R45" s="793">
        <v>3.549656130590896</v>
      </c>
      <c r="S45" s="793">
        <v>46.0551864358089</v>
      </c>
      <c r="T45" s="792">
        <v>0.05674738642804298</v>
      </c>
      <c r="U45" s="792">
        <v>0.0679217199593452</v>
      </c>
      <c r="V45" s="792">
        <v>0.03270215678281329</v>
      </c>
      <c r="W45" s="792">
        <v>0.3636210592315013</v>
      </c>
      <c r="X45" s="792">
        <v>0.176430067395812</v>
      </c>
      <c r="Y45" s="792">
        <v>0.2711785370680543</v>
      </c>
      <c r="Z45" s="792">
        <v>0.2711785370680543</v>
      </c>
      <c r="AA45" s="794">
        <v>0.1191136871117844</v>
      </c>
    </row>
    <row r="46" ht="12.75" customHeight="1">
      <c r="A46" s="791" t="s">
        <v>993</v>
      </c>
      <c r="B46" s="581">
        <v>656.0</v>
      </c>
      <c r="C46" s="792">
        <v>0.1838084435797666</v>
      </c>
      <c r="D46" s="792">
        <v>0.1666410977658608</v>
      </c>
      <c r="E46" s="792">
        <v>0.1180460274485128</v>
      </c>
      <c r="F46" s="792">
        <v>0.1899396884002356</v>
      </c>
      <c r="G46" s="793">
        <v>0.6562244487273435</v>
      </c>
      <c r="H46" s="793">
        <v>0.7984302381267229</v>
      </c>
      <c r="I46" s="792">
        <v>0.0844516224065345</v>
      </c>
      <c r="J46" s="792">
        <v>0.3927390282657112</v>
      </c>
      <c r="K46" s="792">
        <v>0.057772</v>
      </c>
      <c r="L46" s="792">
        <v>0.2869376534377079</v>
      </c>
      <c r="M46" s="792">
        <v>0.0725906588701753</v>
      </c>
      <c r="N46" s="793">
        <v>0.9417314184899619</v>
      </c>
      <c r="O46" s="793">
        <v>3.448704120391985</v>
      </c>
      <c r="P46" s="793">
        <v>13.86818190370077</v>
      </c>
      <c r="Q46" s="793">
        <v>22.12256323797384</v>
      </c>
      <c r="R46" s="793">
        <v>4.537440166121335</v>
      </c>
      <c r="S46" s="793">
        <v>74.50115923853168</v>
      </c>
      <c r="T46" s="792">
        <v>-0.03702564299535631</v>
      </c>
      <c r="U46" s="792">
        <v>0.07065902234509337</v>
      </c>
      <c r="V46" s="792">
        <v>0.01942009275914114</v>
      </c>
      <c r="W46" s="792">
        <v>0.2244340032537571</v>
      </c>
      <c r="X46" s="792">
        <v>0.1895304907236166</v>
      </c>
      <c r="Y46" s="792">
        <v>0.3670202401997748</v>
      </c>
      <c r="Z46" s="792">
        <v>0.3670202401997749</v>
      </c>
      <c r="AA46" s="794">
        <v>0.1559741135303765</v>
      </c>
    </row>
    <row r="47" ht="12.75" customHeight="1">
      <c r="A47" s="791" t="s">
        <v>994</v>
      </c>
      <c r="B47" s="581">
        <v>588.0</v>
      </c>
      <c r="C47" s="792">
        <v>0.0821528092783505</v>
      </c>
      <c r="D47" s="792">
        <v>0.1617188816212583</v>
      </c>
      <c r="E47" s="792">
        <v>0.2308067613801786</v>
      </c>
      <c r="F47" s="792">
        <v>0.2356972431552591</v>
      </c>
      <c r="G47" s="793">
        <v>0.7741444240060512</v>
      </c>
      <c r="H47" s="793">
        <v>0.8301058978401478</v>
      </c>
      <c r="I47" s="792">
        <v>0.08623496204840032</v>
      </c>
      <c r="J47" s="792">
        <v>0.4041766294960196</v>
      </c>
      <c r="K47" s="792">
        <v>0.057772</v>
      </c>
      <c r="L47" s="792">
        <v>0.1355027587052499</v>
      </c>
      <c r="M47" s="792">
        <v>0.08039212124404843</v>
      </c>
      <c r="N47" s="793">
        <v>1.793671051363207</v>
      </c>
      <c r="O47" s="793">
        <v>2.902357734200703</v>
      </c>
      <c r="P47" s="793">
        <v>14.55548489023277</v>
      </c>
      <c r="Q47" s="793">
        <v>17.73863622619547</v>
      </c>
      <c r="R47" s="793">
        <v>4.625730847103978</v>
      </c>
      <c r="S47" s="793">
        <v>68.84767078463793</v>
      </c>
      <c r="T47" s="792">
        <v>0.05926111688080881</v>
      </c>
      <c r="U47" s="792">
        <v>0.03852638846958889</v>
      </c>
      <c r="V47" s="792">
        <v>0.02191768875367988</v>
      </c>
      <c r="W47" s="792">
        <v>0.2369849371228157</v>
      </c>
      <c r="X47" s="792">
        <v>0.1801487322441188</v>
      </c>
      <c r="Y47" s="792">
        <v>0.7241868886567718</v>
      </c>
      <c r="Z47" s="792">
        <v>0.7241868886567718</v>
      </c>
      <c r="AA47" s="794">
        <v>0.1633675208620169</v>
      </c>
    </row>
    <row r="48" ht="12.75" customHeight="1">
      <c r="A48" s="791" t="s">
        <v>1433</v>
      </c>
      <c r="B48" s="581">
        <v>86.0</v>
      </c>
      <c r="C48" s="792">
        <v>0.1051593220338983</v>
      </c>
      <c r="D48" s="792">
        <v>0.1178327537902393</v>
      </c>
      <c r="E48" s="792">
        <v>0.2281348400529763</v>
      </c>
      <c r="F48" s="792">
        <v>0.2568912617717469</v>
      </c>
      <c r="G48" s="793">
        <v>0.8737359462659163</v>
      </c>
      <c r="H48" s="793">
        <v>1.023720593319527</v>
      </c>
      <c r="I48" s="792">
        <v>0.09713546940388937</v>
      </c>
      <c r="J48" s="792">
        <v>0.3800278673746824</v>
      </c>
      <c r="K48" s="792">
        <v>0.057772</v>
      </c>
      <c r="L48" s="792">
        <v>0.242311019702493</v>
      </c>
      <c r="M48" s="792">
        <v>0.08404577340479001</v>
      </c>
      <c r="N48" s="793">
        <v>2.713108882623942</v>
      </c>
      <c r="O48" s="793">
        <v>1.88271785081681</v>
      </c>
      <c r="P48" s="793">
        <v>10.76973215402788</v>
      </c>
      <c r="Q48" s="793">
        <v>15.45029291856859</v>
      </c>
      <c r="R48" s="793">
        <v>3.285100978683044</v>
      </c>
      <c r="S48" s="793">
        <v>36.7469854080561</v>
      </c>
      <c r="T48" s="792">
        <v>0.1412294812002468</v>
      </c>
      <c r="U48" s="792">
        <v>0.0189289766159155</v>
      </c>
      <c r="V48" s="792">
        <v>-0.01589794213067469</v>
      </c>
      <c r="W48" s="792">
        <v>-0.1629084953968142</v>
      </c>
      <c r="X48" s="792">
        <v>0.1454776579817487</v>
      </c>
      <c r="Y48" s="792">
        <v>0.3744722012648146</v>
      </c>
      <c r="Z48" s="792">
        <v>0.3744722012648146</v>
      </c>
      <c r="AA48" s="794">
        <v>0.1176131918536692</v>
      </c>
    </row>
    <row r="49" ht="12.75" customHeight="1">
      <c r="A49" s="791" t="s">
        <v>1434</v>
      </c>
      <c r="B49" s="581">
        <v>204.0</v>
      </c>
      <c r="C49" s="792">
        <v>0.1140136363636364</v>
      </c>
      <c r="D49" s="792">
        <v>0.1544565709060728</v>
      </c>
      <c r="E49" s="792">
        <v>0.2562397661707816</v>
      </c>
      <c r="F49" s="792">
        <v>0.2486677540953519</v>
      </c>
      <c r="G49" s="793">
        <v>0.4730782196000951</v>
      </c>
      <c r="H49" s="793">
        <v>0.5102355818446773</v>
      </c>
      <c r="I49" s="792">
        <v>0.06822626325785533</v>
      </c>
      <c r="J49" s="792">
        <v>0.3198938619016569</v>
      </c>
      <c r="K49" s="792">
        <v>0.057772</v>
      </c>
      <c r="L49" s="792">
        <v>0.2311327737583772</v>
      </c>
      <c r="M49" s="792">
        <v>0.06242228363243409</v>
      </c>
      <c r="N49" s="793">
        <v>1.959911903724869</v>
      </c>
      <c r="O49" s="793">
        <v>1.563538529631204</v>
      </c>
      <c r="P49" s="793">
        <v>9.002254770293247</v>
      </c>
      <c r="Q49" s="793">
        <v>8.903954847142833</v>
      </c>
      <c r="R49" s="793">
        <v>2.218575772591184</v>
      </c>
      <c r="S49" s="793">
        <v>16.33114064211346</v>
      </c>
      <c r="T49" s="792">
        <v>0.1478833798869416</v>
      </c>
      <c r="U49" s="792">
        <v>0.007359622802426313</v>
      </c>
      <c r="V49" s="792">
        <v>0.05749445028865013</v>
      </c>
      <c r="W49" s="792">
        <v>0.4070754560020131</v>
      </c>
      <c r="X49" s="792">
        <v>0.1852572774797504</v>
      </c>
      <c r="Y49" s="792">
        <v>0.4133615891385334</v>
      </c>
      <c r="Z49" s="792">
        <v>0.4133615891385334</v>
      </c>
      <c r="AA49" s="794">
        <v>0.1546557547570544</v>
      </c>
    </row>
    <row r="50" ht="12.75" customHeight="1">
      <c r="A50" s="791" t="s">
        <v>997</v>
      </c>
      <c r="B50" s="581">
        <v>143.0</v>
      </c>
      <c r="C50" s="792">
        <v>0.06224316666666665</v>
      </c>
      <c r="D50" s="792">
        <v>0.1729247343541066</v>
      </c>
      <c r="E50" s="792">
        <v>0.1448200858349781</v>
      </c>
      <c r="F50" s="792">
        <v>0.1691078600693705</v>
      </c>
      <c r="G50" s="793">
        <v>0.7948484337173086</v>
      </c>
      <c r="H50" s="793">
        <v>0.8037813390844742</v>
      </c>
      <c r="I50" s="792">
        <v>0.0847528893904559</v>
      </c>
      <c r="J50" s="792">
        <v>0.3001301880998039</v>
      </c>
      <c r="K50" s="792">
        <v>0.057772</v>
      </c>
      <c r="L50" s="792">
        <v>0.4290115528367603</v>
      </c>
      <c r="M50" s="792">
        <v>0.06688985831342542</v>
      </c>
      <c r="N50" s="793">
        <v>1.011399529639498</v>
      </c>
      <c r="O50" s="793">
        <v>1.319461203274962</v>
      </c>
      <c r="P50" s="793">
        <v>7.32719050483297</v>
      </c>
      <c r="Q50" s="793">
        <v>7.522962961223579</v>
      </c>
      <c r="R50" s="793">
        <v>1.308116926097618</v>
      </c>
      <c r="S50" s="793">
        <v>75.31730470699814</v>
      </c>
      <c r="T50" s="792">
        <v>-1.018040173963089</v>
      </c>
      <c r="U50" s="792">
        <v>0.006953919461715558</v>
      </c>
      <c r="V50" s="792">
        <v>0.005709668457462526</v>
      </c>
      <c r="W50" s="792">
        <v>-0.4532154712304676</v>
      </c>
      <c r="X50" s="792">
        <v>0.1414991172245062</v>
      </c>
      <c r="Y50" s="792">
        <v>0.3655325271844408</v>
      </c>
      <c r="Z50" s="792">
        <v>0.3655325271844407</v>
      </c>
      <c r="AA50" s="794">
        <v>0.1730391837177779</v>
      </c>
    </row>
    <row r="51" ht="12.75" customHeight="1">
      <c r="A51" s="791" t="s">
        <v>1435</v>
      </c>
      <c r="B51" s="581">
        <v>248.0</v>
      </c>
      <c r="C51" s="792">
        <v>0.1278221256038648</v>
      </c>
      <c r="D51" s="792">
        <v>0.152643124550992</v>
      </c>
      <c r="E51" s="792">
        <v>0.180546152442018</v>
      </c>
      <c r="F51" s="792">
        <v>0.2089171726875762</v>
      </c>
      <c r="G51" s="793">
        <v>0.4123714259312061</v>
      </c>
      <c r="H51" s="793">
        <v>0.4318265479631265</v>
      </c>
      <c r="I51" s="792">
        <v>0.06381183465032403</v>
      </c>
      <c r="J51" s="792">
        <v>0.2953601826804472</v>
      </c>
      <c r="K51" s="792">
        <v>0.054406</v>
      </c>
      <c r="L51" s="792">
        <v>0.1404264516326478</v>
      </c>
      <c r="M51" s="792">
        <v>0.06055272813020231</v>
      </c>
      <c r="N51" s="793">
        <v>1.46508599420259</v>
      </c>
      <c r="O51" s="793">
        <v>1.31748583187308</v>
      </c>
      <c r="P51" s="793">
        <v>7.815288923578121</v>
      </c>
      <c r="Q51" s="793">
        <v>8.577821890251895</v>
      </c>
      <c r="R51" s="793">
        <v>1.674418589034932</v>
      </c>
      <c r="S51" s="793">
        <v>20.50861943666401</v>
      </c>
      <c r="T51" s="792">
        <v>-0.25821112713536</v>
      </c>
      <c r="U51" s="792">
        <v>0.005768923714179278</v>
      </c>
      <c r="V51" s="792">
        <v>-0.004175679697348745</v>
      </c>
      <c r="W51" s="792">
        <v>-0.09463935520633932</v>
      </c>
      <c r="X51" s="792">
        <v>0.1715271449286769</v>
      </c>
      <c r="Y51" s="792">
        <v>0.2656094774789208</v>
      </c>
      <c r="Z51" s="792">
        <v>0.2656094774789208</v>
      </c>
      <c r="AA51" s="794">
        <v>0.1528516528079215</v>
      </c>
    </row>
    <row r="52" ht="12.75" customHeight="1">
      <c r="A52" s="791" t="s">
        <v>1436</v>
      </c>
      <c r="B52" s="581">
        <v>1315.0</v>
      </c>
      <c r="C52" s="792">
        <v>0.1776110707456979</v>
      </c>
      <c r="D52" s="792">
        <v>0.2505039007771637</v>
      </c>
      <c r="E52" s="792">
        <v>0.08295566505053059</v>
      </c>
      <c r="F52" s="792">
        <v>0.1755174687536206</v>
      </c>
      <c r="G52" s="793">
        <v>0.5657130541049615</v>
      </c>
      <c r="H52" s="793">
        <v>0.7483402046417704</v>
      </c>
      <c r="I52" s="792">
        <v>0.08163155352133167</v>
      </c>
      <c r="J52" s="792">
        <v>0.368566767701624</v>
      </c>
      <c r="K52" s="792">
        <v>0.057772</v>
      </c>
      <c r="L52" s="792">
        <v>0.3763208962856832</v>
      </c>
      <c r="M52" s="792">
        <v>0.06713706125011898</v>
      </c>
      <c r="N52" s="793">
        <v>0.3594515662703567</v>
      </c>
      <c r="O52" s="793">
        <v>5.44543410788268</v>
      </c>
      <c r="P52" s="793">
        <v>19.00230884512049</v>
      </c>
      <c r="Q52" s="793">
        <v>16.95457243875141</v>
      </c>
      <c r="R52" s="793">
        <v>1.748843295495176</v>
      </c>
      <c r="S52" s="793">
        <v>53.85228336720077</v>
      </c>
      <c r="T52" s="792" t="s">
        <v>1385</v>
      </c>
      <c r="U52" s="792">
        <v>0.04657453655800841</v>
      </c>
      <c r="V52" s="792">
        <v>0.1609929903255188</v>
      </c>
      <c r="W52" s="792">
        <v>0.9754716670600068</v>
      </c>
      <c r="X52" s="792">
        <v>0.1201379201054396</v>
      </c>
      <c r="Y52" s="792">
        <v>0.4950394316738594</v>
      </c>
      <c r="Z52" s="792">
        <v>0.4950394316738594</v>
      </c>
      <c r="AA52" s="794">
        <v>0.2495005025472503</v>
      </c>
    </row>
    <row r="53" ht="12.75" customHeight="1">
      <c r="A53" s="791" t="s">
        <v>1005</v>
      </c>
      <c r="B53" s="581">
        <v>1553.0</v>
      </c>
      <c r="C53" s="792">
        <v>0.0867889780405405</v>
      </c>
      <c r="D53" s="792">
        <v>0.1035706020393325</v>
      </c>
      <c r="E53" s="792">
        <v>0.1183512000081834</v>
      </c>
      <c r="F53" s="792">
        <v>0.2216307080345536</v>
      </c>
      <c r="G53" s="793">
        <v>1.329621716102589</v>
      </c>
      <c r="H53" s="793">
        <v>1.369473758004885</v>
      </c>
      <c r="I53" s="792">
        <v>0.116601372575675</v>
      </c>
      <c r="J53" s="792">
        <v>0.4033993609586136</v>
      </c>
      <c r="K53" s="792">
        <v>0.057772</v>
      </c>
      <c r="L53" s="792">
        <v>0.1193748455379105</v>
      </c>
      <c r="M53" s="792">
        <v>0.1078289772800248</v>
      </c>
      <c r="N53" s="793">
        <v>1.480081280869955</v>
      </c>
      <c r="O53" s="793">
        <v>2.613749441799412</v>
      </c>
      <c r="P53" s="793">
        <v>16.88408979648814</v>
      </c>
      <c r="Q53" s="793">
        <v>23.60605876220991</v>
      </c>
      <c r="R53" s="793">
        <v>3.372396135020447</v>
      </c>
      <c r="S53" s="793">
        <v>88.38334357634362</v>
      </c>
      <c r="T53" s="792">
        <v>0.2912246230349467</v>
      </c>
      <c r="U53" s="792">
        <v>0.04054884962091269</v>
      </c>
      <c r="V53" s="792">
        <v>0.03371644595782169</v>
      </c>
      <c r="W53" s="792">
        <v>0.5450665774301707</v>
      </c>
      <c r="X53" s="792">
        <v>0.1090084207932606</v>
      </c>
      <c r="Y53" s="792">
        <v>0.4597891836305176</v>
      </c>
      <c r="Z53" s="792">
        <v>0.4597891836305177</v>
      </c>
      <c r="AA53" s="794">
        <v>0.1066197117537939</v>
      </c>
    </row>
    <row r="54" ht="12.75" customHeight="1">
      <c r="A54" s="791" t="s">
        <v>1437</v>
      </c>
      <c r="B54" s="581">
        <v>1874.0</v>
      </c>
      <c r="C54" s="792">
        <v>0.2560405020080321</v>
      </c>
      <c r="D54" s="792">
        <v>0.1072536660140786</v>
      </c>
      <c r="E54" s="792">
        <v>0.1365780634266371</v>
      </c>
      <c r="F54" s="792">
        <v>0.2983873808489146</v>
      </c>
      <c r="G54" s="793">
        <v>1.125610404676817</v>
      </c>
      <c r="H54" s="793">
        <v>1.236271241649942</v>
      </c>
      <c r="I54" s="792">
        <v>0.1091020709048918</v>
      </c>
      <c r="J54" s="792">
        <v>0.747399263183578</v>
      </c>
      <c r="K54" s="792">
        <v>0.067295</v>
      </c>
      <c r="L54" s="792">
        <v>0.1872715117624454</v>
      </c>
      <c r="M54" s="792">
        <v>0.0980755594235385</v>
      </c>
      <c r="N54" s="793">
        <v>1.347302278602321</v>
      </c>
      <c r="O54" s="793">
        <v>1.843836632024247</v>
      </c>
      <c r="P54" s="793">
        <v>10.69072789917057</v>
      </c>
      <c r="Q54" s="793">
        <v>15.97824498422355</v>
      </c>
      <c r="R54" s="793">
        <v>2.566222582214006</v>
      </c>
      <c r="S54" s="793">
        <v>77.31381976818405</v>
      </c>
      <c r="T54" s="792">
        <v>0.1276850013196309</v>
      </c>
      <c r="U54" s="792">
        <v>0.08035282096273878</v>
      </c>
      <c r="V54" s="792">
        <v>0.05811134865465493</v>
      </c>
      <c r="W54" s="792">
        <v>0.9286706563035134</v>
      </c>
      <c r="X54" s="792">
        <v>0.09132386357996015</v>
      </c>
      <c r="Y54" s="792">
        <v>0.684747982051353</v>
      </c>
      <c r="Z54" s="792">
        <v>0.684747982051353</v>
      </c>
      <c r="AA54" s="794">
        <v>0.108869549778273</v>
      </c>
    </row>
    <row r="55" ht="12.75" customHeight="1">
      <c r="A55" s="791" t="s">
        <v>1438</v>
      </c>
      <c r="B55" s="581">
        <v>139.0</v>
      </c>
      <c r="C55" s="792">
        <v>0.0466839175257732</v>
      </c>
      <c r="D55" s="792">
        <v>0.07728502336481427</v>
      </c>
      <c r="E55" s="792">
        <v>0.1261589716586438</v>
      </c>
      <c r="F55" s="792">
        <v>0.2546318191355781</v>
      </c>
      <c r="G55" s="793">
        <v>0.7113013935053746</v>
      </c>
      <c r="H55" s="793">
        <v>0.758696340294383</v>
      </c>
      <c r="I55" s="792">
        <v>0.08221460395857377</v>
      </c>
      <c r="J55" s="792">
        <v>0.3687223775672925</v>
      </c>
      <c r="K55" s="792">
        <v>0.057772</v>
      </c>
      <c r="L55" s="792">
        <v>0.2222073602372713</v>
      </c>
      <c r="M55" s="792">
        <v>0.07352643830632928</v>
      </c>
      <c r="N55" s="793">
        <v>2.088081417022934</v>
      </c>
      <c r="O55" s="793">
        <v>1.076846703493937</v>
      </c>
      <c r="P55" s="793">
        <v>9.1443038159521</v>
      </c>
      <c r="Q55" s="793">
        <v>13.48534383641658</v>
      </c>
      <c r="R55" s="793">
        <v>1.795084656002117</v>
      </c>
      <c r="S55" s="793">
        <v>24.58469601160549</v>
      </c>
      <c r="T55" s="792">
        <v>0.1500581725578792</v>
      </c>
      <c r="U55" s="792">
        <v>0.03248645194745103</v>
      </c>
      <c r="V55" s="792">
        <v>0.02549447358419409</v>
      </c>
      <c r="W55" s="792">
        <v>0.5985490652851968</v>
      </c>
      <c r="X55" s="792">
        <v>0.08738921521670599</v>
      </c>
      <c r="Y55" s="792">
        <v>0.6549135777017283</v>
      </c>
      <c r="Z55" s="792">
        <v>0.6549135777017283</v>
      </c>
      <c r="AA55" s="794">
        <v>0.07843995512360838</v>
      </c>
    </row>
    <row r="56" ht="12.75" customHeight="1">
      <c r="A56" s="791" t="s">
        <v>1439</v>
      </c>
      <c r="B56" s="581">
        <v>34.0</v>
      </c>
      <c r="C56" s="792">
        <v>0.1025588235294118</v>
      </c>
      <c r="D56" s="792">
        <v>0.1427195024574721</v>
      </c>
      <c r="E56" s="792">
        <v>0.1387668708403002</v>
      </c>
      <c r="F56" s="792">
        <v>0.4404764690253459</v>
      </c>
      <c r="G56" s="793">
        <v>0.6324676188577144</v>
      </c>
      <c r="H56" s="793">
        <v>0.688733058006266</v>
      </c>
      <c r="I56" s="792">
        <v>0.07827567116575278</v>
      </c>
      <c r="J56" s="792">
        <v>0.2912473365496617</v>
      </c>
      <c r="K56" s="792">
        <v>0.054406</v>
      </c>
      <c r="L56" s="792">
        <v>0.1776435939953857</v>
      </c>
      <c r="M56" s="792">
        <v>0.07158339760236501</v>
      </c>
      <c r="N56" s="793">
        <v>1.368595975044083</v>
      </c>
      <c r="O56" s="793">
        <v>1.326182060868225</v>
      </c>
      <c r="P56" s="793">
        <v>6.181670856706194</v>
      </c>
      <c r="Q56" s="793">
        <v>9.250182366422518</v>
      </c>
      <c r="R56" s="793">
        <v>1.715098151907763</v>
      </c>
      <c r="S56" s="793">
        <v>15.6302735905156</v>
      </c>
      <c r="T56" s="792">
        <v>0.02536458947371485</v>
      </c>
      <c r="U56" s="792">
        <v>0.09039348401589577</v>
      </c>
      <c r="V56" s="792">
        <v>0.01756447464655019</v>
      </c>
      <c r="W56" s="792">
        <v>0.2493961690204361</v>
      </c>
      <c r="X56" s="792">
        <v>0.1220706575288003</v>
      </c>
      <c r="Y56" s="792">
        <v>0.7986886299016738</v>
      </c>
      <c r="Z56" s="792">
        <v>0.7986886299016738</v>
      </c>
      <c r="AA56" s="794">
        <v>0.1434387876516723</v>
      </c>
    </row>
    <row r="57" ht="12.75" customHeight="1">
      <c r="A57" s="791" t="s">
        <v>1440</v>
      </c>
      <c r="B57" s="581">
        <v>539.0</v>
      </c>
      <c r="C57" s="792">
        <v>0.2248593442622951</v>
      </c>
      <c r="D57" s="792">
        <v>0.2850790324643108</v>
      </c>
      <c r="E57" s="792">
        <v>0.1486947592073008</v>
      </c>
      <c r="F57" s="792">
        <v>0.3505625301830368</v>
      </c>
      <c r="G57" s="793">
        <v>0.7463854591601625</v>
      </c>
      <c r="H57" s="793">
        <v>0.8855554675584711</v>
      </c>
      <c r="I57" s="792">
        <v>0.08935677282354193</v>
      </c>
      <c r="J57" s="792">
        <v>0.5391808905321575</v>
      </c>
      <c r="K57" s="792">
        <v>0.060013</v>
      </c>
      <c r="L57" s="792">
        <v>0.2637102090282841</v>
      </c>
      <c r="M57" s="792">
        <v>0.07760345381409826</v>
      </c>
      <c r="N57" s="793">
        <v>0.5727999587747761</v>
      </c>
      <c r="O57" s="793">
        <v>2.588774210580685</v>
      </c>
      <c r="P57" s="793">
        <v>4.836568561786052</v>
      </c>
      <c r="Q57" s="793">
        <v>8.925890687545323</v>
      </c>
      <c r="R57" s="793">
        <v>1.331446744410924</v>
      </c>
      <c r="S57" s="793">
        <v>28.76050090651914</v>
      </c>
      <c r="T57" s="792">
        <v>0.01140349860610814</v>
      </c>
      <c r="U57" s="792">
        <v>0.3368821341413744</v>
      </c>
      <c r="V57" s="792">
        <v>0.1852723552971094</v>
      </c>
      <c r="W57" s="792">
        <v>0.9266852280401071</v>
      </c>
      <c r="X57" s="792">
        <v>0.1180373297766762</v>
      </c>
      <c r="Y57" s="792">
        <v>0.5479196686085261</v>
      </c>
      <c r="Z57" s="792">
        <v>0.5479196686085261</v>
      </c>
      <c r="AA57" s="794">
        <v>0.2866696936022423</v>
      </c>
    </row>
    <row r="58" ht="12.75" customHeight="1">
      <c r="A58" s="791" t="s">
        <v>1441</v>
      </c>
      <c r="B58" s="581">
        <v>186.0</v>
      </c>
      <c r="C58" s="792">
        <v>0.09591255639097744</v>
      </c>
      <c r="D58" s="792">
        <v>0.1724183769141509</v>
      </c>
      <c r="E58" s="792">
        <v>0.09191073674979025</v>
      </c>
      <c r="F58" s="792">
        <v>0.1868280101231991</v>
      </c>
      <c r="G58" s="793">
        <v>0.4611542527144429</v>
      </c>
      <c r="H58" s="793">
        <v>0.6534778887963208</v>
      </c>
      <c r="I58" s="792">
        <v>0.07629080513923286</v>
      </c>
      <c r="J58" s="792">
        <v>0.3395738463112972</v>
      </c>
      <c r="K58" s="792">
        <v>0.057772</v>
      </c>
      <c r="L58" s="792">
        <v>0.3809583505341432</v>
      </c>
      <c r="M58" s="792">
        <v>0.06365229793720276</v>
      </c>
      <c r="N58" s="793">
        <v>0.6044436795549014</v>
      </c>
      <c r="O58" s="793">
        <v>3.053957393856666</v>
      </c>
      <c r="P58" s="793">
        <v>11.7825300059131</v>
      </c>
      <c r="Q58" s="793">
        <v>17.43060399517669</v>
      </c>
      <c r="R58" s="793">
        <v>2.098756899880173</v>
      </c>
      <c r="S58" s="793">
        <v>27.82939637220507</v>
      </c>
      <c r="T58" s="792">
        <v>0.02615113714667903</v>
      </c>
      <c r="U58" s="792">
        <v>0.1497779489177684</v>
      </c>
      <c r="V58" s="792">
        <v>0.1078359830182263</v>
      </c>
      <c r="W58" s="792">
        <v>0.7916266188320611</v>
      </c>
      <c r="X58" s="792">
        <v>0.1304519999296142</v>
      </c>
      <c r="Y58" s="792">
        <v>0.8179301668109624</v>
      </c>
      <c r="Z58" s="792">
        <v>0.8179301668109624</v>
      </c>
      <c r="AA58" s="794">
        <v>0.173375232423339</v>
      </c>
    </row>
    <row r="59" ht="12.75" customHeight="1">
      <c r="A59" s="791" t="s">
        <v>1442</v>
      </c>
      <c r="B59" s="581">
        <v>431.0</v>
      </c>
      <c r="C59" s="792">
        <v>0.1160119692307692</v>
      </c>
      <c r="D59" s="792">
        <v>0.05007511671050164</v>
      </c>
      <c r="E59" s="792">
        <v>0.09059300961038078</v>
      </c>
      <c r="F59" s="792">
        <v>0.230261978404765</v>
      </c>
      <c r="G59" s="793">
        <v>0.7996508694362168</v>
      </c>
      <c r="H59" s="793">
        <v>0.9482360006929875</v>
      </c>
      <c r="I59" s="792">
        <v>0.0928856868390152</v>
      </c>
      <c r="J59" s="792">
        <v>0.4221380395376769</v>
      </c>
      <c r="K59" s="792">
        <v>0.057772</v>
      </c>
      <c r="L59" s="792">
        <v>0.2839911271754528</v>
      </c>
      <c r="M59" s="792">
        <v>0.07875132256354538</v>
      </c>
      <c r="N59" s="793">
        <v>2.098790572959693</v>
      </c>
      <c r="O59" s="793">
        <v>0.7598678616813682</v>
      </c>
      <c r="P59" s="793">
        <v>8.83033678983486</v>
      </c>
      <c r="Q59" s="793">
        <v>14.49330471440069</v>
      </c>
      <c r="R59" s="793">
        <v>1.542832887564483</v>
      </c>
      <c r="S59" s="793">
        <v>41.45206315808559</v>
      </c>
      <c r="T59" s="792">
        <v>0.05475148702676035</v>
      </c>
      <c r="U59" s="792">
        <v>0.04212744167478911</v>
      </c>
      <c r="V59" s="792">
        <v>0.02161046265163457</v>
      </c>
      <c r="W59" s="792">
        <v>0.2889662779820247</v>
      </c>
      <c r="X59" s="792">
        <v>0.08264223954822701</v>
      </c>
      <c r="Y59" s="792">
        <v>0.5555386573330025</v>
      </c>
      <c r="Z59" s="792">
        <v>0.5555386573330025</v>
      </c>
      <c r="AA59" s="794">
        <v>0.05089682251014169</v>
      </c>
    </row>
    <row r="60" ht="12.75" customHeight="1">
      <c r="A60" s="791" t="s">
        <v>1040</v>
      </c>
      <c r="B60" s="581">
        <v>438.0</v>
      </c>
      <c r="C60" s="792">
        <v>0.07855668674698799</v>
      </c>
      <c r="D60" s="792">
        <v>0.07836014453145154</v>
      </c>
      <c r="E60" s="792">
        <v>0.09283256980080849</v>
      </c>
      <c r="F60" s="792">
        <v>0.2325542111173233</v>
      </c>
      <c r="G60" s="793">
        <v>0.5755524439641465</v>
      </c>
      <c r="H60" s="793">
        <v>0.7591351325704163</v>
      </c>
      <c r="I60" s="792">
        <v>0.08223930796371444</v>
      </c>
      <c r="J60" s="792">
        <v>0.3441170723962298</v>
      </c>
      <c r="K60" s="792">
        <v>0.057772</v>
      </c>
      <c r="L60" s="792">
        <v>0.3448933033517668</v>
      </c>
      <c r="M60" s="792">
        <v>0.06874568016476583</v>
      </c>
      <c r="N60" s="793">
        <v>1.425153303986407</v>
      </c>
      <c r="O60" s="793">
        <v>1.379575421403549</v>
      </c>
      <c r="P60" s="793">
        <v>9.56236673989638</v>
      </c>
      <c r="Q60" s="793">
        <v>17.04124353827975</v>
      </c>
      <c r="R60" s="793">
        <v>1.618618810997878</v>
      </c>
      <c r="S60" s="793">
        <v>38.91205773134371</v>
      </c>
      <c r="T60" s="792">
        <v>0.1566224380368694</v>
      </c>
      <c r="U60" s="792">
        <v>0.06065347398403471</v>
      </c>
      <c r="V60" s="792">
        <v>0.03961362687554106</v>
      </c>
      <c r="W60" s="792">
        <v>0.8428262894473342</v>
      </c>
      <c r="X60" s="792">
        <v>0.0857993848522087</v>
      </c>
      <c r="Y60" s="792">
        <v>0.6606012133963671</v>
      </c>
      <c r="Z60" s="792">
        <v>0.6606012133963671</v>
      </c>
      <c r="AA60" s="794">
        <v>0.08000325914846797</v>
      </c>
    </row>
    <row r="61" ht="12.75" customHeight="1">
      <c r="A61" s="791" t="s">
        <v>1446</v>
      </c>
      <c r="B61" s="581">
        <v>271.0</v>
      </c>
      <c r="C61" s="792">
        <v>0.06921285714285713</v>
      </c>
      <c r="D61" s="792">
        <v>0.04296567190544347</v>
      </c>
      <c r="E61" s="792">
        <v>0.02912813212669578</v>
      </c>
      <c r="F61" s="792">
        <v>0.222557661304891</v>
      </c>
      <c r="G61" s="793">
        <v>0.6106540110372702</v>
      </c>
      <c r="H61" s="793">
        <v>0.8886903362780022</v>
      </c>
      <c r="I61" s="792">
        <v>0.08953326593245153</v>
      </c>
      <c r="J61" s="792">
        <v>0.3675102153784272</v>
      </c>
      <c r="K61" s="792">
        <v>0.057772</v>
      </c>
      <c r="L61" s="792">
        <v>0.4384570945703326</v>
      </c>
      <c r="M61" s="792">
        <v>0.06918095472486402</v>
      </c>
      <c r="N61" s="793">
        <v>0.7936488736303247</v>
      </c>
      <c r="O61" s="793">
        <v>1.304331257707689</v>
      </c>
      <c r="P61" s="793">
        <v>10.47905022235367</v>
      </c>
      <c r="Q61" s="793">
        <v>28.66267022415286</v>
      </c>
      <c r="R61" s="793">
        <v>0.935247487996876</v>
      </c>
      <c r="S61" s="793">
        <v>149.2450269479038</v>
      </c>
      <c r="T61" s="792">
        <v>0.1755412575561123</v>
      </c>
      <c r="U61" s="792">
        <v>0.09364704765360626</v>
      </c>
      <c r="V61" s="792">
        <v>0.04389906097828049</v>
      </c>
      <c r="W61" s="792">
        <v>1.372986994776379</v>
      </c>
      <c r="X61" s="792">
        <v>0.01764148774776679</v>
      </c>
      <c r="Y61" s="792">
        <v>2.059529543224148</v>
      </c>
      <c r="Z61" s="792">
        <v>2.059529543224148</v>
      </c>
      <c r="AA61" s="794">
        <v>0.04263388843207364</v>
      </c>
    </row>
    <row r="62" ht="12.75" customHeight="1">
      <c r="A62" s="791" t="s">
        <v>1449</v>
      </c>
      <c r="B62" s="581">
        <v>486.0</v>
      </c>
      <c r="C62" s="792">
        <v>0.1015605727923628</v>
      </c>
      <c r="D62" s="792">
        <v>0.1516353594054834</v>
      </c>
      <c r="E62" s="792">
        <v>0.07017650626025004</v>
      </c>
      <c r="F62" s="792">
        <v>0.2032462860085923</v>
      </c>
      <c r="G62" s="793">
        <v>0.45529282820391</v>
      </c>
      <c r="H62" s="793">
        <v>0.713095834385215</v>
      </c>
      <c r="I62" s="792">
        <v>0.07964729547588761</v>
      </c>
      <c r="J62" s="792">
        <v>0.306094059709723</v>
      </c>
      <c r="K62" s="792">
        <v>0.057772</v>
      </c>
      <c r="L62" s="792">
        <v>0.461977296618897</v>
      </c>
      <c r="M62" s="792">
        <v>0.06277031691032375</v>
      </c>
      <c r="N62" s="793">
        <v>0.565609939006503</v>
      </c>
      <c r="O62" s="793">
        <v>2.551955906236076</v>
      </c>
      <c r="P62" s="793">
        <v>10.10017392821272</v>
      </c>
      <c r="Q62" s="793">
        <v>16.79084763050131</v>
      </c>
      <c r="R62" s="793">
        <v>1.460927769968012</v>
      </c>
      <c r="S62" s="793">
        <v>62.56480753809761</v>
      </c>
      <c r="T62" s="792">
        <v>0.02703104469666699</v>
      </c>
      <c r="U62" s="792">
        <v>0.2145644753345978</v>
      </c>
      <c r="V62" s="792">
        <v>0.1340070933076269</v>
      </c>
      <c r="W62" s="792">
        <v>1.126089659478797</v>
      </c>
      <c r="X62" s="792">
        <v>0.102744054437984</v>
      </c>
      <c r="Y62" s="792">
        <v>0.6200272651819144</v>
      </c>
      <c r="Z62" s="792">
        <v>0.6200272651819144</v>
      </c>
      <c r="AA62" s="794">
        <v>0.1515969796862756</v>
      </c>
    </row>
    <row r="63" ht="12.75" customHeight="1">
      <c r="A63" s="791" t="s">
        <v>1451</v>
      </c>
      <c r="B63" s="581">
        <v>777.0</v>
      </c>
      <c r="C63" s="792">
        <v>0.3746245698924733</v>
      </c>
      <c r="D63" s="792">
        <v>0.2494359793073996</v>
      </c>
      <c r="E63" s="792">
        <v>0.2153013873373777</v>
      </c>
      <c r="F63" s="792">
        <v>0.2807892099793587</v>
      </c>
      <c r="G63" s="793">
        <v>1.373938191111347</v>
      </c>
      <c r="H63" s="793">
        <v>1.397502721670588</v>
      </c>
      <c r="I63" s="792">
        <v>0.1181794032300541</v>
      </c>
      <c r="J63" s="792">
        <v>0.7989371056048193</v>
      </c>
      <c r="K63" s="792">
        <v>0.067295</v>
      </c>
      <c r="L63" s="792">
        <v>0.08303757886209259</v>
      </c>
      <c r="M63" s="792">
        <v>0.1125364064652896</v>
      </c>
      <c r="N63" s="793">
        <v>0.917643435885882</v>
      </c>
      <c r="O63" s="793">
        <v>4.753381526569258</v>
      </c>
      <c r="P63" s="793">
        <v>12.73651266924004</v>
      </c>
      <c r="Q63" s="793">
        <v>17.83773922825321</v>
      </c>
      <c r="R63" s="793">
        <v>3.804657280304748</v>
      </c>
      <c r="S63" s="793">
        <v>116.9843636034271</v>
      </c>
      <c r="T63" s="792">
        <v>0.08027924066323718</v>
      </c>
      <c r="U63" s="792">
        <v>0.1603575525262508</v>
      </c>
      <c r="V63" s="792">
        <v>0.1178855847628951</v>
      </c>
      <c r="W63" s="792">
        <v>0.715851867850095</v>
      </c>
      <c r="X63" s="792">
        <v>0.1690195841814242</v>
      </c>
      <c r="Y63" s="792">
        <v>0.2956417875171883</v>
      </c>
      <c r="Z63" s="792">
        <v>0.2956417875171884</v>
      </c>
      <c r="AA63" s="794">
        <v>0.2497433812958025</v>
      </c>
    </row>
    <row r="64" ht="12.75" customHeight="1">
      <c r="A64" s="791" t="s">
        <v>1454</v>
      </c>
      <c r="B64" s="581">
        <v>307.0</v>
      </c>
      <c r="C64" s="792">
        <v>0.03057247058823529</v>
      </c>
      <c r="D64" s="792">
        <v>0.07381590385170556</v>
      </c>
      <c r="E64" s="792">
        <v>0.09322190614455993</v>
      </c>
      <c r="F64" s="792">
        <v>0.265406956569354</v>
      </c>
      <c r="G64" s="793">
        <v>0.7787889630268272</v>
      </c>
      <c r="H64" s="793">
        <v>0.8166280629364139</v>
      </c>
      <c r="I64" s="792">
        <v>0.08547615994332011</v>
      </c>
      <c r="J64" s="792">
        <v>0.3617680805781914</v>
      </c>
      <c r="K64" s="792">
        <v>0.057772</v>
      </c>
      <c r="L64" s="792">
        <v>0.2186822963991847</v>
      </c>
      <c r="M64" s="792">
        <v>0.07621257747978911</v>
      </c>
      <c r="N64" s="793">
        <v>1.559200631640464</v>
      </c>
      <c r="O64" s="793">
        <v>1.298066388695739</v>
      </c>
      <c r="P64" s="793">
        <v>10.23179810924868</v>
      </c>
      <c r="Q64" s="793">
        <v>16.4922305047955</v>
      </c>
      <c r="R64" s="793">
        <v>1.523870819913599</v>
      </c>
      <c r="S64" s="793">
        <v>71.36492122452768</v>
      </c>
      <c r="T64" s="792">
        <v>0.07236118869083086</v>
      </c>
      <c r="U64" s="792">
        <v>0.03450868369439283</v>
      </c>
      <c r="V64" s="792">
        <v>0.01895271342635333</v>
      </c>
      <c r="W64" s="792">
        <v>0.5941059864285225</v>
      </c>
      <c r="X64" s="792">
        <v>0.07028936379565481</v>
      </c>
      <c r="Y64" s="792">
        <v>0.484929490888346</v>
      </c>
      <c r="Z64" s="792">
        <v>0.484929490888346</v>
      </c>
      <c r="AA64" s="794">
        <v>0.07428540002338996</v>
      </c>
    </row>
    <row r="65" ht="12.75" customHeight="1">
      <c r="A65" s="791" t="s">
        <v>1057</v>
      </c>
      <c r="B65" s="581">
        <v>643.0</v>
      </c>
      <c r="C65" s="792">
        <v>0.1149438445807772</v>
      </c>
      <c r="D65" s="792">
        <v>0.3191638260682245</v>
      </c>
      <c r="E65" s="792">
        <v>0.03662333496456642</v>
      </c>
      <c r="F65" s="792">
        <v>0.05100410168995666</v>
      </c>
      <c r="G65" s="793">
        <v>0.3617107801017127</v>
      </c>
      <c r="H65" s="793">
        <v>0.5649158041768807</v>
      </c>
      <c r="I65" s="792">
        <v>0.07130475977515838</v>
      </c>
      <c r="J65" s="792">
        <v>0.2281224401054277</v>
      </c>
      <c r="K65" s="792">
        <v>0.054406</v>
      </c>
      <c r="L65" s="792">
        <v>0.4446741466717571</v>
      </c>
      <c r="M65" s="792">
        <v>0.05765256890236476</v>
      </c>
      <c r="N65" s="793">
        <v>0.127078899954272</v>
      </c>
      <c r="O65" s="793">
        <v>10.83423195678241</v>
      </c>
      <c r="P65" s="793">
        <v>19.69582875946651</v>
      </c>
      <c r="Q65" s="793">
        <v>31.75104938479781</v>
      </c>
      <c r="R65" s="793">
        <v>1.490526370054512</v>
      </c>
      <c r="S65" s="793">
        <v>27.84694101501239</v>
      </c>
      <c r="T65" s="792">
        <v>1.121122250159316</v>
      </c>
      <c r="U65" s="792">
        <v>0.04479808563980852</v>
      </c>
      <c r="V65" s="792">
        <v>-0.05588284583519937</v>
      </c>
      <c r="W65" s="792">
        <v>-0.1736637246495784</v>
      </c>
      <c r="X65" s="792">
        <v>0.05320894404278788</v>
      </c>
      <c r="Y65" s="792">
        <v>1.402724258789219</v>
      </c>
      <c r="Z65" s="792">
        <v>1.402724258789219</v>
      </c>
      <c r="AA65" s="794">
        <v>0.3001236105920998</v>
      </c>
    </row>
    <row r="66" ht="12.75" customHeight="1">
      <c r="A66" s="791" t="s">
        <v>1455</v>
      </c>
      <c r="B66" s="581">
        <v>895.0</v>
      </c>
      <c r="C66" s="792">
        <v>0.1092788078541373</v>
      </c>
      <c r="D66" s="792">
        <v>0.03464043404800599</v>
      </c>
      <c r="E66" s="792">
        <v>0.01207738676351989</v>
      </c>
      <c r="F66" s="792">
        <v>0.2953434605090853</v>
      </c>
      <c r="G66" s="793">
        <v>0.4459430094478332</v>
      </c>
      <c r="H66" s="793">
        <v>0.9255963509212772</v>
      </c>
      <c r="I66" s="792">
        <v>0.09161107455686791</v>
      </c>
      <c r="J66" s="792">
        <v>0.4316375298833472</v>
      </c>
      <c r="K66" s="792">
        <v>0.057772</v>
      </c>
      <c r="L66" s="792">
        <v>0.6565749313205221</v>
      </c>
      <c r="M66" s="792">
        <v>0.05976992767703071</v>
      </c>
      <c r="N66" s="793">
        <v>0.4114776713927805</v>
      </c>
      <c r="O66" s="793">
        <v>2.08249739415861</v>
      </c>
      <c r="P66" s="793">
        <v>14.08180992767816</v>
      </c>
      <c r="Q66" s="793">
        <v>40.1909309194856</v>
      </c>
      <c r="R66" s="793">
        <v>0.5582336098166379</v>
      </c>
      <c r="S66" s="793">
        <v>49.302438688236</v>
      </c>
      <c r="T66" s="792">
        <v>1.709129550153643</v>
      </c>
      <c r="U66" s="792">
        <v>0.01176904058012445</v>
      </c>
      <c r="V66" s="792">
        <v>5.387085761074494E-4</v>
      </c>
      <c r="W66" s="792">
        <v>-10.82220747472523</v>
      </c>
      <c r="X66" s="792">
        <v>-0.05924928709176732</v>
      </c>
      <c r="Y66" s="792">
        <v>0.004171350724506205</v>
      </c>
      <c r="Z66" s="792">
        <v>0.004171350724506251</v>
      </c>
      <c r="AA66" s="794">
        <v>0.03439490571805705</v>
      </c>
    </row>
    <row r="67" ht="12.75" customHeight="1">
      <c r="A67" s="791" t="s">
        <v>1456</v>
      </c>
      <c r="B67" s="581">
        <v>312.0</v>
      </c>
      <c r="C67" s="792">
        <v>0.1169489105058367</v>
      </c>
      <c r="D67" s="792">
        <v>0.1491904456432028</v>
      </c>
      <c r="E67" s="792">
        <v>0.03590291574504025</v>
      </c>
      <c r="F67" s="792">
        <v>0.2442921607230223</v>
      </c>
      <c r="G67" s="793">
        <v>0.5976415577929464</v>
      </c>
      <c r="H67" s="793">
        <v>0.9278510967823941</v>
      </c>
      <c r="I67" s="792">
        <v>0.0917380167488488</v>
      </c>
      <c r="J67" s="792">
        <v>0.3351451420430995</v>
      </c>
      <c r="K67" s="792">
        <v>0.057772</v>
      </c>
      <c r="L67" s="792">
        <v>0.4696623100945709</v>
      </c>
      <c r="M67" s="792">
        <v>0.06890173278855619</v>
      </c>
      <c r="N67" s="793">
        <v>0.2692977134672492</v>
      </c>
      <c r="O67" s="793">
        <v>3.785734191005333</v>
      </c>
      <c r="P67" s="793">
        <v>15.0164391000157</v>
      </c>
      <c r="Q67" s="793">
        <v>22.45656337840806</v>
      </c>
      <c r="R67" s="793">
        <v>0.9265585029469142</v>
      </c>
      <c r="S67" s="793">
        <v>35.03223053789104</v>
      </c>
      <c r="T67" s="792">
        <v>1.16940909728276</v>
      </c>
      <c r="U67" s="792">
        <v>0.09104638467895854</v>
      </c>
      <c r="V67" s="792">
        <v>0.0706249081283494</v>
      </c>
      <c r="W67" s="792">
        <v>0.657538642401746</v>
      </c>
      <c r="X67" s="792">
        <v>0.0344476413600075</v>
      </c>
      <c r="Y67" s="792">
        <v>0.6377464769662482</v>
      </c>
      <c r="Z67" s="792">
        <v>0.6377464769662482</v>
      </c>
      <c r="AA67" s="794">
        <v>0.1560585333552827</v>
      </c>
    </row>
    <row r="68" ht="12.75" customHeight="1">
      <c r="A68" s="791" t="s">
        <v>1457</v>
      </c>
      <c r="B68" s="581">
        <v>752.0</v>
      </c>
      <c r="C68" s="792">
        <v>0.106951550802139</v>
      </c>
      <c r="D68" s="792">
        <v>0.1739870542804467</v>
      </c>
      <c r="E68" s="792">
        <v>0.04194610209003494</v>
      </c>
      <c r="F68" s="792">
        <v>0.1884459279791835</v>
      </c>
      <c r="G68" s="793">
        <v>0.5141243820700275</v>
      </c>
      <c r="H68" s="793">
        <v>0.7817615978661525</v>
      </c>
      <c r="I68" s="792">
        <v>0.08351317795986439</v>
      </c>
      <c r="J68" s="792">
        <v>0.3627061746321218</v>
      </c>
      <c r="K68" s="792">
        <v>0.057772</v>
      </c>
      <c r="L68" s="792">
        <v>0.4520618604805629</v>
      </c>
      <c r="M68" s="792">
        <v>0.06525081259357243</v>
      </c>
      <c r="N68" s="793">
        <v>0.2772511126154806</v>
      </c>
      <c r="O68" s="793">
        <v>4.149271620392574</v>
      </c>
      <c r="P68" s="793">
        <v>18.46448433542004</v>
      </c>
      <c r="Q68" s="793">
        <v>22.19818780596913</v>
      </c>
      <c r="R68" s="793">
        <v>0.9948345614892116</v>
      </c>
      <c r="S68" s="793">
        <v>65.40912109472205</v>
      </c>
      <c r="T68" s="792">
        <v>0.1846724797349471</v>
      </c>
      <c r="U68" s="792">
        <v>0.02085411573594052</v>
      </c>
      <c r="V68" s="792">
        <v>0.02254993152013053</v>
      </c>
      <c r="W68" s="792">
        <v>0.2589210621538328</v>
      </c>
      <c r="X68" s="792">
        <v>0.05016615822925891</v>
      </c>
      <c r="Y68" s="792">
        <v>0.4724112596823254</v>
      </c>
      <c r="Z68" s="792">
        <v>0.4724112596823253</v>
      </c>
      <c r="AA68" s="794">
        <v>0.1773064261354949</v>
      </c>
    </row>
    <row r="69" ht="12.75" customHeight="1">
      <c r="A69" s="791" t="s">
        <v>1059</v>
      </c>
      <c r="B69" s="581">
        <v>332.0</v>
      </c>
      <c r="C69" s="792">
        <v>0.08771458498023714</v>
      </c>
      <c r="D69" s="792">
        <v>0.1051687689805018</v>
      </c>
      <c r="E69" s="792">
        <v>0.09530290658247441</v>
      </c>
      <c r="F69" s="792">
        <v>0.261924180193841</v>
      </c>
      <c r="G69" s="793">
        <v>0.8899705656165486</v>
      </c>
      <c r="H69" s="793">
        <v>1.006379861589296</v>
      </c>
      <c r="I69" s="792">
        <v>0.09615918620747738</v>
      </c>
      <c r="J69" s="792">
        <v>0.3887640144142781</v>
      </c>
      <c r="K69" s="792">
        <v>0.057772</v>
      </c>
      <c r="L69" s="792">
        <v>0.2501930405380595</v>
      </c>
      <c r="M69" s="792">
        <v>0.08288796092438629</v>
      </c>
      <c r="N69" s="793">
        <v>1.205564462967723</v>
      </c>
      <c r="O69" s="793">
        <v>2.037579416921606</v>
      </c>
      <c r="P69" s="793">
        <v>11.44117611985326</v>
      </c>
      <c r="Q69" s="793">
        <v>19.90547042853703</v>
      </c>
      <c r="R69" s="793">
        <v>2.640701076220093</v>
      </c>
      <c r="S69" s="793">
        <v>518.4765050109564</v>
      </c>
      <c r="T69" s="792">
        <v>0.1386234479341811</v>
      </c>
      <c r="U69" s="792">
        <v>0.05971337175491774</v>
      </c>
      <c r="V69" s="792">
        <v>0.02110405625939609</v>
      </c>
      <c r="W69" s="792">
        <v>0.2506063298286342</v>
      </c>
      <c r="X69" s="792">
        <v>0.03886368714794795</v>
      </c>
      <c r="Y69" s="792">
        <v>1.267025042087485</v>
      </c>
      <c r="Z69" s="792">
        <v>1.267025042087485</v>
      </c>
      <c r="AA69" s="794">
        <v>0.1014420451358757</v>
      </c>
    </row>
    <row r="70" ht="12.75" customHeight="1">
      <c r="A70" s="791" t="s">
        <v>1458</v>
      </c>
      <c r="B70" s="581">
        <v>32.0</v>
      </c>
      <c r="C70" s="792">
        <v>0.08274785714285715</v>
      </c>
      <c r="D70" s="792">
        <v>0.1332120967135036</v>
      </c>
      <c r="E70" s="792">
        <v>0.1745438480795341</v>
      </c>
      <c r="F70" s="792">
        <v>0.2296029152444692</v>
      </c>
      <c r="G70" s="793">
        <v>0.9526677446916421</v>
      </c>
      <c r="H70" s="793">
        <v>0.9894656018903776</v>
      </c>
      <c r="I70" s="792">
        <v>0.09520691338642825</v>
      </c>
      <c r="J70" s="792">
        <v>0.3057150140325701</v>
      </c>
      <c r="K70" s="792">
        <v>0.057772</v>
      </c>
      <c r="L70" s="792">
        <v>0.1686036292722797</v>
      </c>
      <c r="M70" s="792">
        <v>0.08642406880558329</v>
      </c>
      <c r="N70" s="793">
        <v>1.593090168907029</v>
      </c>
      <c r="O70" s="793">
        <v>1.050461210359293</v>
      </c>
      <c r="P70" s="793">
        <v>7.91825806910534</v>
      </c>
      <c r="Q70" s="793">
        <v>5.315568476665034</v>
      </c>
      <c r="R70" s="793">
        <v>1.430570367596739</v>
      </c>
      <c r="S70" s="793">
        <v>10.89799963641564</v>
      </c>
      <c r="T70" s="792">
        <v>-0.646991351690546</v>
      </c>
      <c r="U70" s="792">
        <v>5.466252252983143E-4</v>
      </c>
      <c r="V70" s="792">
        <v>0.04471524197081372</v>
      </c>
      <c r="W70" s="792">
        <v>0.4881172152901424</v>
      </c>
      <c r="X70" s="792">
        <v>0.1564648948150132</v>
      </c>
      <c r="Y70" s="792">
        <v>0.2498683974894317</v>
      </c>
      <c r="Z70" s="792">
        <v>0.2498683974894317</v>
      </c>
      <c r="AA70" s="794">
        <v>0.1331982697493818</v>
      </c>
    </row>
    <row r="71" ht="12.75" customHeight="1">
      <c r="A71" s="791" t="s">
        <v>1459</v>
      </c>
      <c r="B71" s="581">
        <v>410.0</v>
      </c>
      <c r="C71" s="792">
        <v>0.08904744897959184</v>
      </c>
      <c r="D71" s="792">
        <v>0.09509014242277498</v>
      </c>
      <c r="E71" s="792">
        <v>0.1418390609350501</v>
      </c>
      <c r="F71" s="792">
        <v>0.2296024179180171</v>
      </c>
      <c r="G71" s="793">
        <v>0.6606263564759781</v>
      </c>
      <c r="H71" s="793">
        <v>0.7547042188005285</v>
      </c>
      <c r="I71" s="792">
        <v>0.08198984751846976</v>
      </c>
      <c r="J71" s="792">
        <v>0.3314076568122884</v>
      </c>
      <c r="K71" s="792">
        <v>0.057772</v>
      </c>
      <c r="L71" s="792">
        <v>0.2064375689001402</v>
      </c>
      <c r="M71" s="792">
        <v>0.073964668793585</v>
      </c>
      <c r="N71" s="793">
        <v>1.995422349332178</v>
      </c>
      <c r="O71" s="793">
        <v>2.473223403095496</v>
      </c>
      <c r="P71" s="793">
        <v>16.59654444434705</v>
      </c>
      <c r="Q71" s="793">
        <v>27.87663205838354</v>
      </c>
      <c r="R71" s="793">
        <v>8.956217747417544</v>
      </c>
      <c r="S71" s="793">
        <v>67.30580589855452</v>
      </c>
      <c r="T71" s="792">
        <v>-0.008902963365388995</v>
      </c>
      <c r="U71" s="792">
        <v>0.04229238417178479</v>
      </c>
      <c r="V71" s="792">
        <v>0.01785883321955373</v>
      </c>
      <c r="W71" s="792">
        <v>0.2726751363165097</v>
      </c>
      <c r="X71" s="792">
        <v>0.2813626967080739</v>
      </c>
      <c r="Y71" s="792">
        <v>0.6656518498202616</v>
      </c>
      <c r="Z71" s="792">
        <v>0.6656518498202616</v>
      </c>
      <c r="AA71" s="794">
        <v>0.08873221374431402</v>
      </c>
    </row>
    <row r="72" ht="12.75" customHeight="1">
      <c r="A72" s="791" t="s">
        <v>1460</v>
      </c>
      <c r="B72" s="581">
        <v>212.0</v>
      </c>
      <c r="C72" s="792">
        <v>0.1098397972972973</v>
      </c>
      <c r="D72" s="792">
        <v>0.05151367292583361</v>
      </c>
      <c r="E72" s="792">
        <v>0.1047412918196891</v>
      </c>
      <c r="F72" s="792">
        <v>0.2339412579952067</v>
      </c>
      <c r="G72" s="793">
        <v>0.6298056345182907</v>
      </c>
      <c r="H72" s="793">
        <v>0.8345533783845093</v>
      </c>
      <c r="I72" s="792">
        <v>0.08648535520304787</v>
      </c>
      <c r="J72" s="792">
        <v>0.3707027154283827</v>
      </c>
      <c r="K72" s="792">
        <v>0.057772</v>
      </c>
      <c r="L72" s="792">
        <v>0.3453292235973775</v>
      </c>
      <c r="M72" s="792">
        <v>0.07150838823583575</v>
      </c>
      <c r="N72" s="793">
        <v>2.537319722237231</v>
      </c>
      <c r="O72" s="793">
        <v>0.8779024077303554</v>
      </c>
      <c r="P72" s="793">
        <v>12.28233026002029</v>
      </c>
      <c r="Q72" s="793">
        <v>17.56290961731483</v>
      </c>
      <c r="R72" s="793">
        <v>3.190474221885967</v>
      </c>
      <c r="S72" s="793">
        <v>238.003934271649</v>
      </c>
      <c r="T72" s="792">
        <v>0.1032051251049343</v>
      </c>
      <c r="U72" s="792">
        <v>0.02421797216479497</v>
      </c>
      <c r="V72" s="792">
        <v>0.01831782645906442</v>
      </c>
      <c r="W72" s="792">
        <v>0.3969661931794953</v>
      </c>
      <c r="X72" s="792">
        <v>0.1271849593303982</v>
      </c>
      <c r="Y72" s="792">
        <v>0.4146123216347165</v>
      </c>
      <c r="Z72" s="792">
        <v>0.4146123216347165</v>
      </c>
      <c r="AA72" s="794">
        <v>0.0497267339668928</v>
      </c>
    </row>
    <row r="73" ht="12.75" customHeight="1">
      <c r="A73" s="791" t="s">
        <v>1461</v>
      </c>
      <c r="B73" s="581">
        <v>121.0</v>
      </c>
      <c r="C73" s="792">
        <v>0.04394159090909091</v>
      </c>
      <c r="D73" s="792">
        <v>0.1059004828802061</v>
      </c>
      <c r="E73" s="792">
        <v>0.231414778751026</v>
      </c>
      <c r="F73" s="792">
        <v>0.246617135404608</v>
      </c>
      <c r="G73" s="793">
        <v>0.8046541261441439</v>
      </c>
      <c r="H73" s="793">
        <v>0.9448886263181572</v>
      </c>
      <c r="I73" s="792">
        <v>0.09269722966171226</v>
      </c>
      <c r="J73" s="792">
        <v>0.3431839495105764</v>
      </c>
      <c r="K73" s="792">
        <v>0.057772</v>
      </c>
      <c r="L73" s="792">
        <v>0.2060454743464585</v>
      </c>
      <c r="M73" s="792">
        <v>0.08248108582458727</v>
      </c>
      <c r="N73" s="793">
        <v>2.742826999059449</v>
      </c>
      <c r="O73" s="793">
        <v>1.909106375749557</v>
      </c>
      <c r="P73" s="793">
        <v>13.4819504184892</v>
      </c>
      <c r="Q73" s="793">
        <v>18.19498298108233</v>
      </c>
      <c r="R73" s="793">
        <v>12.67096425364824</v>
      </c>
      <c r="S73" s="793">
        <v>27.82871151051389</v>
      </c>
      <c r="T73" s="792">
        <v>0.09762740462319386</v>
      </c>
      <c r="U73" s="792">
        <v>0.02546300199937413</v>
      </c>
      <c r="V73" s="792">
        <v>0.04373731505555901</v>
      </c>
      <c r="W73" s="792">
        <v>0.5665844485168845</v>
      </c>
      <c r="X73" s="792">
        <v>0.7077634236187839</v>
      </c>
      <c r="Y73" s="792">
        <v>0.561381963122771</v>
      </c>
      <c r="Z73" s="792">
        <v>0.561381963122771</v>
      </c>
      <c r="AA73" s="794">
        <v>0.1045099263028524</v>
      </c>
    </row>
    <row r="74" ht="12.75" customHeight="1">
      <c r="A74" s="791" t="s">
        <v>1462</v>
      </c>
      <c r="B74" s="581">
        <v>1079.0</v>
      </c>
      <c r="C74" s="792">
        <v>0.1697928843710291</v>
      </c>
      <c r="D74" s="792">
        <v>0.04789213431125137</v>
      </c>
      <c r="E74" s="792">
        <v>0.07256195383239139</v>
      </c>
      <c r="F74" s="792">
        <v>0.2243316776376483</v>
      </c>
      <c r="G74" s="793">
        <v>0.6427870354354531</v>
      </c>
      <c r="H74" s="793">
        <v>0.8135943038880372</v>
      </c>
      <c r="I74" s="792">
        <v>0.08530535930889649</v>
      </c>
      <c r="J74" s="792">
        <v>0.3860263803991233</v>
      </c>
      <c r="K74" s="792">
        <v>0.057772</v>
      </c>
      <c r="L74" s="792">
        <v>0.3258530750417148</v>
      </c>
      <c r="M74" s="792">
        <v>0.07155758036878682</v>
      </c>
      <c r="N74" s="793">
        <v>1.827761977344407</v>
      </c>
      <c r="O74" s="793">
        <v>0.9714873432401605</v>
      </c>
      <c r="P74" s="793">
        <v>14.4145828448941</v>
      </c>
      <c r="Q74" s="793">
        <v>19.4447771673551</v>
      </c>
      <c r="R74" s="793">
        <v>1.87538524122312</v>
      </c>
      <c r="S74" s="793">
        <v>82.29169332929244</v>
      </c>
      <c r="T74" s="792">
        <v>0.1597206182794098</v>
      </c>
      <c r="U74" s="792">
        <v>0.02943790125394995</v>
      </c>
      <c r="V74" s="792">
        <v>0.03182782848483925</v>
      </c>
      <c r="W74" s="792">
        <v>0.9973754265147551</v>
      </c>
      <c r="X74" s="792">
        <v>0.1150874261471539</v>
      </c>
      <c r="Y74" s="792">
        <v>0.5085311578743437</v>
      </c>
      <c r="Z74" s="792">
        <v>0.5085311578743437</v>
      </c>
      <c r="AA74" s="794">
        <v>0.0482794792379243</v>
      </c>
    </row>
    <row r="75" ht="12.75" customHeight="1">
      <c r="A75" s="791" t="s">
        <v>1463</v>
      </c>
      <c r="B75" s="581">
        <v>252.0</v>
      </c>
      <c r="C75" s="792">
        <v>0.02506167512690356</v>
      </c>
      <c r="D75" s="792">
        <v>0.06474340055041528</v>
      </c>
      <c r="E75" s="792">
        <v>0.117234501863138</v>
      </c>
      <c r="F75" s="792">
        <v>0.1914603497017898</v>
      </c>
      <c r="G75" s="793">
        <v>0.9372779491064982</v>
      </c>
      <c r="H75" s="793">
        <v>0.9825458040668552</v>
      </c>
      <c r="I75" s="792">
        <v>0.09481732876896395</v>
      </c>
      <c r="J75" s="792">
        <v>0.3615244623466804</v>
      </c>
      <c r="K75" s="792">
        <v>0.057772</v>
      </c>
      <c r="L75" s="792">
        <v>0.1153929791380072</v>
      </c>
      <c r="M75" s="792">
        <v>0.08885127113367022</v>
      </c>
      <c r="N75" s="793">
        <v>2.725516681913951</v>
      </c>
      <c r="O75" s="793">
        <v>1.932230896170613</v>
      </c>
      <c r="P75" s="793">
        <v>17.09673563113583</v>
      </c>
      <c r="Q75" s="793">
        <v>30.66589619990264</v>
      </c>
      <c r="R75" s="793">
        <v>5.288580515942678</v>
      </c>
      <c r="S75" s="793">
        <v>66.24576868998284</v>
      </c>
      <c r="T75" s="792">
        <v>0.01217096572652088</v>
      </c>
      <c r="U75" s="792">
        <v>0.06816016419993415</v>
      </c>
      <c r="V75" s="792">
        <v>0.03840426549758547</v>
      </c>
      <c r="W75" s="792">
        <v>0.7746307095094055</v>
      </c>
      <c r="X75" s="792">
        <v>0.2102987216008</v>
      </c>
      <c r="Y75" s="792">
        <v>0.1565947270144975</v>
      </c>
      <c r="Z75" s="792">
        <v>0.1565947270144975</v>
      </c>
      <c r="AA75" s="794">
        <v>0.06718995101266123</v>
      </c>
    </row>
    <row r="76" ht="12.75" customHeight="1">
      <c r="A76" s="791" t="s">
        <v>1465</v>
      </c>
      <c r="B76" s="581">
        <v>215.0</v>
      </c>
      <c r="C76" s="792">
        <v>0.0550627380952381</v>
      </c>
      <c r="D76" s="792">
        <v>0.03779647989181484</v>
      </c>
      <c r="E76" s="792">
        <v>0.1007739695508477</v>
      </c>
      <c r="F76" s="792">
        <v>0.2583148590557114</v>
      </c>
      <c r="G76" s="793">
        <v>0.6905168684866784</v>
      </c>
      <c r="H76" s="793">
        <v>0.8735269236418004</v>
      </c>
      <c r="I76" s="792">
        <v>0.08867956580103337</v>
      </c>
      <c r="J76" s="792">
        <v>0.3619039143297326</v>
      </c>
      <c r="K76" s="792">
        <v>0.057772</v>
      </c>
      <c r="L76" s="792">
        <v>0.3148862540972695</v>
      </c>
      <c r="M76" s="792">
        <v>0.07433198706266891</v>
      </c>
      <c r="N76" s="793">
        <v>3.499862723553217</v>
      </c>
      <c r="O76" s="793">
        <v>0.6677380811373366</v>
      </c>
      <c r="P76" s="793">
        <v>10.34281673725207</v>
      </c>
      <c r="Q76" s="793">
        <v>17.8028409483595</v>
      </c>
      <c r="R76" s="793">
        <v>2.594865500151777</v>
      </c>
      <c r="S76" s="793">
        <v>62.97397409524744</v>
      </c>
      <c r="T76" s="792">
        <v>-0.02626738076090251</v>
      </c>
      <c r="U76" s="792">
        <v>0.02191813352540855</v>
      </c>
      <c r="V76" s="792">
        <v>0.002232724565639236</v>
      </c>
      <c r="W76" s="792">
        <v>0.1100069389508625</v>
      </c>
      <c r="X76" s="792">
        <v>0.1095651748537876</v>
      </c>
      <c r="Y76" s="792">
        <v>0.5338124352309425</v>
      </c>
      <c r="Z76" s="792">
        <v>0.5338124352309425</v>
      </c>
      <c r="AA76" s="794">
        <v>0.03669402872488245</v>
      </c>
    </row>
    <row r="77" ht="12.75" customHeight="1">
      <c r="A77" s="791" t="s">
        <v>1466</v>
      </c>
      <c r="B77" s="581">
        <v>113.0</v>
      </c>
      <c r="C77" s="792">
        <v>0.1011641935483871</v>
      </c>
      <c r="D77" s="792">
        <v>0.5001563909753286</v>
      </c>
      <c r="E77" s="792">
        <v>0.0508836109745845</v>
      </c>
      <c r="F77" s="792">
        <v>0.07114049204288712</v>
      </c>
      <c r="G77" s="793">
        <v>0.4073102020389581</v>
      </c>
      <c r="H77" s="793">
        <v>0.6078154093364273</v>
      </c>
      <c r="I77" s="792">
        <v>0.07372000754564086</v>
      </c>
      <c r="J77" s="792">
        <v>0.1781362514483556</v>
      </c>
      <c r="K77" s="792">
        <v>0.054406</v>
      </c>
      <c r="L77" s="792">
        <v>0.4156579408343565</v>
      </c>
      <c r="M77" s="792">
        <v>0.05995474259976463</v>
      </c>
      <c r="N77" s="793">
        <v>0.1110341749571815</v>
      </c>
      <c r="O77" s="793">
        <v>11.50206315471085</v>
      </c>
      <c r="P77" s="793">
        <v>16.76379152853874</v>
      </c>
      <c r="Q77" s="793">
        <v>21.14748926434133</v>
      </c>
      <c r="R77" s="793">
        <v>1.329824312847173</v>
      </c>
      <c r="S77" s="793">
        <v>106.5599008769375</v>
      </c>
      <c r="T77" s="792">
        <v>0.001553750689302308</v>
      </c>
      <c r="U77" s="792">
        <v>0.03932759265466854</v>
      </c>
      <c r="V77" s="792">
        <v>-0.03587328427573429</v>
      </c>
      <c r="W77" s="792">
        <v>-0.07726860248670529</v>
      </c>
      <c r="X77" s="792">
        <v>0.05830796414020813</v>
      </c>
      <c r="Y77" s="792">
        <v>1.193611651748855</v>
      </c>
      <c r="Z77" s="792">
        <v>1.193611651748855</v>
      </c>
      <c r="AA77" s="794">
        <v>0.4918330102235171</v>
      </c>
    </row>
    <row r="78" ht="12.75" customHeight="1">
      <c r="A78" s="791" t="s">
        <v>1061</v>
      </c>
      <c r="B78" s="581">
        <v>649.0</v>
      </c>
      <c r="C78" s="792">
        <v>0.0864061434977579</v>
      </c>
      <c r="D78" s="792">
        <v>0.07408328178255402</v>
      </c>
      <c r="E78" s="792">
        <v>0.1700160941762582</v>
      </c>
      <c r="F78" s="792">
        <v>0.2484519779339119</v>
      </c>
      <c r="G78" s="793">
        <v>0.9036386392039154</v>
      </c>
      <c r="H78" s="793">
        <v>0.9604159304469734</v>
      </c>
      <c r="I78" s="792">
        <v>0.09357141688416461</v>
      </c>
      <c r="J78" s="792">
        <v>0.3974555854898027</v>
      </c>
      <c r="K78" s="792">
        <v>0.057772</v>
      </c>
      <c r="L78" s="792">
        <v>0.1551553084559602</v>
      </c>
      <c r="M78" s="792">
        <v>0.08574287375475266</v>
      </c>
      <c r="N78" s="793">
        <v>2.720701091060132</v>
      </c>
      <c r="O78" s="793">
        <v>1.494979992414504</v>
      </c>
      <c r="P78" s="793">
        <v>13.10971332802314</v>
      </c>
      <c r="Q78" s="793">
        <v>19.33739578616155</v>
      </c>
      <c r="R78" s="793">
        <v>4.409562295492401</v>
      </c>
      <c r="S78" s="793">
        <v>67.31716734916264</v>
      </c>
      <c r="T78" s="792">
        <v>0.0734551606699835</v>
      </c>
      <c r="U78" s="792">
        <v>0.02529875401398797</v>
      </c>
      <c r="V78" s="792">
        <v>0.003132584878005541</v>
      </c>
      <c r="W78" s="792">
        <v>0.1940640784540515</v>
      </c>
      <c r="X78" s="792">
        <v>0.1657039509770625</v>
      </c>
      <c r="Y78" s="792">
        <v>0.3829435316785111</v>
      </c>
      <c r="Z78" s="792">
        <v>0.382943531678511</v>
      </c>
      <c r="AA78" s="794">
        <v>0.07595142127968159</v>
      </c>
    </row>
    <row r="79" ht="12.75" customHeight="1">
      <c r="A79" s="791" t="s">
        <v>1471</v>
      </c>
      <c r="B79" s="581">
        <v>91.0</v>
      </c>
      <c r="C79" s="792">
        <v>0.09210848101265828</v>
      </c>
      <c r="D79" s="792">
        <v>0.07304957857542783</v>
      </c>
      <c r="E79" s="792">
        <v>0.08276265626723926</v>
      </c>
      <c r="F79" s="792">
        <v>0.2813485468128076</v>
      </c>
      <c r="G79" s="793">
        <v>0.7807467415051133</v>
      </c>
      <c r="H79" s="793">
        <v>0.9407597331040694</v>
      </c>
      <c r="I79" s="792">
        <v>0.0924647729737591</v>
      </c>
      <c r="J79" s="792">
        <v>0.301311818098797</v>
      </c>
      <c r="K79" s="792">
        <v>0.057772</v>
      </c>
      <c r="L79" s="792">
        <v>0.3061370390328608</v>
      </c>
      <c r="M79" s="792">
        <v>0.0773570541736113</v>
      </c>
      <c r="N79" s="793">
        <v>1.451849529929093</v>
      </c>
      <c r="O79" s="793">
        <v>0.8990840662030828</v>
      </c>
      <c r="P79" s="793">
        <v>6.817684759642478</v>
      </c>
      <c r="Q79" s="793">
        <v>12.12334685514196</v>
      </c>
      <c r="R79" s="793">
        <v>1.265408759991341</v>
      </c>
      <c r="S79" s="793">
        <v>26.60724768391314</v>
      </c>
      <c r="T79" s="792">
        <v>0.211740003356104</v>
      </c>
      <c r="U79" s="792">
        <v>0.06340370065895891</v>
      </c>
      <c r="V79" s="792">
        <v>0.03285726395243756</v>
      </c>
      <c r="W79" s="792">
        <v>0.8912405050162355</v>
      </c>
      <c r="X79" s="792">
        <v>0.06049432968703455</v>
      </c>
      <c r="Y79" s="792">
        <v>0.6830483186115996</v>
      </c>
      <c r="Z79" s="792">
        <v>0.6830483186115996</v>
      </c>
      <c r="AA79" s="794">
        <v>0.07962487217609979</v>
      </c>
    </row>
    <row r="80" ht="12.75" customHeight="1">
      <c r="A80" s="791" t="s">
        <v>1066</v>
      </c>
      <c r="B80" s="581">
        <v>675.0</v>
      </c>
      <c r="C80" s="792">
        <v>0.07810913865546222</v>
      </c>
      <c r="D80" s="792">
        <v>0.2699037852233688</v>
      </c>
      <c r="E80" s="792">
        <v>0.2053635878609724</v>
      </c>
      <c r="F80" s="792">
        <v>0.1608322733095263</v>
      </c>
      <c r="G80" s="793">
        <v>1.86889703225494</v>
      </c>
      <c r="H80" s="793">
        <v>1.876765888655153</v>
      </c>
      <c r="I80" s="792">
        <v>0.1451619195312851</v>
      </c>
      <c r="J80" s="792">
        <v>0.4508125738693745</v>
      </c>
      <c r="K80" s="792">
        <v>0.060013</v>
      </c>
      <c r="L80" s="792">
        <v>0.03961860128087261</v>
      </c>
      <c r="M80" s="792">
        <v>0.1411852334240717</v>
      </c>
      <c r="N80" s="793">
        <v>1.109327556592405</v>
      </c>
      <c r="O80" s="793">
        <v>10.62189423829147</v>
      </c>
      <c r="P80" s="793">
        <v>26.97654347667644</v>
      </c>
      <c r="Q80" s="793">
        <v>38.24251439073223</v>
      </c>
      <c r="R80" s="793">
        <v>8.976167264269229</v>
      </c>
      <c r="S80" s="793">
        <v>192.0291315193963</v>
      </c>
      <c r="T80" s="792">
        <v>0.1761634738192006</v>
      </c>
      <c r="U80" s="792">
        <v>0.1588333161764649</v>
      </c>
      <c r="V80" s="792">
        <v>0.08874721109941727</v>
      </c>
      <c r="W80" s="792">
        <v>0.5827666715932869</v>
      </c>
      <c r="X80" s="792">
        <v>0.2398610250907364</v>
      </c>
      <c r="Y80" s="792">
        <v>0.2259211355312928</v>
      </c>
      <c r="Z80" s="792">
        <v>0.2259211355312928</v>
      </c>
      <c r="AA80" s="794">
        <v>0.2808488955902988</v>
      </c>
    </row>
    <row r="81" ht="12.75" customHeight="1">
      <c r="A81" s="791" t="s">
        <v>1472</v>
      </c>
      <c r="B81" s="581">
        <v>391.0</v>
      </c>
      <c r="C81" s="792">
        <v>0.1108540569395017</v>
      </c>
      <c r="D81" s="792">
        <v>0.2027990959163544</v>
      </c>
      <c r="E81" s="792">
        <v>0.171563243909878</v>
      </c>
      <c r="F81" s="792">
        <v>0.1909833978132411</v>
      </c>
      <c r="G81" s="793">
        <v>2.117251565837131</v>
      </c>
      <c r="H81" s="793">
        <v>2.125766710261747</v>
      </c>
      <c r="I81" s="792">
        <v>0.1591806657877364</v>
      </c>
      <c r="J81" s="792">
        <v>0.4598911785520198</v>
      </c>
      <c r="K81" s="792">
        <v>0.060013</v>
      </c>
      <c r="L81" s="792">
        <v>0.05311171292421026</v>
      </c>
      <c r="M81" s="792">
        <v>0.1531050595291814</v>
      </c>
      <c r="N81" s="793">
        <v>1.233775487070035</v>
      </c>
      <c r="O81" s="793">
        <v>6.940079537513276</v>
      </c>
      <c r="P81" s="793">
        <v>25.66213960211013</v>
      </c>
      <c r="Q81" s="793">
        <v>32.99726451885536</v>
      </c>
      <c r="R81" s="793">
        <v>7.184034302856302</v>
      </c>
      <c r="S81" s="793">
        <v>117.9121271542234</v>
      </c>
      <c r="T81" s="792">
        <v>0.3059977550033087</v>
      </c>
      <c r="U81" s="792">
        <v>0.08520263785374678</v>
      </c>
      <c r="V81" s="792">
        <v>0.05618238229609543</v>
      </c>
      <c r="W81" s="792">
        <v>0.4892631701134272</v>
      </c>
      <c r="X81" s="792">
        <v>0.1971531272371012</v>
      </c>
      <c r="Y81" s="792">
        <v>0.3116163851548842</v>
      </c>
      <c r="Z81" s="792">
        <v>0.3116163851548842</v>
      </c>
      <c r="AA81" s="794">
        <v>0.2097964869625374</v>
      </c>
    </row>
    <row r="82" ht="12.75" customHeight="1">
      <c r="A82" s="791" t="s">
        <v>1474</v>
      </c>
      <c r="B82" s="581">
        <v>359.0</v>
      </c>
      <c r="C82" s="792">
        <v>0.09747634408602146</v>
      </c>
      <c r="D82" s="792">
        <v>0.1434449122081565</v>
      </c>
      <c r="E82" s="792">
        <v>0.08841408706345948</v>
      </c>
      <c r="F82" s="792">
        <v>0.1402060232865289</v>
      </c>
      <c r="G82" s="793">
        <v>0.7871248113700747</v>
      </c>
      <c r="H82" s="793">
        <v>0.8743989647644601</v>
      </c>
      <c r="I82" s="792">
        <v>0.08872866171623911</v>
      </c>
      <c r="J82" s="792">
        <v>0.3378114092685288</v>
      </c>
      <c r="K82" s="792">
        <v>0.057772</v>
      </c>
      <c r="L82" s="792">
        <v>0.2942556938567827</v>
      </c>
      <c r="M82" s="792">
        <v>0.07530665371926563</v>
      </c>
      <c r="N82" s="793">
        <v>0.7136553229172714</v>
      </c>
      <c r="O82" s="793">
        <v>1.616065969453053</v>
      </c>
      <c r="P82" s="793">
        <v>7.474116154633957</v>
      </c>
      <c r="Q82" s="793">
        <v>10.97448843651818</v>
      </c>
      <c r="R82" s="793">
        <v>0.9971256402508936</v>
      </c>
      <c r="S82" s="793">
        <v>21.24934090695505</v>
      </c>
      <c r="T82" s="792">
        <v>-0.01255509811130327</v>
      </c>
      <c r="U82" s="792">
        <v>0.1157271668362315</v>
      </c>
      <c r="V82" s="792">
        <v>0.05892678659352511</v>
      </c>
      <c r="W82" s="792">
        <v>0.4762215696540864</v>
      </c>
      <c r="X82" s="792">
        <v>0.1140058142952867</v>
      </c>
      <c r="Y82" s="792">
        <v>0.558338983231167</v>
      </c>
      <c r="Z82" s="792">
        <v>0.558338983231167</v>
      </c>
      <c r="AA82" s="794">
        <v>0.1463274696072858</v>
      </c>
    </row>
    <row r="83" ht="12.75" customHeight="1">
      <c r="A83" s="791" t="s">
        <v>1068</v>
      </c>
      <c r="B83" s="581">
        <v>84.0</v>
      </c>
      <c r="C83" s="792">
        <v>0.06383772727272728</v>
      </c>
      <c r="D83" s="792">
        <v>0.08803540824690881</v>
      </c>
      <c r="E83" s="792">
        <v>0.1529177894508127</v>
      </c>
      <c r="F83" s="792">
        <v>0.2144747131020382</v>
      </c>
      <c r="G83" s="793">
        <v>0.8938187049899886</v>
      </c>
      <c r="H83" s="793">
        <v>0.9183732849112812</v>
      </c>
      <c r="I83" s="792">
        <v>0.09120441594050513</v>
      </c>
      <c r="J83" s="792">
        <v>0.4242228022159766</v>
      </c>
      <c r="K83" s="792">
        <v>0.057772</v>
      </c>
      <c r="L83" s="792">
        <v>0.1250635703750987</v>
      </c>
      <c r="M83" s="792">
        <v>0.08519021235121813</v>
      </c>
      <c r="N83" s="793">
        <v>2.114924026927135</v>
      </c>
      <c r="O83" s="793">
        <v>1.7476230502879</v>
      </c>
      <c r="P83" s="793">
        <v>14.66784277019671</v>
      </c>
      <c r="Q83" s="793">
        <v>19.56630235116958</v>
      </c>
      <c r="R83" s="793">
        <v>3.652912586710069</v>
      </c>
      <c r="S83" s="793">
        <v>38.53380105170844</v>
      </c>
      <c r="T83" s="792">
        <v>0.1749571074129782</v>
      </c>
      <c r="U83" s="792">
        <v>0.02026269685847257</v>
      </c>
      <c r="V83" s="792">
        <v>0.003354255980206194</v>
      </c>
      <c r="W83" s="792">
        <v>0.1516251397504969</v>
      </c>
      <c r="X83" s="792">
        <v>0.1400225864686223</v>
      </c>
      <c r="Y83" s="792">
        <v>0.6354480233479911</v>
      </c>
      <c r="Z83" s="792">
        <v>0.6354480233479911</v>
      </c>
      <c r="AA83" s="794">
        <v>0.08902140846782168</v>
      </c>
    </row>
    <row r="84" ht="12.75" customHeight="1">
      <c r="A84" s="791" t="s">
        <v>1476</v>
      </c>
      <c r="B84" s="581">
        <v>298.0</v>
      </c>
      <c r="C84" s="792">
        <v>0.1652429999999999</v>
      </c>
      <c r="D84" s="792">
        <v>0.3189527278025692</v>
      </c>
      <c r="E84" s="792">
        <v>0.2283361152332571</v>
      </c>
      <c r="F84" s="792">
        <v>0.2151242333555971</v>
      </c>
      <c r="G84" s="793">
        <v>1.23463309831149</v>
      </c>
      <c r="H84" s="793">
        <v>1.246407316079466</v>
      </c>
      <c r="I84" s="792">
        <v>0.109672731895274</v>
      </c>
      <c r="J84" s="792">
        <v>0.4930747454240414</v>
      </c>
      <c r="K84" s="792">
        <v>0.060013</v>
      </c>
      <c r="L84" s="792">
        <v>0.03041579912358255</v>
      </c>
      <c r="M84" s="792">
        <v>0.1076992018568101</v>
      </c>
      <c r="N84" s="793">
        <v>1.150202431881667</v>
      </c>
      <c r="O84" s="793">
        <v>8.328991136213514</v>
      </c>
      <c r="P84" s="793">
        <v>21.4288117410939</v>
      </c>
      <c r="Q84" s="793">
        <v>26.06670254673476</v>
      </c>
      <c r="R84" s="793">
        <v>7.294809182043607</v>
      </c>
      <c r="S84" s="793">
        <v>62.42873043410408</v>
      </c>
      <c r="T84" s="792">
        <v>0.0372555968313419</v>
      </c>
      <c r="U84" s="792">
        <v>0.1971109759000322</v>
      </c>
      <c r="V84" s="792">
        <v>0.1662662377806728</v>
      </c>
      <c r="W84" s="792">
        <v>0.7094863280431506</v>
      </c>
      <c r="X84" s="792">
        <v>0.3097957226923077</v>
      </c>
      <c r="Y84" s="792">
        <v>0.103147544117986</v>
      </c>
      <c r="Z84" s="792">
        <v>0.103147544117986</v>
      </c>
      <c r="AA84" s="794">
        <v>0.338171357266121</v>
      </c>
    </row>
    <row r="85" ht="12.75" customHeight="1">
      <c r="A85" s="791" t="s">
        <v>1477</v>
      </c>
      <c r="B85" s="581">
        <v>150.0</v>
      </c>
      <c r="C85" s="792">
        <v>0.140739633027523</v>
      </c>
      <c r="D85" s="792">
        <v>0.0616769875895596</v>
      </c>
      <c r="E85" s="792">
        <v>0.05780212413228354</v>
      </c>
      <c r="F85" s="792">
        <v>0.1617482938988749</v>
      </c>
      <c r="G85" s="793">
        <v>1.337040006342187</v>
      </c>
      <c r="H85" s="793">
        <v>1.392131688617691</v>
      </c>
      <c r="I85" s="792">
        <v>0.117877014069176</v>
      </c>
      <c r="J85" s="792">
        <v>0.4848634561992031</v>
      </c>
      <c r="K85" s="792">
        <v>0.060013</v>
      </c>
      <c r="L85" s="792">
        <v>0.09101234563085206</v>
      </c>
      <c r="M85" s="792">
        <v>0.1112249843281137</v>
      </c>
      <c r="N85" s="793">
        <v>1.400643007345897</v>
      </c>
      <c r="O85" s="793">
        <v>7.728498123638001</v>
      </c>
      <c r="P85" s="793">
        <v>40.55071889794711</v>
      </c>
      <c r="Q85" s="793">
        <v>104.4299150887297</v>
      </c>
      <c r="R85" s="793">
        <v>10.21009456111655</v>
      </c>
      <c r="S85" s="793">
        <v>99.39265566860605</v>
      </c>
      <c r="T85" s="792">
        <v>0.06846142891124993</v>
      </c>
      <c r="U85" s="792">
        <v>0.198776629848601</v>
      </c>
      <c r="V85" s="792">
        <v>0.1524050524523086</v>
      </c>
      <c r="W85" s="792">
        <v>3.724090077473796</v>
      </c>
      <c r="X85" s="792">
        <v>0.05999483621830692</v>
      </c>
      <c r="Y85" s="792">
        <v>0.2990646407137599</v>
      </c>
      <c r="Z85" s="792">
        <v>0.2990646407137598</v>
      </c>
      <c r="AA85" s="794">
        <v>0.06772778712070673</v>
      </c>
    </row>
    <row r="86" ht="12.75" customHeight="1">
      <c r="A86" s="791" t="s">
        <v>1055</v>
      </c>
      <c r="B86" s="581">
        <v>1532.0</v>
      </c>
      <c r="C86" s="792">
        <v>0.1484352099031216</v>
      </c>
      <c r="D86" s="792">
        <v>0.2740887358861202</v>
      </c>
      <c r="E86" s="792">
        <v>0.2372451641796658</v>
      </c>
      <c r="F86" s="792">
        <v>0.1867189744939688</v>
      </c>
      <c r="G86" s="793">
        <v>1.330950254941355</v>
      </c>
      <c r="H86" s="793">
        <v>1.353955269445132</v>
      </c>
      <c r="I86" s="792">
        <v>0.115727681669761</v>
      </c>
      <c r="J86" s="792">
        <v>0.5094211917641069</v>
      </c>
      <c r="K86" s="792">
        <v>0.060013</v>
      </c>
      <c r="L86" s="792">
        <v>0.05513843149564145</v>
      </c>
      <c r="M86" s="792">
        <v>0.1118161624549238</v>
      </c>
      <c r="N86" s="793">
        <v>1.543213630991605</v>
      </c>
      <c r="O86" s="793">
        <v>9.912802757717099</v>
      </c>
      <c r="P86" s="793">
        <v>24.63946512110707</v>
      </c>
      <c r="Q86" s="793">
        <v>33.19339627195448</v>
      </c>
      <c r="R86" s="793">
        <v>8.198149501144265</v>
      </c>
      <c r="S86" s="793">
        <v>87.91850894770006</v>
      </c>
      <c r="T86" s="792">
        <v>0.1241262628704805</v>
      </c>
      <c r="U86" s="792">
        <v>0.1469930588225436</v>
      </c>
      <c r="V86" s="792">
        <v>0.1493594887040754</v>
      </c>
      <c r="W86" s="792">
        <v>0.7762651160918049</v>
      </c>
      <c r="X86" s="792">
        <v>0.2367235365270739</v>
      </c>
      <c r="Y86" s="792">
        <v>0.2408495185612005</v>
      </c>
      <c r="Z86" s="792">
        <v>0.2408495185612005</v>
      </c>
      <c r="AA86" s="794">
        <v>0.2889025672388839</v>
      </c>
    </row>
    <row r="87" ht="12.75" customHeight="1">
      <c r="A87" s="791" t="s">
        <v>1480</v>
      </c>
      <c r="B87" s="581">
        <v>719.0</v>
      </c>
      <c r="C87" s="792">
        <v>0.1138502972027972</v>
      </c>
      <c r="D87" s="792">
        <v>0.04850844690028933</v>
      </c>
      <c r="E87" s="792">
        <v>0.05094706351887338</v>
      </c>
      <c r="F87" s="792">
        <v>0.2550403440388771</v>
      </c>
      <c r="G87" s="793">
        <v>0.929347814691143</v>
      </c>
      <c r="H87" s="793">
        <v>1.128858237850021</v>
      </c>
      <c r="I87" s="792">
        <v>0.1030547187909562</v>
      </c>
      <c r="J87" s="792">
        <v>0.3769551408811282</v>
      </c>
      <c r="K87" s="792">
        <v>0.057772</v>
      </c>
      <c r="L87" s="792">
        <v>0.3212772182949192</v>
      </c>
      <c r="M87" s="792">
        <v>0.08379753093554845</v>
      </c>
      <c r="N87" s="793">
        <v>1.259643372371044</v>
      </c>
      <c r="O87" s="793">
        <v>0.9491330627667011</v>
      </c>
      <c r="P87" s="793">
        <v>8.99375202753227</v>
      </c>
      <c r="Q87" s="793">
        <v>18.36966721395151</v>
      </c>
      <c r="R87" s="793">
        <v>1.09506139482338</v>
      </c>
      <c r="S87" s="793">
        <v>42.37550772705778</v>
      </c>
      <c r="T87" s="792">
        <v>0.1413357605410273</v>
      </c>
      <c r="U87" s="792">
        <v>0.06647679927972518</v>
      </c>
      <c r="V87" s="792">
        <v>0.03750561477239866</v>
      </c>
      <c r="W87" s="792">
        <v>0.9636592543248719</v>
      </c>
      <c r="X87" s="792">
        <v>0.03952885592461267</v>
      </c>
      <c r="Y87" s="792">
        <v>0.8715111712945877</v>
      </c>
      <c r="Z87" s="792">
        <v>0.8715111712945877</v>
      </c>
      <c r="AA87" s="794">
        <v>0.04892894390772499</v>
      </c>
    </row>
    <row r="88" ht="12.75" customHeight="1">
      <c r="A88" s="791" t="s">
        <v>1481</v>
      </c>
      <c r="B88" s="581">
        <v>101.0</v>
      </c>
      <c r="C88" s="792">
        <v>0.04952219512195122</v>
      </c>
      <c r="D88" s="792">
        <v>0.1582909754560217</v>
      </c>
      <c r="E88" s="792">
        <v>0.09293603514650267</v>
      </c>
      <c r="F88" s="792">
        <v>0.1984374430147504</v>
      </c>
      <c r="G88" s="793">
        <v>0.6028420822440717</v>
      </c>
      <c r="H88" s="793">
        <v>0.7824176683719886</v>
      </c>
      <c r="I88" s="792">
        <v>0.08355011472934296</v>
      </c>
      <c r="J88" s="792">
        <v>0.2826473785854386</v>
      </c>
      <c r="K88" s="792">
        <v>0.054406</v>
      </c>
      <c r="L88" s="792">
        <v>0.3331889456807965</v>
      </c>
      <c r="M88" s="792">
        <v>0.06924067675741442</v>
      </c>
      <c r="N88" s="793">
        <v>0.7158335256276035</v>
      </c>
      <c r="O88" s="793">
        <v>2.607189379129544</v>
      </c>
      <c r="P88" s="793">
        <v>8.424129392830098</v>
      </c>
      <c r="Q88" s="793">
        <v>16.5246883356161</v>
      </c>
      <c r="R88" s="793">
        <v>1.846120495179422</v>
      </c>
      <c r="S88" s="793">
        <v>47.84077632678409</v>
      </c>
      <c r="T88" s="792">
        <v>-0.134664697853598</v>
      </c>
      <c r="U88" s="792">
        <v>0.1347406909608523</v>
      </c>
      <c r="V88" s="792">
        <v>0.03328201745158078</v>
      </c>
      <c r="W88" s="792">
        <v>0.4724088230778706</v>
      </c>
      <c r="X88" s="792">
        <v>0.1345286780614446</v>
      </c>
      <c r="Y88" s="792">
        <v>0.5443295364296177</v>
      </c>
      <c r="Z88" s="792">
        <v>0.5443295364296177</v>
      </c>
      <c r="AA88" s="794">
        <v>0.1605833845923413</v>
      </c>
    </row>
    <row r="89" ht="12.75" customHeight="1">
      <c r="A89" s="791" t="s">
        <v>1074</v>
      </c>
      <c r="B89" s="581">
        <v>437.0</v>
      </c>
      <c r="C89" s="792">
        <v>0.05152247956403265</v>
      </c>
      <c r="D89" s="792">
        <v>0.1102712799217096</v>
      </c>
      <c r="E89" s="792">
        <v>0.1272808640403569</v>
      </c>
      <c r="F89" s="792">
        <v>0.1764514699121109</v>
      </c>
      <c r="G89" s="793">
        <v>1.29793213071035</v>
      </c>
      <c r="H89" s="793">
        <v>1.327918509598088</v>
      </c>
      <c r="I89" s="792">
        <v>0.1142618120903723</v>
      </c>
      <c r="J89" s="792">
        <v>0.4696556984456923</v>
      </c>
      <c r="K89" s="792">
        <v>0.060013</v>
      </c>
      <c r="L89" s="792">
        <v>0.08779880078294834</v>
      </c>
      <c r="M89" s="792">
        <v>0.1081620685301952</v>
      </c>
      <c r="N89" s="793">
        <v>2.050737897247834</v>
      </c>
      <c r="O89" s="793">
        <v>4.106000735586163</v>
      </c>
      <c r="P89" s="793">
        <v>24.95097520949019</v>
      </c>
      <c r="Q89" s="793">
        <v>34.43393810986509</v>
      </c>
      <c r="R89" s="793">
        <v>5.889119684088354</v>
      </c>
      <c r="S89" s="793">
        <v>125.4510276756533</v>
      </c>
      <c r="T89" s="792">
        <v>0.2113003245938962</v>
      </c>
      <c r="U89" s="792">
        <v>0.03117764683136303</v>
      </c>
      <c r="V89" s="792">
        <v>0.04186177354360884</v>
      </c>
      <c r="W89" s="792">
        <v>0.5416344395698802</v>
      </c>
      <c r="X89" s="792">
        <v>0.14062262992428</v>
      </c>
      <c r="Y89" s="792">
        <v>0.4951604413131582</v>
      </c>
      <c r="Z89" s="792">
        <v>0.4951604413131583</v>
      </c>
      <c r="AA89" s="794">
        <v>0.117884567036838</v>
      </c>
    </row>
    <row r="90" ht="12.75" customHeight="1">
      <c r="A90" s="791" t="s">
        <v>1076</v>
      </c>
      <c r="B90" s="581">
        <v>283.0</v>
      </c>
      <c r="C90" s="792">
        <v>0.07276163551401871</v>
      </c>
      <c r="D90" s="792">
        <v>0.1609261886984611</v>
      </c>
      <c r="E90" s="792">
        <v>0.0987270863692802</v>
      </c>
      <c r="F90" s="792">
        <v>0.2201688874755019</v>
      </c>
      <c r="G90" s="793">
        <v>0.4962557168204669</v>
      </c>
      <c r="H90" s="793">
        <v>0.7289777763741335</v>
      </c>
      <c r="I90" s="792">
        <v>0.08054144880986372</v>
      </c>
      <c r="J90" s="792">
        <v>0.3752660749854421</v>
      </c>
      <c r="K90" s="792">
        <v>0.057772</v>
      </c>
      <c r="L90" s="792">
        <v>0.4225691783922377</v>
      </c>
      <c r="M90" s="792">
        <v>0.06472628802399233</v>
      </c>
      <c r="N90" s="793">
        <v>0.7258353360688489</v>
      </c>
      <c r="O90" s="793">
        <v>2.263007784445871</v>
      </c>
      <c r="P90" s="793">
        <v>7.054086222833386</v>
      </c>
      <c r="Q90" s="793">
        <v>13.70472591740461</v>
      </c>
      <c r="R90" s="793">
        <v>1.622142746830673</v>
      </c>
      <c r="S90" s="793">
        <v>46.10553580157311</v>
      </c>
      <c r="T90" s="792">
        <v>0.007717252061060532</v>
      </c>
      <c r="U90" s="792">
        <v>0.139959515489868</v>
      </c>
      <c r="V90" s="792">
        <v>-0.0122035965388983</v>
      </c>
      <c r="W90" s="792">
        <v>-0.05144871961953255</v>
      </c>
      <c r="X90" s="792">
        <v>0.1279252841359927</v>
      </c>
      <c r="Y90" s="792">
        <v>0.5954658802823757</v>
      </c>
      <c r="Z90" s="792">
        <v>0.5954658802823757</v>
      </c>
      <c r="AA90" s="794">
        <v>0.1630824109533077</v>
      </c>
    </row>
    <row r="91" ht="12.75" customHeight="1">
      <c r="A91" s="791" t="s">
        <v>1082</v>
      </c>
      <c r="B91" s="581">
        <v>48.0</v>
      </c>
      <c r="C91" s="792">
        <v>0.1982317073170732</v>
      </c>
      <c r="D91" s="792">
        <v>0.3266870167163969</v>
      </c>
      <c r="E91" s="792">
        <v>0.2416713340996142</v>
      </c>
      <c r="F91" s="792">
        <v>0.2206553467967175</v>
      </c>
      <c r="G91" s="793">
        <v>0.3743139650447623</v>
      </c>
      <c r="H91" s="793">
        <v>0.4272798643267071</v>
      </c>
      <c r="I91" s="792">
        <v>0.06355585636159361</v>
      </c>
      <c r="J91" s="792">
        <v>0.4049586219691881</v>
      </c>
      <c r="K91" s="792">
        <v>0.057772</v>
      </c>
      <c r="L91" s="792">
        <v>0.1913442300472008</v>
      </c>
      <c r="M91" s="792">
        <v>0.05964466305103349</v>
      </c>
      <c r="N91" s="793">
        <v>0.9566828136750641</v>
      </c>
      <c r="O91" s="793">
        <v>4.446776627478958</v>
      </c>
      <c r="P91" s="793">
        <v>11.99660792162503</v>
      </c>
      <c r="Q91" s="793">
        <v>13.5739419840982</v>
      </c>
      <c r="R91" s="793">
        <v>5.633398746074878</v>
      </c>
      <c r="S91" s="793">
        <v>20.53829554319265</v>
      </c>
      <c r="T91" s="792">
        <v>0.1616143862536215</v>
      </c>
      <c r="U91" s="792">
        <v>0.02557537367897066</v>
      </c>
      <c r="V91" s="792">
        <v>-0.001211823992404622</v>
      </c>
      <c r="W91" s="792">
        <v>0.08099929640135162</v>
      </c>
      <c r="X91" s="792">
        <v>0.2863699685436205</v>
      </c>
      <c r="Y91" s="792">
        <v>0.8995574138170501</v>
      </c>
      <c r="Z91" s="792">
        <v>0.8995574138170501</v>
      </c>
      <c r="AA91" s="794">
        <v>0.3273704047044008</v>
      </c>
    </row>
    <row r="92" ht="12.75" customHeight="1">
      <c r="A92" s="791" t="s">
        <v>1099</v>
      </c>
      <c r="B92" s="581">
        <v>451.0</v>
      </c>
      <c r="C92" s="792">
        <v>0.08420713375796175</v>
      </c>
      <c r="D92" s="792">
        <v>0.07214058509980592</v>
      </c>
      <c r="E92" s="792">
        <v>0.086620383576458</v>
      </c>
      <c r="F92" s="792">
        <v>0.210765194118547</v>
      </c>
      <c r="G92" s="793">
        <v>0.7474630967654462</v>
      </c>
      <c r="H92" s="793">
        <v>0.9638627393739637</v>
      </c>
      <c r="I92" s="792">
        <v>0.09376547222675416</v>
      </c>
      <c r="J92" s="792">
        <v>0.3685923699078531</v>
      </c>
      <c r="K92" s="792">
        <v>0.057772</v>
      </c>
      <c r="L92" s="792">
        <v>0.3484061280072251</v>
      </c>
      <c r="M92" s="792">
        <v>0.07611862218822603</v>
      </c>
      <c r="N92" s="793">
        <v>1.475042037933486</v>
      </c>
      <c r="O92" s="793">
        <v>1.318488523602003</v>
      </c>
      <c r="P92" s="793">
        <v>11.1838533241064</v>
      </c>
      <c r="Q92" s="793">
        <v>17.93560379143945</v>
      </c>
      <c r="R92" s="793">
        <v>2.081012974551982</v>
      </c>
      <c r="S92" s="793">
        <v>66.79243852767331</v>
      </c>
      <c r="T92" s="792">
        <v>0.04824455000621122</v>
      </c>
      <c r="U92" s="792">
        <v>0.04312421086113512</v>
      </c>
      <c r="V92" s="792">
        <v>0.02359889540313169</v>
      </c>
      <c r="W92" s="792">
        <v>0.5079172767379062</v>
      </c>
      <c r="X92" s="792">
        <v>0.1403274678314904</v>
      </c>
      <c r="Y92" s="792">
        <v>0.4709999390635842</v>
      </c>
      <c r="Z92" s="792">
        <v>0.4709999390635842</v>
      </c>
      <c r="AA92" s="794">
        <v>0.07307764020651038</v>
      </c>
    </row>
    <row r="93" ht="12.75" customHeight="1">
      <c r="A93" s="791" t="s">
        <v>1484</v>
      </c>
      <c r="B93" s="581">
        <v>54.0</v>
      </c>
      <c r="C93" s="792">
        <v>0.06665086956521737</v>
      </c>
      <c r="D93" s="792">
        <v>0.2345234588972128</v>
      </c>
      <c r="E93" s="792">
        <v>0.0778672810557345</v>
      </c>
      <c r="F93" s="792">
        <v>0.2470147746803744</v>
      </c>
      <c r="G93" s="793">
        <v>0.5543601703442842</v>
      </c>
      <c r="H93" s="793">
        <v>0.7199789317393676</v>
      </c>
      <c r="I93" s="792">
        <v>0.0800348138569264</v>
      </c>
      <c r="J93" s="792">
        <v>0.2288012233873055</v>
      </c>
      <c r="K93" s="792">
        <v>0.054406</v>
      </c>
      <c r="L93" s="792">
        <v>0.3217639257274497</v>
      </c>
      <c r="M93" s="792">
        <v>0.06734714227667223</v>
      </c>
      <c r="N93" s="793">
        <v>0.434711523713422</v>
      </c>
      <c r="O93" s="793">
        <v>3.77796352334556</v>
      </c>
      <c r="P93" s="793">
        <v>10.93533213574872</v>
      </c>
      <c r="Q93" s="793">
        <v>15.89581690287881</v>
      </c>
      <c r="R93" s="793">
        <v>1.909799618494047</v>
      </c>
      <c r="S93" s="793">
        <v>39.79859766148373</v>
      </c>
      <c r="T93" s="792">
        <v>0.07263191591482737</v>
      </c>
      <c r="U93" s="792">
        <v>0.1782685123650716</v>
      </c>
      <c r="V93" s="792">
        <v>0.111062437067021</v>
      </c>
      <c r="W93" s="792">
        <v>0.6784583106756248</v>
      </c>
      <c r="X93" s="792">
        <v>0.1230695452667313</v>
      </c>
      <c r="Y93" s="792">
        <v>0.391311166955554</v>
      </c>
      <c r="Z93" s="792">
        <v>0.391311166955554</v>
      </c>
      <c r="AA93" s="794">
        <v>0.236482406260752</v>
      </c>
    </row>
    <row r="94" ht="12.75" customHeight="1">
      <c r="A94" s="791" t="s">
        <v>1487</v>
      </c>
      <c r="B94" s="581">
        <v>130.0</v>
      </c>
      <c r="C94" s="792">
        <v>0.07890906976744189</v>
      </c>
      <c r="D94" s="792">
        <v>0.07445277969940023</v>
      </c>
      <c r="E94" s="792">
        <v>0.08435475076105046</v>
      </c>
      <c r="F94" s="792">
        <v>0.2610157077538672</v>
      </c>
      <c r="G94" s="793">
        <v>0.6772463794887177</v>
      </c>
      <c r="H94" s="793">
        <v>0.8497807821021479</v>
      </c>
      <c r="I94" s="792">
        <v>0.08734265803235093</v>
      </c>
      <c r="J94" s="792">
        <v>0.3832852261285716</v>
      </c>
      <c r="K94" s="792">
        <v>0.057772</v>
      </c>
      <c r="L94" s="792">
        <v>0.2850734894354313</v>
      </c>
      <c r="M94" s="792">
        <v>0.0747345946714137</v>
      </c>
      <c r="N94" s="793">
        <v>1.369006872019866</v>
      </c>
      <c r="O94" s="793">
        <v>1.50569269801898</v>
      </c>
      <c r="P94" s="793">
        <v>9.612106472581209</v>
      </c>
      <c r="Q94" s="793">
        <v>19.42543073309243</v>
      </c>
      <c r="R94" s="793">
        <v>2.373438887807801</v>
      </c>
      <c r="S94" s="793">
        <v>29.30089156223544</v>
      </c>
      <c r="T94" s="792">
        <v>0.06996650952491135</v>
      </c>
      <c r="U94" s="792">
        <v>0.09697594584506919</v>
      </c>
      <c r="V94" s="792">
        <v>0.03711283696523321</v>
      </c>
      <c r="W94" s="792">
        <v>0.6870381054273443</v>
      </c>
      <c r="X94" s="792">
        <v>0.07199658891313906</v>
      </c>
      <c r="Y94" s="792">
        <v>0.3760711892933731</v>
      </c>
      <c r="Z94" s="792">
        <v>0.3760711892933731</v>
      </c>
      <c r="AA94" s="794">
        <v>0.07736761543259557</v>
      </c>
    </row>
    <row r="95" ht="12.75" customHeight="1">
      <c r="A95" s="791" t="s">
        <v>1489</v>
      </c>
      <c r="B95" s="581">
        <v>52.0</v>
      </c>
      <c r="C95" s="792">
        <v>0.07534782608695653</v>
      </c>
      <c r="D95" s="792">
        <v>0.1522406261986824</v>
      </c>
      <c r="E95" s="792">
        <v>0.0799133728230514</v>
      </c>
      <c r="F95" s="792">
        <v>0.2071556701121892</v>
      </c>
      <c r="G95" s="793">
        <v>0.3343806185124047</v>
      </c>
      <c r="H95" s="793">
        <v>0.5038591187475229</v>
      </c>
      <c r="I95" s="792">
        <v>0.06786726838548554</v>
      </c>
      <c r="J95" s="792">
        <v>0.2073312261995846</v>
      </c>
      <c r="K95" s="792">
        <v>0.054406</v>
      </c>
      <c r="L95" s="792">
        <v>0.4325539214638348</v>
      </c>
      <c r="M95" s="792">
        <v>0.05607408773866698</v>
      </c>
      <c r="N95" s="793">
        <v>0.647788200877786</v>
      </c>
      <c r="O95" s="793">
        <v>2.54379132105459</v>
      </c>
      <c r="P95" s="793">
        <v>10.79665716175252</v>
      </c>
      <c r="Q95" s="793">
        <v>16.77322715552353</v>
      </c>
      <c r="R95" s="793">
        <v>1.720838188284137</v>
      </c>
      <c r="S95" s="793">
        <v>27.25553440996123</v>
      </c>
      <c r="T95" s="792">
        <v>0.02196299812586075</v>
      </c>
      <c r="U95" s="792">
        <v>0.2090185213303145</v>
      </c>
      <c r="V95" s="792">
        <v>0.129072712855883</v>
      </c>
      <c r="W95" s="792">
        <v>1.046040672045538</v>
      </c>
      <c r="X95" s="792">
        <v>0.1055259378644767</v>
      </c>
      <c r="Y95" s="792">
        <v>0.6830475351010875</v>
      </c>
      <c r="Z95" s="792">
        <v>0.6830475351010875</v>
      </c>
      <c r="AA95" s="794">
        <v>0.1517410165564171</v>
      </c>
    </row>
    <row r="96" ht="12.75" customHeight="1">
      <c r="A96" s="791" t="s">
        <v>1491</v>
      </c>
      <c r="B96" s="581">
        <v>106.0</v>
      </c>
      <c r="C96" s="792">
        <v>0.06059290697674419</v>
      </c>
      <c r="D96" s="792">
        <v>0.2659565753619052</v>
      </c>
      <c r="E96" s="792">
        <v>0.06530380330030684</v>
      </c>
      <c r="F96" s="792">
        <v>0.2113405184365469</v>
      </c>
      <c r="G96" s="793">
        <v>0.4453385304877626</v>
      </c>
      <c r="H96" s="793">
        <v>0.7045959106451266</v>
      </c>
      <c r="I96" s="792">
        <v>0.07916874976932063</v>
      </c>
      <c r="J96" s="792">
        <v>0.3348934032665305</v>
      </c>
      <c r="K96" s="792">
        <v>0.057772</v>
      </c>
      <c r="L96" s="792">
        <v>0.4771840377749467</v>
      </c>
      <c r="M96" s="792">
        <v>0.06196459211950026</v>
      </c>
      <c r="N96" s="793">
        <v>0.2930657217394863</v>
      </c>
      <c r="O96" s="793">
        <v>4.762558110589225</v>
      </c>
      <c r="P96" s="793">
        <v>11.89386665872409</v>
      </c>
      <c r="Q96" s="793">
        <v>17.67380678218877</v>
      </c>
      <c r="R96" s="793">
        <v>1.459736940525908</v>
      </c>
      <c r="S96" s="793">
        <v>30.51355826047945</v>
      </c>
      <c r="T96" s="792">
        <v>0.1537493203564604</v>
      </c>
      <c r="U96" s="792">
        <v>0.2520347451316794</v>
      </c>
      <c r="V96" s="792">
        <v>0.1541827376121511</v>
      </c>
      <c r="W96" s="792">
        <v>0.983185346532007</v>
      </c>
      <c r="X96" s="792">
        <v>0.118588401437598</v>
      </c>
      <c r="Y96" s="792">
        <v>0.6870015628183725</v>
      </c>
      <c r="Z96" s="792">
        <v>0.58874374230461</v>
      </c>
      <c r="AA96" s="794">
        <v>0.2663152579901115</v>
      </c>
    </row>
    <row r="97" ht="12.75" customHeight="1">
      <c r="A97" s="791" t="s">
        <v>1493</v>
      </c>
      <c r="B97" s="581">
        <v>48156.0</v>
      </c>
      <c r="C97" s="792">
        <v>0.1181341051494414</v>
      </c>
      <c r="D97" s="792">
        <v>0.1056018636795925</v>
      </c>
      <c r="E97" s="792">
        <v>0.06738830206060704</v>
      </c>
      <c r="F97" s="792">
        <v>0.2177233804377577</v>
      </c>
      <c r="G97" s="793">
        <v>0.8323164345801076</v>
      </c>
      <c r="H97" s="793">
        <v>1.040286407651103</v>
      </c>
      <c r="I97" s="792">
        <v>0.09806812475075713</v>
      </c>
      <c r="J97" s="792">
        <v>0.4206601978673363</v>
      </c>
      <c r="K97" s="792">
        <v>0.057772</v>
      </c>
      <c r="L97" s="792">
        <v>0.3398410005376712</v>
      </c>
      <c r="M97" s="792">
        <v>0.07939288263805609</v>
      </c>
      <c r="N97" s="793">
        <v>0.7614850673854209</v>
      </c>
      <c r="O97" s="793">
        <v>2.817108188279028</v>
      </c>
      <c r="P97" s="793">
        <v>14.73509327113196</v>
      </c>
      <c r="Q97" s="793">
        <v>21.71135023810825</v>
      </c>
      <c r="R97" s="793">
        <v>2.475429175984355</v>
      </c>
      <c r="S97" s="793">
        <v>70.46685655197233</v>
      </c>
      <c r="T97" s="792">
        <v>-1.251655557297299</v>
      </c>
      <c r="U97" s="792">
        <v>0.06347553232958515</v>
      </c>
      <c r="V97" s="792">
        <v>0.03746860512047286</v>
      </c>
      <c r="W97" s="792">
        <v>0.5071609876528498</v>
      </c>
      <c r="X97" s="792">
        <v>0.118588401437598</v>
      </c>
      <c r="Y97" s="792">
        <v>0.58874374230461</v>
      </c>
      <c r="Z97" s="792">
        <v>0.58874374230461</v>
      </c>
      <c r="AA97" s="794">
        <v>0.107094461186492</v>
      </c>
    </row>
    <row r="98" ht="12.75" customHeight="1">
      <c r="A98" s="791" t="s">
        <v>1494</v>
      </c>
      <c r="B98" s="581">
        <v>43056.0</v>
      </c>
      <c r="C98" s="792">
        <v>0.1134444183934749</v>
      </c>
      <c r="D98" s="792">
        <v>0.1074766233628325</v>
      </c>
      <c r="E98" s="792">
        <v>0.1062304273693053</v>
      </c>
      <c r="F98" s="792">
        <v>0.2267048273164408</v>
      </c>
      <c r="G98" s="793">
        <v>0.9553636779709899</v>
      </c>
      <c r="H98" s="793">
        <v>1.077443010011765</v>
      </c>
      <c r="I98" s="792">
        <v>0.1001600414636624</v>
      </c>
      <c r="J98" s="792">
        <v>0.4302451990750313</v>
      </c>
      <c r="K98" s="792">
        <v>0.057772</v>
      </c>
      <c r="L98" s="792">
        <v>0.2060295248939992</v>
      </c>
      <c r="M98" s="792">
        <v>0.08840712886213781</v>
      </c>
      <c r="N98" s="793">
        <v>1.221430523945392</v>
      </c>
      <c r="O98" s="793">
        <v>2.33039405405412</v>
      </c>
      <c r="P98" s="793">
        <v>13.69724852932433</v>
      </c>
      <c r="Q98" s="793">
        <v>20.82640083253504</v>
      </c>
      <c r="R98" s="793">
        <v>2.922421262324884</v>
      </c>
      <c r="S98" s="793">
        <v>74.10626941647578</v>
      </c>
      <c r="T98" s="792">
        <v>0.1165711167994842</v>
      </c>
      <c r="U98" s="792">
        <v>0.06872745143348216</v>
      </c>
      <c r="V98" s="792">
        <v>0.03868570927984436</v>
      </c>
      <c r="W98" s="792">
        <v>0.5439380933156975</v>
      </c>
      <c r="X98" s="792">
        <v>0.1151947463251059</v>
      </c>
      <c r="Y98" s="792">
        <v>0.6905236694284442</v>
      </c>
      <c r="Z98" s="792">
        <v>0.6905236694284442</v>
      </c>
      <c r="AA98" s="794">
        <v>0.1091379860106882</v>
      </c>
    </row>
    <row r="99" ht="12.75" customHeight="1">
      <c r="A99" s="9"/>
      <c r="B99" s="748"/>
      <c r="C99" s="748"/>
      <c r="D99" s="748"/>
      <c r="E99" s="748"/>
      <c r="F99" s="748"/>
      <c r="G99" s="748"/>
      <c r="H99" s="748"/>
      <c r="I99" s="748"/>
      <c r="J99" s="748"/>
      <c r="K99" s="748"/>
      <c r="L99" s="748"/>
      <c r="M99" s="748"/>
      <c r="N99" s="748"/>
      <c r="O99" s="748"/>
      <c r="P99" s="748"/>
      <c r="Q99" s="748"/>
      <c r="R99" s="748"/>
      <c r="S99" s="748"/>
      <c r="T99" s="748"/>
      <c r="U99" s="748"/>
      <c r="V99" s="748"/>
      <c r="W99" s="748"/>
      <c r="X99" s="748"/>
      <c r="Y99" s="748"/>
      <c r="Z99" s="748"/>
      <c r="AA99" s="748"/>
    </row>
    <row r="100" ht="12.75" customHeight="1">
      <c r="A100" s="9"/>
      <c r="B100" s="748"/>
      <c r="C100" s="748"/>
      <c r="D100" s="748"/>
      <c r="E100" s="748"/>
      <c r="F100" s="748"/>
      <c r="G100" s="748"/>
      <c r="H100" s="748"/>
      <c r="I100" s="748"/>
      <c r="J100" s="748"/>
      <c r="K100" s="748"/>
      <c r="L100" s="748"/>
      <c r="M100" s="748"/>
      <c r="N100" s="748"/>
      <c r="O100" s="748"/>
      <c r="P100" s="748"/>
      <c r="Q100" s="748"/>
      <c r="R100" s="748"/>
      <c r="S100" s="748"/>
      <c r="T100" s="748"/>
      <c r="U100" s="748"/>
      <c r="V100" s="748"/>
      <c r="W100" s="748"/>
      <c r="X100" s="748"/>
      <c r="Y100" s="748"/>
      <c r="Z100" s="748"/>
      <c r="AA100" s="748"/>
    </row>
    <row r="101" ht="12.75" customHeight="1">
      <c r="A101" s="9"/>
      <c r="B101" s="748"/>
      <c r="C101" s="748"/>
      <c r="D101" s="748"/>
      <c r="E101" s="748"/>
      <c r="F101" s="748"/>
      <c r="G101" s="748"/>
      <c r="H101" s="748"/>
      <c r="I101" s="748"/>
      <c r="J101" s="748"/>
      <c r="K101" s="748"/>
      <c r="L101" s="748"/>
      <c r="M101" s="748"/>
      <c r="N101" s="748"/>
      <c r="O101" s="748"/>
      <c r="P101" s="748"/>
      <c r="Q101" s="748"/>
      <c r="R101" s="748"/>
      <c r="S101" s="748"/>
      <c r="T101" s="748"/>
      <c r="U101" s="748"/>
      <c r="V101" s="748"/>
      <c r="W101" s="748"/>
      <c r="X101" s="748"/>
      <c r="Y101" s="748"/>
      <c r="Z101" s="748"/>
      <c r="AA101" s="748"/>
    </row>
    <row r="102" ht="12.75" customHeight="1">
      <c r="A102" s="9"/>
      <c r="B102" s="748"/>
      <c r="C102" s="748"/>
      <c r="D102" s="748"/>
      <c r="E102" s="748"/>
      <c r="F102" s="748"/>
      <c r="G102" s="748"/>
      <c r="H102" s="748"/>
      <c r="I102" s="748"/>
      <c r="J102" s="748"/>
      <c r="K102" s="748"/>
      <c r="L102" s="748"/>
      <c r="M102" s="748"/>
      <c r="N102" s="748"/>
      <c r="O102" s="748"/>
      <c r="P102" s="748"/>
      <c r="Q102" s="748"/>
      <c r="R102" s="748"/>
      <c r="S102" s="748"/>
      <c r="T102" s="748"/>
      <c r="U102" s="748"/>
      <c r="V102" s="748"/>
      <c r="W102" s="748"/>
      <c r="X102" s="748"/>
      <c r="Y102" s="748"/>
      <c r="Z102" s="748"/>
      <c r="AA102" s="748"/>
    </row>
    <row r="103" ht="12.75" customHeight="1">
      <c r="A103" s="9"/>
      <c r="B103" s="748"/>
      <c r="C103" s="748"/>
      <c r="D103" s="748"/>
      <c r="E103" s="748"/>
      <c r="F103" s="748"/>
      <c r="G103" s="748"/>
      <c r="H103" s="748"/>
      <c r="I103" s="748"/>
      <c r="J103" s="748"/>
      <c r="K103" s="748"/>
      <c r="L103" s="748"/>
      <c r="M103" s="748"/>
      <c r="N103" s="748"/>
      <c r="O103" s="748"/>
      <c r="P103" s="748"/>
      <c r="Q103" s="748"/>
      <c r="R103" s="748"/>
      <c r="S103" s="748"/>
      <c r="T103" s="748"/>
      <c r="U103" s="748"/>
      <c r="V103" s="748"/>
      <c r="W103" s="748"/>
      <c r="X103" s="748"/>
      <c r="Y103" s="748"/>
      <c r="Z103" s="748"/>
      <c r="AA103" s="748"/>
    </row>
    <row r="104" ht="12.75" customHeight="1">
      <c r="A104" s="9"/>
      <c r="B104" s="748"/>
      <c r="C104" s="748"/>
      <c r="D104" s="748"/>
      <c r="E104" s="748"/>
      <c r="F104" s="748"/>
      <c r="G104" s="748"/>
      <c r="H104" s="748"/>
      <c r="I104" s="748"/>
      <c r="J104" s="748"/>
      <c r="K104" s="748"/>
      <c r="L104" s="748"/>
      <c r="M104" s="748"/>
      <c r="N104" s="748"/>
      <c r="O104" s="748"/>
      <c r="P104" s="748"/>
      <c r="Q104" s="748"/>
      <c r="R104" s="748"/>
      <c r="S104" s="748"/>
      <c r="T104" s="748"/>
      <c r="U104" s="748"/>
      <c r="V104" s="748"/>
      <c r="W104" s="748"/>
      <c r="X104" s="748"/>
      <c r="Y104" s="748"/>
      <c r="Z104" s="748"/>
      <c r="AA104" s="748"/>
    </row>
    <row r="105" ht="12.75" customHeight="1">
      <c r="A105" s="9"/>
      <c r="B105" s="748"/>
      <c r="C105" s="748"/>
      <c r="D105" s="748"/>
      <c r="E105" s="748"/>
      <c r="F105" s="748"/>
      <c r="G105" s="748"/>
      <c r="H105" s="748"/>
      <c r="I105" s="748"/>
      <c r="J105" s="748"/>
      <c r="K105" s="748"/>
      <c r="L105" s="748"/>
      <c r="M105" s="748"/>
      <c r="N105" s="748"/>
      <c r="O105" s="748"/>
      <c r="P105" s="748"/>
      <c r="Q105" s="748"/>
      <c r="R105" s="748"/>
      <c r="S105" s="748"/>
      <c r="T105" s="748"/>
      <c r="U105" s="748"/>
      <c r="V105" s="748"/>
      <c r="W105" s="748"/>
      <c r="X105" s="748"/>
      <c r="Y105" s="748"/>
      <c r="Z105" s="748"/>
      <c r="AA105" s="748"/>
    </row>
    <row r="106" ht="12.75" customHeight="1">
      <c r="A106" s="9"/>
      <c r="B106" s="748"/>
      <c r="C106" s="748"/>
      <c r="D106" s="748"/>
      <c r="E106" s="748"/>
      <c r="F106" s="748"/>
      <c r="G106" s="748"/>
      <c r="H106" s="748"/>
      <c r="I106" s="748"/>
      <c r="J106" s="748"/>
      <c r="K106" s="748"/>
      <c r="L106" s="748"/>
      <c r="M106" s="748"/>
      <c r="N106" s="748"/>
      <c r="O106" s="748"/>
      <c r="P106" s="748"/>
      <c r="Q106" s="748"/>
      <c r="R106" s="748"/>
      <c r="S106" s="748"/>
      <c r="T106" s="748"/>
      <c r="U106" s="748"/>
      <c r="V106" s="748"/>
      <c r="W106" s="748"/>
      <c r="X106" s="748"/>
      <c r="Y106" s="748"/>
      <c r="Z106" s="748"/>
      <c r="AA106" s="748"/>
    </row>
    <row r="107" ht="12.75" customHeight="1">
      <c r="A107" s="9"/>
      <c r="B107" s="748"/>
      <c r="C107" s="748"/>
      <c r="D107" s="748"/>
      <c r="E107" s="748"/>
      <c r="F107" s="748"/>
      <c r="G107" s="748"/>
      <c r="H107" s="748"/>
      <c r="I107" s="748"/>
      <c r="J107" s="748"/>
      <c r="K107" s="748"/>
      <c r="L107" s="748"/>
      <c r="M107" s="748"/>
      <c r="N107" s="748"/>
      <c r="O107" s="748"/>
      <c r="P107" s="748"/>
      <c r="Q107" s="748"/>
      <c r="R107" s="748"/>
      <c r="S107" s="748"/>
      <c r="T107" s="748"/>
      <c r="U107" s="748"/>
      <c r="V107" s="748"/>
      <c r="W107" s="748"/>
      <c r="X107" s="748"/>
      <c r="Y107" s="748"/>
      <c r="Z107" s="748"/>
      <c r="AA107" s="748"/>
    </row>
    <row r="108" ht="12.75" customHeight="1">
      <c r="A108" s="9"/>
      <c r="B108" s="748"/>
      <c r="C108" s="748"/>
      <c r="D108" s="748"/>
      <c r="E108" s="748"/>
      <c r="F108" s="748"/>
      <c r="G108" s="748"/>
      <c r="H108" s="748"/>
      <c r="I108" s="748"/>
      <c r="J108" s="748"/>
      <c r="K108" s="748"/>
      <c r="L108" s="748"/>
      <c r="M108" s="748"/>
      <c r="N108" s="748"/>
      <c r="O108" s="748"/>
      <c r="P108" s="748"/>
      <c r="Q108" s="748"/>
      <c r="R108" s="748"/>
      <c r="S108" s="748"/>
      <c r="T108" s="748"/>
      <c r="U108" s="748"/>
      <c r="V108" s="748"/>
      <c r="W108" s="748"/>
      <c r="X108" s="748"/>
      <c r="Y108" s="748"/>
      <c r="Z108" s="748"/>
      <c r="AA108" s="748"/>
    </row>
    <row r="109" ht="12.75" customHeight="1">
      <c r="A109" s="9"/>
      <c r="B109" s="748"/>
      <c r="C109" s="748"/>
      <c r="D109" s="748"/>
      <c r="E109" s="748"/>
      <c r="F109" s="748"/>
      <c r="G109" s="748"/>
      <c r="H109" s="748"/>
      <c r="I109" s="748"/>
      <c r="J109" s="748"/>
      <c r="K109" s="748"/>
      <c r="L109" s="748"/>
      <c r="M109" s="748"/>
      <c r="N109" s="748"/>
      <c r="O109" s="748"/>
      <c r="P109" s="748"/>
      <c r="Q109" s="748"/>
      <c r="R109" s="748"/>
      <c r="S109" s="748"/>
      <c r="T109" s="748"/>
      <c r="U109" s="748"/>
      <c r="V109" s="748"/>
      <c r="W109" s="748"/>
      <c r="X109" s="748"/>
      <c r="Y109" s="748"/>
      <c r="Z109" s="748"/>
      <c r="AA109" s="748"/>
    </row>
    <row r="110" ht="12.75" customHeight="1">
      <c r="A110" s="9"/>
      <c r="B110" s="748"/>
      <c r="C110" s="748"/>
      <c r="D110" s="748"/>
      <c r="E110" s="748"/>
      <c r="F110" s="748"/>
      <c r="G110" s="748"/>
      <c r="H110" s="748"/>
      <c r="I110" s="748"/>
      <c r="J110" s="748"/>
      <c r="K110" s="748"/>
      <c r="L110" s="748"/>
      <c r="M110" s="748"/>
      <c r="N110" s="748"/>
      <c r="O110" s="748"/>
      <c r="P110" s="748"/>
      <c r="Q110" s="748"/>
      <c r="R110" s="748"/>
      <c r="S110" s="748"/>
      <c r="T110" s="748"/>
      <c r="U110" s="748"/>
      <c r="V110" s="748"/>
      <c r="W110" s="748"/>
      <c r="X110" s="748"/>
      <c r="Y110" s="748"/>
      <c r="Z110" s="748"/>
      <c r="AA110" s="748"/>
    </row>
    <row r="111" ht="12.75" customHeight="1">
      <c r="A111" s="9"/>
      <c r="B111" s="748"/>
      <c r="C111" s="748"/>
      <c r="D111" s="748"/>
      <c r="E111" s="748"/>
      <c r="F111" s="748"/>
      <c r="G111" s="748"/>
      <c r="H111" s="748"/>
      <c r="I111" s="748"/>
      <c r="J111" s="748"/>
      <c r="K111" s="748"/>
      <c r="L111" s="748"/>
      <c r="M111" s="748"/>
      <c r="N111" s="748"/>
      <c r="O111" s="748"/>
      <c r="P111" s="748"/>
      <c r="Q111" s="748"/>
      <c r="R111" s="748"/>
      <c r="S111" s="748"/>
      <c r="T111" s="748"/>
      <c r="U111" s="748"/>
      <c r="V111" s="748"/>
      <c r="W111" s="748"/>
      <c r="X111" s="748"/>
      <c r="Y111" s="748"/>
      <c r="Z111" s="748"/>
      <c r="AA111" s="748"/>
    </row>
    <row r="112" ht="12.75" customHeight="1">
      <c r="A112" s="9"/>
      <c r="B112" s="748"/>
      <c r="C112" s="748"/>
      <c r="D112" s="748"/>
      <c r="E112" s="748"/>
      <c r="F112" s="748"/>
      <c r="G112" s="748"/>
      <c r="H112" s="748"/>
      <c r="I112" s="748"/>
      <c r="J112" s="748"/>
      <c r="K112" s="748"/>
      <c r="L112" s="748"/>
      <c r="M112" s="748"/>
      <c r="N112" s="748"/>
      <c r="O112" s="748"/>
      <c r="P112" s="748"/>
      <c r="Q112" s="748"/>
      <c r="R112" s="748"/>
      <c r="S112" s="748"/>
      <c r="T112" s="748"/>
      <c r="U112" s="748"/>
      <c r="V112" s="748"/>
      <c r="W112" s="748"/>
      <c r="X112" s="748"/>
      <c r="Y112" s="748"/>
      <c r="Z112" s="748"/>
      <c r="AA112" s="748"/>
    </row>
    <row r="113" ht="12.75" customHeight="1">
      <c r="A113" s="9"/>
      <c r="B113" s="748"/>
      <c r="C113" s="748"/>
      <c r="D113" s="748"/>
      <c r="E113" s="748"/>
      <c r="F113" s="748"/>
      <c r="G113" s="748"/>
      <c r="H113" s="748"/>
      <c r="I113" s="748"/>
      <c r="J113" s="748"/>
      <c r="K113" s="748"/>
      <c r="L113" s="748"/>
      <c r="M113" s="748"/>
      <c r="N113" s="748"/>
      <c r="O113" s="748"/>
      <c r="P113" s="748"/>
      <c r="Q113" s="748"/>
      <c r="R113" s="748"/>
      <c r="S113" s="748"/>
      <c r="T113" s="748"/>
      <c r="U113" s="748"/>
      <c r="V113" s="748"/>
      <c r="W113" s="748"/>
      <c r="X113" s="748"/>
      <c r="Y113" s="748"/>
      <c r="Z113" s="748"/>
      <c r="AA113" s="748"/>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88"/>
    <col customWidth="1" min="2" max="2" width="8.5"/>
    <col customWidth="1" min="3" max="20" width="11.5"/>
    <col customWidth="1" min="21" max="23" width="8.38"/>
    <col customWidth="1" min="24" max="26" width="11.25"/>
  </cols>
  <sheetData>
    <row r="1" ht="37.5" customHeight="1">
      <c r="A1" s="33" t="s">
        <v>72</v>
      </c>
      <c r="B1" s="35">
        <f>'Input sheet'!B1</f>
        <v>0.0</v>
      </c>
      <c r="C1" s="33" t="s">
        <v>57</v>
      </c>
      <c r="D1" s="37">
        <f>'Input sheet'!D1</f>
        <v>39.4</v>
      </c>
      <c r="E1" s="7"/>
      <c r="F1" s="7"/>
      <c r="G1" s="7"/>
      <c r="H1" s="7"/>
      <c r="I1" s="7"/>
      <c r="J1" s="7"/>
      <c r="K1" s="7"/>
      <c r="L1" s="7"/>
      <c r="M1" s="7"/>
      <c r="N1" s="7"/>
      <c r="O1" s="7"/>
      <c r="P1" s="7"/>
      <c r="Q1" s="7"/>
      <c r="R1" s="7"/>
      <c r="S1" s="7"/>
      <c r="T1" s="7"/>
      <c r="U1" s="7"/>
      <c r="V1" s="7"/>
      <c r="W1" s="7"/>
    </row>
    <row r="2" ht="12.75" customHeight="1">
      <c r="A2" s="801"/>
      <c r="B2" s="802"/>
      <c r="C2" s="803" t="s">
        <v>1443</v>
      </c>
      <c r="D2" s="506"/>
      <c r="E2" s="506"/>
      <c r="F2" s="803" t="s">
        <v>1444</v>
      </c>
      <c r="G2" s="506"/>
      <c r="H2" s="506"/>
      <c r="I2" s="804" t="s">
        <v>1445</v>
      </c>
      <c r="J2" s="506"/>
      <c r="K2" s="506"/>
      <c r="L2" s="803" t="s">
        <v>784</v>
      </c>
      <c r="M2" s="506"/>
      <c r="N2" s="506"/>
      <c r="O2" s="805"/>
      <c r="P2" s="805" t="s">
        <v>1447</v>
      </c>
      <c r="Q2" s="805"/>
      <c r="R2" s="803" t="s">
        <v>1448</v>
      </c>
      <c r="S2" s="506"/>
      <c r="T2" s="506"/>
      <c r="U2" s="522"/>
      <c r="V2" s="522"/>
      <c r="W2" s="522"/>
    </row>
    <row r="3" ht="12.75" customHeight="1">
      <c r="A3" s="806" t="s">
        <v>1450</v>
      </c>
      <c r="B3" s="807" t="s">
        <v>1452</v>
      </c>
      <c r="C3" s="808" t="s">
        <v>1453</v>
      </c>
      <c r="D3" s="808" t="s">
        <v>234</v>
      </c>
      <c r="E3" s="808" t="s">
        <v>1204</v>
      </c>
      <c r="F3" s="808" t="s">
        <v>1453</v>
      </c>
      <c r="G3" s="808" t="s">
        <v>234</v>
      </c>
      <c r="H3" s="808" t="s">
        <v>1204</v>
      </c>
      <c r="I3" s="809" t="s">
        <v>1453</v>
      </c>
      <c r="J3" s="809" t="s">
        <v>234</v>
      </c>
      <c r="K3" s="809" t="s">
        <v>1204</v>
      </c>
      <c r="L3" s="808" t="s">
        <v>1453</v>
      </c>
      <c r="M3" s="808" t="s">
        <v>234</v>
      </c>
      <c r="N3" s="808" t="s">
        <v>1204</v>
      </c>
      <c r="O3" s="809" t="s">
        <v>1453</v>
      </c>
      <c r="P3" s="809" t="s">
        <v>234</v>
      </c>
      <c r="Q3" s="809" t="s">
        <v>1204</v>
      </c>
      <c r="R3" s="808" t="s">
        <v>1453</v>
      </c>
      <c r="S3" s="808" t="s">
        <v>234</v>
      </c>
      <c r="T3" s="808" t="s">
        <v>1204</v>
      </c>
      <c r="U3" s="9"/>
      <c r="V3" s="9"/>
      <c r="W3" s="9"/>
    </row>
    <row r="4" ht="12.75" customHeight="1">
      <c r="A4" s="810" t="s">
        <v>911</v>
      </c>
      <c r="B4" s="811">
        <v>419.0</v>
      </c>
      <c r="C4" s="783">
        <v>0.0105</v>
      </c>
      <c r="D4" s="783">
        <v>0.05930000000000001</v>
      </c>
      <c r="E4" s="783">
        <v>0.158</v>
      </c>
      <c r="F4" s="783">
        <v>-0.06551619028566504</v>
      </c>
      <c r="G4" s="783">
        <v>0.03695150115473442</v>
      </c>
      <c r="H4" s="783">
        <v>0.09777766582662865</v>
      </c>
      <c r="I4" s="812">
        <v>0.963855421686747</v>
      </c>
      <c r="J4" s="812">
        <v>2.407550077041603</v>
      </c>
      <c r="K4" s="812">
        <v>6.029850746268657</v>
      </c>
      <c r="L4" s="783">
        <v>0.08768368370202274</v>
      </c>
      <c r="M4" s="783">
        <v>0.09312686460552172</v>
      </c>
      <c r="N4" s="783">
        <v>0.09502570101925112</v>
      </c>
      <c r="O4" s="812">
        <v>0.5600357989517236</v>
      </c>
      <c r="P4" s="812">
        <v>1.13804370824361</v>
      </c>
      <c r="Q4" s="812">
        <v>1.834824262575412</v>
      </c>
      <c r="R4" s="783">
        <v>0.01610588422899059</v>
      </c>
      <c r="S4" s="783">
        <v>0.115678776290631</v>
      </c>
      <c r="T4" s="783">
        <v>0.3472222222222222</v>
      </c>
      <c r="U4" s="753"/>
      <c r="V4" s="753"/>
      <c r="W4" s="9"/>
    </row>
    <row r="5" ht="12.75" customHeight="1">
      <c r="A5" s="810" t="s">
        <v>914</v>
      </c>
      <c r="B5" s="811">
        <v>319.0</v>
      </c>
      <c r="C5" s="783">
        <v>0.07980000000000001</v>
      </c>
      <c r="D5" s="783">
        <v>0.143</v>
      </c>
      <c r="E5" s="783">
        <v>0.284</v>
      </c>
      <c r="F5" s="783">
        <v>-0.02898284313725491</v>
      </c>
      <c r="G5" s="783">
        <v>0.0711711711711712</v>
      </c>
      <c r="H5" s="783">
        <v>0.143</v>
      </c>
      <c r="I5" s="812">
        <v>0.5219664162185416</v>
      </c>
      <c r="J5" s="812">
        <v>1.189581993569132</v>
      </c>
      <c r="K5" s="812">
        <v>2.201332153011001</v>
      </c>
      <c r="L5" s="783">
        <v>0.09053626276485748</v>
      </c>
      <c r="M5" s="783">
        <v>0.09612873770875888</v>
      </c>
      <c r="N5" s="783">
        <v>0.0993547129582124</v>
      </c>
      <c r="O5" s="812">
        <v>0.7592992054348653</v>
      </c>
      <c r="P5" s="812">
        <v>1.170410825233716</v>
      </c>
      <c r="Q5" s="812">
        <v>1.670677468501862</v>
      </c>
      <c r="R5" s="783">
        <v>0.007033927062123604</v>
      </c>
      <c r="S5" s="783">
        <v>0.0529127023869137</v>
      </c>
      <c r="T5" s="783">
        <v>0.1594113040073097</v>
      </c>
      <c r="U5" s="753"/>
      <c r="V5" s="753"/>
      <c r="W5" s="9"/>
    </row>
    <row r="6" ht="12.75" customHeight="1">
      <c r="A6" s="810" t="s">
        <v>916</v>
      </c>
      <c r="B6" s="811">
        <v>150.0</v>
      </c>
      <c r="C6" s="783">
        <v>0.0354</v>
      </c>
      <c r="D6" s="783">
        <v>0.0633</v>
      </c>
      <c r="E6" s="783">
        <v>0.104</v>
      </c>
      <c r="F6" s="783">
        <v>0.01688127001580172</v>
      </c>
      <c r="G6" s="783">
        <v>0.08961047463175123</v>
      </c>
      <c r="H6" s="783">
        <v>0.1778067398994601</v>
      </c>
      <c r="I6" s="812">
        <v>0.6649010595479934</v>
      </c>
      <c r="J6" s="812">
        <v>1.020722693083042</v>
      </c>
      <c r="K6" s="812">
        <v>2.04793781286831</v>
      </c>
      <c r="L6" s="783">
        <v>0.06848928356330741</v>
      </c>
      <c r="M6" s="783">
        <v>0.07300826491794143</v>
      </c>
      <c r="N6" s="783">
        <v>0.08451331776727691</v>
      </c>
      <c r="O6" s="812">
        <v>0.5607257032960421</v>
      </c>
      <c r="P6" s="812">
        <v>0.9879906006739341</v>
      </c>
      <c r="Q6" s="812">
        <v>1.33453668976657</v>
      </c>
      <c r="R6" s="783">
        <v>0.1444989134280083</v>
      </c>
      <c r="S6" s="783">
        <v>0.401885250685811</v>
      </c>
      <c r="T6" s="783">
        <v>0.6146223220332941</v>
      </c>
      <c r="U6" s="753"/>
      <c r="V6" s="753"/>
      <c r="W6" s="9"/>
    </row>
    <row r="7" ht="12.75" customHeight="1">
      <c r="A7" s="810" t="s">
        <v>920</v>
      </c>
      <c r="B7" s="811">
        <v>1207.0</v>
      </c>
      <c r="C7" s="783">
        <v>0.0239</v>
      </c>
      <c r="D7" s="783">
        <v>0.0653</v>
      </c>
      <c r="E7" s="783">
        <v>0.118</v>
      </c>
      <c r="F7" s="783">
        <v>-0.01627155172413793</v>
      </c>
      <c r="G7" s="783">
        <v>0.03966725043782837</v>
      </c>
      <c r="H7" s="783">
        <v>0.08610443798204577</v>
      </c>
      <c r="I7" s="812">
        <v>0.5847310076724319</v>
      </c>
      <c r="J7" s="812">
        <v>1.203860072376357</v>
      </c>
      <c r="K7" s="812">
        <v>2.041086812458582</v>
      </c>
      <c r="L7" s="783">
        <v>0.07464002462250344</v>
      </c>
      <c r="M7" s="783">
        <v>0.08541302206722935</v>
      </c>
      <c r="N7" s="783">
        <v>0.0894275862510649</v>
      </c>
      <c r="O7" s="812">
        <v>0.1988114001885882</v>
      </c>
      <c r="P7" s="812">
        <v>0.7154783846681572</v>
      </c>
      <c r="Q7" s="812">
        <v>1.254721894070422</v>
      </c>
      <c r="R7" s="783">
        <v>0.03209937277087689</v>
      </c>
      <c r="S7" s="783">
        <v>0.1884765625</v>
      </c>
      <c r="T7" s="783">
        <v>0.4668183541903678</v>
      </c>
      <c r="U7" s="753"/>
      <c r="V7" s="753"/>
      <c r="W7" s="9"/>
    </row>
    <row r="8" ht="12.75" customHeight="1">
      <c r="A8" s="810" t="s">
        <v>923</v>
      </c>
      <c r="B8" s="811">
        <v>165.0</v>
      </c>
      <c r="C8" s="783">
        <v>0.0159</v>
      </c>
      <c r="D8" s="783">
        <v>0.0669</v>
      </c>
      <c r="E8" s="783">
        <v>0.186</v>
      </c>
      <c r="F8" s="783">
        <v>-0.2228351594242118</v>
      </c>
      <c r="G8" s="783">
        <v>0.01881188118811881</v>
      </c>
      <c r="H8" s="783">
        <v>0.06781955099185036</v>
      </c>
      <c r="I8" s="812">
        <v>0.6326545068177793</v>
      </c>
      <c r="J8" s="812">
        <v>1.480137437263516</v>
      </c>
      <c r="K8" s="812">
        <v>2.73719165085389</v>
      </c>
      <c r="L8" s="783">
        <v>0.09084368907570994</v>
      </c>
      <c r="M8" s="783">
        <v>0.09728540636021005</v>
      </c>
      <c r="N8" s="783">
        <v>0.1145194496180282</v>
      </c>
      <c r="O8" s="812">
        <v>0.8858133882998782</v>
      </c>
      <c r="P8" s="812">
        <v>1.400265337216942</v>
      </c>
      <c r="Q8" s="812">
        <v>1.860909914676551</v>
      </c>
      <c r="R8" s="783">
        <v>0.01382606907894737</v>
      </c>
      <c r="S8" s="783">
        <v>0.1516360840050912</v>
      </c>
      <c r="T8" s="783">
        <v>0.4798065587712189</v>
      </c>
      <c r="U8" s="753"/>
      <c r="V8" s="753"/>
      <c r="W8" s="9"/>
    </row>
    <row r="9" ht="12.75" customHeight="1">
      <c r="A9" s="810" t="s">
        <v>1383</v>
      </c>
      <c r="B9" s="811">
        <v>797.0</v>
      </c>
      <c r="C9" s="783">
        <v>0.0177</v>
      </c>
      <c r="D9" s="783">
        <v>0.0726</v>
      </c>
      <c r="E9" s="783">
        <v>0.176</v>
      </c>
      <c r="F9" s="783">
        <v>0.02016539440203562</v>
      </c>
      <c r="G9" s="783">
        <v>0.05074679714156956</v>
      </c>
      <c r="H9" s="783">
        <v>0.09062001476236169</v>
      </c>
      <c r="I9" s="812">
        <v>0.9825752017608219</v>
      </c>
      <c r="J9" s="812">
        <v>1.536157024793389</v>
      </c>
      <c r="K9" s="812">
        <v>2.271920864469652</v>
      </c>
      <c r="L9" s="783">
        <v>0.1008451575911559</v>
      </c>
      <c r="M9" s="783">
        <v>0.1070632251971604</v>
      </c>
      <c r="N9" s="783">
        <v>0.1137113599274347</v>
      </c>
      <c r="O9" s="812">
        <v>0.8092102162755568</v>
      </c>
      <c r="P9" s="812">
        <v>1.34079340847539</v>
      </c>
      <c r="Q9" s="812">
        <v>2.07689755405817</v>
      </c>
      <c r="R9" s="783">
        <v>0.03298669083623527</v>
      </c>
      <c r="S9" s="783">
        <v>0.1379527840599294</v>
      </c>
      <c r="T9" s="783">
        <v>0.4061600045614386</v>
      </c>
      <c r="U9" s="753"/>
      <c r="V9" s="753"/>
      <c r="W9" s="9"/>
    </row>
    <row r="10" ht="12.75" customHeight="1">
      <c r="A10" s="810" t="s">
        <v>1384</v>
      </c>
      <c r="B10" s="811">
        <v>604.0</v>
      </c>
      <c r="C10" s="783">
        <v>0.0282</v>
      </c>
      <c r="D10" s="783">
        <v>0.0558</v>
      </c>
      <c r="E10" s="783">
        <v>0.11</v>
      </c>
      <c r="F10" s="783">
        <v>0.0</v>
      </c>
      <c r="G10" s="783">
        <v>0.0</v>
      </c>
      <c r="H10" s="783">
        <v>0.0</v>
      </c>
      <c r="I10" s="812">
        <v>0.1507902143321065</v>
      </c>
      <c r="J10" s="812">
        <v>0.283418301218353</v>
      </c>
      <c r="K10" s="812">
        <v>0.537263075175318</v>
      </c>
      <c r="L10" s="783">
        <v>0.05750079097409105</v>
      </c>
      <c r="M10" s="783">
        <v>0.06463212274950794</v>
      </c>
      <c r="N10" s="783">
        <v>0.08265294806601939</v>
      </c>
      <c r="O10" s="812">
        <v>0.2336634644791568</v>
      </c>
      <c r="P10" s="812">
        <v>0.6477725997050459</v>
      </c>
      <c r="Q10" s="812">
        <v>1.139127231689622</v>
      </c>
      <c r="R10" s="783">
        <v>0.1686293306121117</v>
      </c>
      <c r="S10" s="783">
        <v>0.4226658283558629</v>
      </c>
      <c r="T10" s="783">
        <v>0.6316666666666667</v>
      </c>
      <c r="U10" s="753"/>
      <c r="V10" s="753"/>
      <c r="W10" s="9"/>
    </row>
    <row r="11" ht="12.75" customHeight="1">
      <c r="A11" s="810" t="s">
        <v>1391</v>
      </c>
      <c r="B11" s="811">
        <v>825.0</v>
      </c>
      <c r="C11" s="783">
        <v>0.0537</v>
      </c>
      <c r="D11" s="783">
        <v>0.095</v>
      </c>
      <c r="E11" s="783">
        <v>0.161</v>
      </c>
      <c r="F11" s="783">
        <v>-1.076846792065093E-4</v>
      </c>
      <c r="G11" s="783">
        <v>0.0</v>
      </c>
      <c r="H11" s="783">
        <v>9.121625650559712E-4</v>
      </c>
      <c r="I11" s="812">
        <v>0.1795806745670009</v>
      </c>
      <c r="J11" s="812">
        <v>0.3293019005518427</v>
      </c>
      <c r="K11" s="812">
        <v>0.5992130410342895</v>
      </c>
      <c r="L11" s="783">
        <v>0.0505145820261365</v>
      </c>
      <c r="M11" s="783">
        <v>0.05175526257920587</v>
      </c>
      <c r="N11" s="783">
        <v>0.05280751294279199</v>
      </c>
      <c r="O11" s="812">
        <v>0.1240956931178311</v>
      </c>
      <c r="P11" s="812">
        <v>0.5040345980370489</v>
      </c>
      <c r="Q11" s="812">
        <v>0.7599853205959881</v>
      </c>
      <c r="R11" s="783">
        <v>0.08724155320221885</v>
      </c>
      <c r="S11" s="783">
        <v>0.2815175736972348</v>
      </c>
      <c r="T11" s="783">
        <v>0.5664474995018928</v>
      </c>
      <c r="U11" s="753"/>
      <c r="V11" s="753"/>
      <c r="W11" s="9"/>
    </row>
    <row r="12" ht="12.75" customHeight="1">
      <c r="A12" s="810" t="s">
        <v>942</v>
      </c>
      <c r="B12" s="811">
        <v>217.0</v>
      </c>
      <c r="C12" s="783">
        <v>-0.0113</v>
      </c>
      <c r="D12" s="783">
        <v>0.0232</v>
      </c>
      <c r="E12" s="783">
        <v>0.0573</v>
      </c>
      <c r="F12" s="783">
        <v>0.01687528975428836</v>
      </c>
      <c r="G12" s="783">
        <v>0.09767441860465116</v>
      </c>
      <c r="H12" s="783">
        <v>0.1686358754027927</v>
      </c>
      <c r="I12" s="812">
        <v>0.4722099911959121</v>
      </c>
      <c r="J12" s="812">
        <v>1.05840739004323</v>
      </c>
      <c r="K12" s="812">
        <v>2.124426313105559</v>
      </c>
      <c r="L12" s="783">
        <v>0.07174171053401394</v>
      </c>
      <c r="M12" s="783">
        <v>0.07657606148646805</v>
      </c>
      <c r="N12" s="783">
        <v>0.08869933878572475</v>
      </c>
      <c r="O12" s="812">
        <v>0.1795892377675783</v>
      </c>
      <c r="P12" s="812">
        <v>0.6317858507608395</v>
      </c>
      <c r="Q12" s="812">
        <v>1.274443642395938</v>
      </c>
      <c r="R12" s="783">
        <v>0.009321273216874959</v>
      </c>
      <c r="S12" s="783">
        <v>0.08290346352247606</v>
      </c>
      <c r="T12" s="783">
        <v>0.3129470022062211</v>
      </c>
      <c r="U12" s="753"/>
      <c r="V12" s="753"/>
      <c r="W12" s="9"/>
    </row>
    <row r="13" ht="12.75" customHeight="1">
      <c r="A13" s="810" t="s">
        <v>1392</v>
      </c>
      <c r="B13" s="811">
        <v>94.0</v>
      </c>
      <c r="C13" s="783">
        <v>0.0266</v>
      </c>
      <c r="D13" s="783">
        <v>0.055</v>
      </c>
      <c r="E13" s="783">
        <v>0.122</v>
      </c>
      <c r="F13" s="783">
        <v>0.009523809523809526</v>
      </c>
      <c r="G13" s="783">
        <v>0.0958299919807538</v>
      </c>
      <c r="H13" s="783">
        <v>0.1552994521065559</v>
      </c>
      <c r="I13" s="812">
        <v>0.960725411659991</v>
      </c>
      <c r="J13" s="812">
        <v>1.639153296481057</v>
      </c>
      <c r="K13" s="812">
        <v>2.506621511021845</v>
      </c>
      <c r="L13" s="783">
        <v>0.06367394777596884</v>
      </c>
      <c r="M13" s="783">
        <v>0.06661275622553303</v>
      </c>
      <c r="N13" s="783">
        <v>0.07427717251342719</v>
      </c>
      <c r="O13" s="812">
        <v>0.1606362561999731</v>
      </c>
      <c r="P13" s="812">
        <v>0.4339630121648182</v>
      </c>
      <c r="Q13" s="812">
        <v>0.8695389696755347</v>
      </c>
      <c r="R13" s="783">
        <v>0.00539824355657413</v>
      </c>
      <c r="S13" s="783">
        <v>0.07013071150194834</v>
      </c>
      <c r="T13" s="783">
        <v>0.2218635678932644</v>
      </c>
      <c r="U13" s="753"/>
      <c r="V13" s="753"/>
      <c r="W13" s="9"/>
    </row>
    <row r="14" ht="12.75" customHeight="1">
      <c r="A14" s="810" t="s">
        <v>1395</v>
      </c>
      <c r="B14" s="811">
        <v>127.0</v>
      </c>
      <c r="C14" s="783">
        <v>-0.019</v>
      </c>
      <c r="D14" s="783">
        <v>0.0131</v>
      </c>
      <c r="E14" s="783">
        <v>0.0356</v>
      </c>
      <c r="F14" s="783">
        <v>-0.056</v>
      </c>
      <c r="G14" s="783">
        <v>0.05914396887159533</v>
      </c>
      <c r="H14" s="783">
        <v>0.1155385669467383</v>
      </c>
      <c r="I14" s="812">
        <v>0.5148748186126679</v>
      </c>
      <c r="J14" s="812">
        <v>0.8034909085577286</v>
      </c>
      <c r="K14" s="812">
        <v>1.522295456863873</v>
      </c>
      <c r="L14" s="783">
        <v>0.06869029172260827</v>
      </c>
      <c r="M14" s="783">
        <v>0.0730343001778739</v>
      </c>
      <c r="N14" s="783">
        <v>0.0843306111529373</v>
      </c>
      <c r="O14" s="812">
        <v>0.4106716244305178</v>
      </c>
      <c r="P14" s="812">
        <v>0.748094207290935</v>
      </c>
      <c r="Q14" s="812">
        <v>1.176160340766099</v>
      </c>
      <c r="R14" s="783">
        <v>0.04387507303568327</v>
      </c>
      <c r="S14" s="783">
        <v>0.2239482200647249</v>
      </c>
      <c r="T14" s="783">
        <v>0.5607028753993609</v>
      </c>
      <c r="U14" s="753"/>
      <c r="V14" s="753"/>
      <c r="W14" s="9"/>
    </row>
    <row r="15" ht="12.75" customHeight="1">
      <c r="A15" s="810" t="s">
        <v>1397</v>
      </c>
      <c r="B15" s="811">
        <v>623.0</v>
      </c>
      <c r="C15" s="783">
        <v>0.0321</v>
      </c>
      <c r="D15" s="783">
        <v>0.0922</v>
      </c>
      <c r="E15" s="783">
        <v>0.146</v>
      </c>
      <c r="F15" s="783">
        <v>0.0</v>
      </c>
      <c r="G15" s="783">
        <v>0.0</v>
      </c>
      <c r="H15" s="783">
        <v>2.544371720030662E-4</v>
      </c>
      <c r="I15" s="812">
        <v>0.09177972865123704</v>
      </c>
      <c r="J15" s="812">
        <v>0.2388704205078995</v>
      </c>
      <c r="K15" s="812">
        <v>0.9207920792079207</v>
      </c>
      <c r="L15" s="783">
        <v>0.0625579802366314</v>
      </c>
      <c r="M15" s="783">
        <v>0.07141496444181424</v>
      </c>
      <c r="N15" s="783">
        <v>0.07371941952698663</v>
      </c>
      <c r="O15" s="812">
        <v>0.2706804010225866</v>
      </c>
      <c r="P15" s="812">
        <v>0.8578583634053918</v>
      </c>
      <c r="Q15" s="812">
        <v>1.673755518926446</v>
      </c>
      <c r="R15" s="783">
        <v>0.007527895098141878</v>
      </c>
      <c r="S15" s="783">
        <v>0.1592689295039164</v>
      </c>
      <c r="T15" s="783">
        <v>0.5215963966894154</v>
      </c>
      <c r="U15" s="753"/>
      <c r="V15" s="753"/>
      <c r="W15" s="9"/>
    </row>
    <row r="16" ht="12.75" customHeight="1">
      <c r="A16" s="810" t="s">
        <v>945</v>
      </c>
      <c r="B16" s="811">
        <v>469.0</v>
      </c>
      <c r="C16" s="783">
        <v>0.0171</v>
      </c>
      <c r="D16" s="783">
        <v>0.051</v>
      </c>
      <c r="E16" s="783">
        <v>0.09359999999999999</v>
      </c>
      <c r="F16" s="783">
        <v>0.008794258373205742</v>
      </c>
      <c r="G16" s="783">
        <v>0.06145077720207254</v>
      </c>
      <c r="H16" s="783">
        <v>0.1172880206562456</v>
      </c>
      <c r="I16" s="812">
        <v>0.7703401456259453</v>
      </c>
      <c r="J16" s="812">
        <v>1.268986733320515</v>
      </c>
      <c r="K16" s="812">
        <v>2.111424163144832</v>
      </c>
      <c r="L16" s="783">
        <v>0.08045645762847055</v>
      </c>
      <c r="M16" s="783">
        <v>0.0853321945780107</v>
      </c>
      <c r="N16" s="783">
        <v>0.09954437983250541</v>
      </c>
      <c r="O16" s="812">
        <v>0.4280054502738377</v>
      </c>
      <c r="P16" s="812">
        <v>0.9278057055849396</v>
      </c>
      <c r="Q16" s="812">
        <v>1.543886973559747</v>
      </c>
      <c r="R16" s="783">
        <v>0.04160119231122522</v>
      </c>
      <c r="S16" s="783">
        <v>0.1572842998585573</v>
      </c>
      <c r="T16" s="783">
        <v>0.37375</v>
      </c>
      <c r="U16" s="753"/>
      <c r="V16" s="753"/>
      <c r="W16" s="9"/>
    </row>
    <row r="17" ht="12.75" customHeight="1">
      <c r="A17" s="810" t="s">
        <v>1403</v>
      </c>
      <c r="B17" s="811">
        <v>994.0</v>
      </c>
      <c r="C17" s="783">
        <v>0.0231</v>
      </c>
      <c r="D17" s="783">
        <v>0.0681</v>
      </c>
      <c r="E17" s="783">
        <v>0.133</v>
      </c>
      <c r="F17" s="783">
        <v>-0.003777335984095428</v>
      </c>
      <c r="G17" s="783">
        <v>0.05962059620596206</v>
      </c>
      <c r="H17" s="783">
        <v>0.1347352024922118</v>
      </c>
      <c r="I17" s="812">
        <v>0.8350772296960638</v>
      </c>
      <c r="J17" s="812">
        <v>2.329667992162781</v>
      </c>
      <c r="K17" s="812">
        <v>5.232514310760207</v>
      </c>
      <c r="L17" s="783">
        <v>0.07824279718860941</v>
      </c>
      <c r="M17" s="783">
        <v>0.08322180901103164</v>
      </c>
      <c r="N17" s="783">
        <v>0.08531213060135535</v>
      </c>
      <c r="O17" s="812">
        <v>0.4183772053750184</v>
      </c>
      <c r="P17" s="812">
        <v>0.8740136450315353</v>
      </c>
      <c r="Q17" s="812">
        <v>1.471657895475145</v>
      </c>
      <c r="R17" s="783">
        <v>0.01580191613786239</v>
      </c>
      <c r="S17" s="783">
        <v>0.1156462585034014</v>
      </c>
      <c r="T17" s="783">
        <v>0.2989142124930051</v>
      </c>
      <c r="U17" s="753"/>
      <c r="V17" s="753"/>
      <c r="W17" s="9"/>
    </row>
    <row r="18" ht="12.75" customHeight="1">
      <c r="A18" s="810" t="s">
        <v>947</v>
      </c>
      <c r="B18" s="811">
        <v>42.0</v>
      </c>
      <c r="C18" s="783">
        <v>-0.00849</v>
      </c>
      <c r="D18" s="783">
        <v>0.0152</v>
      </c>
      <c r="E18" s="783">
        <v>0.04389999999999999</v>
      </c>
      <c r="F18" s="783">
        <v>-0.08011363636363636</v>
      </c>
      <c r="G18" s="783">
        <v>0.01907980811164414</v>
      </c>
      <c r="H18" s="783">
        <v>0.1755290004273943</v>
      </c>
      <c r="I18" s="812">
        <v>0.2697123019536876</v>
      </c>
      <c r="J18" s="812">
        <v>0.4917317313530352</v>
      </c>
      <c r="K18" s="812">
        <v>0.9806845665259848</v>
      </c>
      <c r="L18" s="783">
        <v>0.06584939331332856</v>
      </c>
      <c r="M18" s="783">
        <v>0.06971344720050422</v>
      </c>
      <c r="N18" s="783">
        <v>0.08114275728113364</v>
      </c>
      <c r="O18" s="812">
        <v>0.4875034344294637</v>
      </c>
      <c r="P18" s="812">
        <v>0.8811743763294609</v>
      </c>
      <c r="Q18" s="812">
        <v>1.618409826257619</v>
      </c>
      <c r="R18" s="783">
        <v>0.01990419000067472</v>
      </c>
      <c r="S18" s="783">
        <v>0.2316282198231508</v>
      </c>
      <c r="T18" s="783">
        <v>0.6654650889428729</v>
      </c>
      <c r="U18" s="753"/>
      <c r="V18" s="753"/>
      <c r="W18" s="9"/>
    </row>
    <row r="19" ht="12.75" customHeight="1">
      <c r="A19" s="810" t="s">
        <v>951</v>
      </c>
      <c r="B19" s="811">
        <v>909.0</v>
      </c>
      <c r="C19" s="783">
        <v>0.0187</v>
      </c>
      <c r="D19" s="783">
        <v>0.08070000000000001</v>
      </c>
      <c r="E19" s="783">
        <v>0.162</v>
      </c>
      <c r="F19" s="783">
        <v>0.0</v>
      </c>
      <c r="G19" s="783">
        <v>0.04920828258221681</v>
      </c>
      <c r="H19" s="783">
        <v>0.1041916167664671</v>
      </c>
      <c r="I19" s="812">
        <v>0.6712962962962963</v>
      </c>
      <c r="J19" s="812">
        <v>1.077313054499366</v>
      </c>
      <c r="K19" s="812">
        <v>1.706374387078165</v>
      </c>
      <c r="L19" s="783">
        <v>0.0867625906385944</v>
      </c>
      <c r="M19" s="783">
        <v>0.09020606441384324</v>
      </c>
      <c r="N19" s="783">
        <v>0.105696695132534</v>
      </c>
      <c r="O19" s="812">
        <v>0.6076629885146714</v>
      </c>
      <c r="P19" s="812">
        <v>1.19182600813356</v>
      </c>
      <c r="Q19" s="812">
        <v>1.802957949753803</v>
      </c>
      <c r="R19" s="783">
        <v>0.0282965119959486</v>
      </c>
      <c r="S19" s="783">
        <v>0.1603603603603604</v>
      </c>
      <c r="T19" s="783">
        <v>0.3695652173913044</v>
      </c>
      <c r="U19" s="753"/>
      <c r="V19" s="753"/>
      <c r="W19" s="9"/>
    </row>
    <row r="20" ht="12.75" customHeight="1">
      <c r="A20" s="810" t="s">
        <v>953</v>
      </c>
      <c r="B20" s="811">
        <v>63.0</v>
      </c>
      <c r="C20" s="783">
        <v>-0.008960000000000001</v>
      </c>
      <c r="D20" s="783">
        <v>0.0326</v>
      </c>
      <c r="E20" s="783">
        <v>0.07919999999999999</v>
      </c>
      <c r="F20" s="783">
        <v>0.03862280277374617</v>
      </c>
      <c r="G20" s="783">
        <v>0.0784929356357928</v>
      </c>
      <c r="H20" s="783">
        <v>0.1129750189250568</v>
      </c>
      <c r="I20" s="812">
        <v>0.8018425440359402</v>
      </c>
      <c r="J20" s="812">
        <v>1.130111524163569</v>
      </c>
      <c r="K20" s="812">
        <v>1.719405625754624</v>
      </c>
      <c r="L20" s="783">
        <v>0.079321673053177</v>
      </c>
      <c r="M20" s="783">
        <v>0.08392926718533412</v>
      </c>
      <c r="N20" s="783">
        <v>0.1008955222704963</v>
      </c>
      <c r="O20" s="812">
        <v>0.6829577212652854</v>
      </c>
      <c r="P20" s="812">
        <v>1.141789814634027</v>
      </c>
      <c r="Q20" s="812">
        <v>1.527966557156094</v>
      </c>
      <c r="R20" s="783">
        <v>0.09913444426468208</v>
      </c>
      <c r="S20" s="783">
        <v>0.2746506461434078</v>
      </c>
      <c r="T20" s="783">
        <v>0.4696649626093202</v>
      </c>
      <c r="U20" s="753"/>
      <c r="V20" s="753"/>
      <c r="W20" s="9"/>
    </row>
    <row r="21" ht="12.75" customHeight="1">
      <c r="A21" s="810" t="s">
        <v>954</v>
      </c>
      <c r="B21" s="811">
        <v>952.0</v>
      </c>
      <c r="C21" s="783">
        <v>0.0259</v>
      </c>
      <c r="D21" s="783">
        <v>0.0861</v>
      </c>
      <c r="E21" s="783">
        <v>0.156</v>
      </c>
      <c r="F21" s="783">
        <v>0.008903605592347314</v>
      </c>
      <c r="G21" s="783">
        <v>0.06675350048844024</v>
      </c>
      <c r="H21" s="783">
        <v>0.1267217630853995</v>
      </c>
      <c r="I21" s="812">
        <v>0.6009263377119242</v>
      </c>
      <c r="J21" s="812">
        <v>1.035527690700104</v>
      </c>
      <c r="K21" s="812">
        <v>1.627869732739211</v>
      </c>
      <c r="L21" s="783">
        <v>0.0881001258218031</v>
      </c>
      <c r="M21" s="783">
        <v>0.09210136900436582</v>
      </c>
      <c r="N21" s="783">
        <v>0.1093401180781898</v>
      </c>
      <c r="O21" s="812">
        <v>0.54070363112675</v>
      </c>
      <c r="P21" s="812">
        <v>1.08086599930218</v>
      </c>
      <c r="Q21" s="812">
        <v>1.68303354286728</v>
      </c>
      <c r="R21" s="783">
        <v>0.0194548481065335</v>
      </c>
      <c r="S21" s="783">
        <v>0.1322222222222222</v>
      </c>
      <c r="T21" s="783">
        <v>0.2978490391690481</v>
      </c>
      <c r="U21" s="753"/>
      <c r="V21" s="753"/>
      <c r="W21" s="9"/>
    </row>
    <row r="22" ht="12.75" customHeight="1">
      <c r="A22" s="810" t="s">
        <v>1408</v>
      </c>
      <c r="B22" s="811">
        <v>212.0</v>
      </c>
      <c r="C22" s="783">
        <v>-0.0435</v>
      </c>
      <c r="D22" s="783">
        <v>0.0066</v>
      </c>
      <c r="E22" s="783">
        <v>0.126</v>
      </c>
      <c r="F22" s="783">
        <v>-0.2182352941176471</v>
      </c>
      <c r="G22" s="783">
        <v>0.03256637168141593</v>
      </c>
      <c r="H22" s="783">
        <v>0.134739387426115</v>
      </c>
      <c r="I22" s="812">
        <v>0.0</v>
      </c>
      <c r="J22" s="812">
        <v>0.5082143819014274</v>
      </c>
      <c r="K22" s="812">
        <v>1.356829802775749</v>
      </c>
      <c r="L22" s="783">
        <v>0.08742609039588575</v>
      </c>
      <c r="M22" s="783">
        <v>0.09020614401576404</v>
      </c>
      <c r="N22" s="783">
        <v>0.1110031442203571</v>
      </c>
      <c r="O22" s="812">
        <v>0.3982175455015888</v>
      </c>
      <c r="P22" s="812">
        <v>1.052627500795077</v>
      </c>
      <c r="Q22" s="812">
        <v>1.707370513358237</v>
      </c>
      <c r="R22" s="783">
        <v>3.326130757625565E-4</v>
      </c>
      <c r="S22" s="783">
        <v>0.05708605509798353</v>
      </c>
      <c r="T22" s="783">
        <v>0.2268728339109571</v>
      </c>
      <c r="U22" s="753"/>
      <c r="V22" s="753"/>
      <c r="W22" s="9"/>
    </row>
    <row r="23" ht="12.75" customHeight="1">
      <c r="A23" s="810" t="s">
        <v>1410</v>
      </c>
      <c r="B23" s="811">
        <v>1225.0</v>
      </c>
      <c r="C23" s="783">
        <v>0.04219999999999999</v>
      </c>
      <c r="D23" s="783">
        <v>0.0824</v>
      </c>
      <c r="E23" s="783">
        <v>0.144</v>
      </c>
      <c r="F23" s="783">
        <v>7.202216066481994E-4</v>
      </c>
      <c r="G23" s="783">
        <v>0.04794548784413286</v>
      </c>
      <c r="H23" s="783">
        <v>0.1082627564925998</v>
      </c>
      <c r="I23" s="812">
        <v>1.179245283018868</v>
      </c>
      <c r="J23" s="812">
        <v>2.805429864253394</v>
      </c>
      <c r="K23" s="812">
        <v>5.47867581270504</v>
      </c>
      <c r="L23" s="783">
        <v>0.09060935588968108</v>
      </c>
      <c r="M23" s="783">
        <v>0.09387757687799017</v>
      </c>
      <c r="N23" s="783">
        <v>0.1067249026981723</v>
      </c>
      <c r="O23" s="812">
        <v>0.5020362544190231</v>
      </c>
      <c r="P23" s="812">
        <v>1.016181519571083</v>
      </c>
      <c r="Q23" s="812">
        <v>1.695689719114776</v>
      </c>
      <c r="R23" s="783">
        <v>0.009165221699281648</v>
      </c>
      <c r="S23" s="783">
        <v>0.07894736842105263</v>
      </c>
      <c r="T23" s="783">
        <v>0.2591185410334347</v>
      </c>
      <c r="U23" s="753"/>
      <c r="V23" s="753"/>
      <c r="W23" s="9"/>
    </row>
    <row r="24" ht="12.75" customHeight="1">
      <c r="A24" s="810" t="s">
        <v>1412</v>
      </c>
      <c r="B24" s="811">
        <v>343.0</v>
      </c>
      <c r="C24" s="783">
        <v>0.042</v>
      </c>
      <c r="D24" s="783">
        <v>0.125</v>
      </c>
      <c r="E24" s="783">
        <v>0.265</v>
      </c>
      <c r="F24" s="783">
        <v>-0.02420591456736035</v>
      </c>
      <c r="G24" s="783">
        <v>0.03441558441558441</v>
      </c>
      <c r="H24" s="783">
        <v>0.08786324786324785</v>
      </c>
      <c r="I24" s="812">
        <v>0.756947507719453</v>
      </c>
      <c r="J24" s="812">
        <v>1.644919786096257</v>
      </c>
      <c r="K24" s="812">
        <v>2.949694405265632</v>
      </c>
      <c r="L24" s="783">
        <v>0.1079523845353451</v>
      </c>
      <c r="M24" s="783">
        <v>0.1117798191519105</v>
      </c>
      <c r="N24" s="783">
        <v>0.1140840794785049</v>
      </c>
      <c r="O24" s="812">
        <v>0.8190829853408031</v>
      </c>
      <c r="P24" s="812">
        <v>1.472731666875044</v>
      </c>
      <c r="Q24" s="812">
        <v>2.077944305477136</v>
      </c>
      <c r="R24" s="783">
        <v>0.0196877121520706</v>
      </c>
      <c r="S24" s="783">
        <v>0.09508196721311475</v>
      </c>
      <c r="T24" s="783">
        <v>0.2954275534441805</v>
      </c>
      <c r="U24" s="753"/>
      <c r="V24" s="753"/>
      <c r="W24" s="9"/>
    </row>
    <row r="25" ht="12.75" customHeight="1">
      <c r="A25" s="810" t="s">
        <v>1413</v>
      </c>
      <c r="B25" s="811">
        <v>804.0</v>
      </c>
      <c r="C25" s="783">
        <v>0.0258</v>
      </c>
      <c r="D25" s="783">
        <v>0.07719999999999999</v>
      </c>
      <c r="E25" s="783">
        <v>0.144</v>
      </c>
      <c r="F25" s="783">
        <v>0.01288702928870293</v>
      </c>
      <c r="G25" s="783">
        <v>0.07319347319347319</v>
      </c>
      <c r="H25" s="783">
        <v>0.1316239316239316</v>
      </c>
      <c r="I25" s="812">
        <v>0.5872962527306336</v>
      </c>
      <c r="J25" s="812">
        <v>1.036120214768845</v>
      </c>
      <c r="K25" s="812">
        <v>1.702437512910555</v>
      </c>
      <c r="L25" s="783">
        <v>0.08247212770779064</v>
      </c>
      <c r="M25" s="783">
        <v>0.08648052694764041</v>
      </c>
      <c r="N25" s="783">
        <v>0.1033750115356504</v>
      </c>
      <c r="O25" s="812">
        <v>0.4233157897517935</v>
      </c>
      <c r="P25" s="812">
        <v>0.9730743929536703</v>
      </c>
      <c r="Q25" s="812">
        <v>1.61321046526126</v>
      </c>
      <c r="R25" s="783">
        <v>0.02898821769216383</v>
      </c>
      <c r="S25" s="783">
        <v>0.1497742097340693</v>
      </c>
      <c r="T25" s="783">
        <v>0.3604651162790697</v>
      </c>
      <c r="U25" s="753"/>
      <c r="V25" s="753"/>
      <c r="W25" s="9"/>
    </row>
    <row r="26" ht="12.75" customHeight="1">
      <c r="A26" s="810" t="s">
        <v>1415</v>
      </c>
      <c r="B26" s="811">
        <v>329.0</v>
      </c>
      <c r="C26" s="783">
        <v>0.0106</v>
      </c>
      <c r="D26" s="783">
        <v>0.0431</v>
      </c>
      <c r="E26" s="783">
        <v>0.0848</v>
      </c>
      <c r="F26" s="783">
        <v>0.03327584744564756</v>
      </c>
      <c r="G26" s="783">
        <v>0.09166058636243035</v>
      </c>
      <c r="H26" s="783">
        <v>0.1970403169424376</v>
      </c>
      <c r="I26" s="812">
        <v>0.2239521633666159</v>
      </c>
      <c r="J26" s="812">
        <v>0.7244184620416174</v>
      </c>
      <c r="K26" s="812">
        <v>1.75047369188165</v>
      </c>
      <c r="L26" s="783">
        <v>0.0678675109295383</v>
      </c>
      <c r="M26" s="783">
        <v>0.0735774372203904</v>
      </c>
      <c r="N26" s="783">
        <v>0.08570203256798306</v>
      </c>
      <c r="O26" s="812">
        <v>0.1835478962312142</v>
      </c>
      <c r="P26" s="812">
        <v>0.7542460943088346</v>
      </c>
      <c r="Q26" s="812">
        <v>1.208950309295641</v>
      </c>
      <c r="R26" s="783">
        <v>0.07861749913617691</v>
      </c>
      <c r="S26" s="783">
        <v>0.2914024854171951</v>
      </c>
      <c r="T26" s="783">
        <v>0.5687229967407446</v>
      </c>
      <c r="U26" s="753"/>
      <c r="V26" s="753"/>
      <c r="W26" s="9"/>
    </row>
    <row r="27" ht="12.75" customHeight="1">
      <c r="A27" s="810" t="s">
        <v>1417</v>
      </c>
      <c r="B27" s="811">
        <v>1193.0</v>
      </c>
      <c r="C27" s="783">
        <v>0.00184</v>
      </c>
      <c r="D27" s="783">
        <v>0.153</v>
      </c>
      <c r="E27" s="783">
        <v>0.542</v>
      </c>
      <c r="F27" s="783">
        <v>-6.605222734254992</v>
      </c>
      <c r="G27" s="783">
        <v>-1.241072180597597</v>
      </c>
      <c r="H27" s="783">
        <v>-0.01507177033492823</v>
      </c>
      <c r="I27" s="812">
        <v>0.004059804036382089</v>
      </c>
      <c r="J27" s="812">
        <v>0.2446140035906641</v>
      </c>
      <c r="K27" s="812">
        <v>0.8190819081908189</v>
      </c>
      <c r="L27" s="783">
        <v>0.09039392142107948</v>
      </c>
      <c r="M27" s="783">
        <v>0.09198567306054314</v>
      </c>
      <c r="N27" s="783">
        <v>0.09825648134726155</v>
      </c>
      <c r="O27" s="812">
        <v>0.6454649886223255</v>
      </c>
      <c r="P27" s="812">
        <v>1.111019332507207</v>
      </c>
      <c r="Q27" s="812">
        <v>1.739914966566085</v>
      </c>
      <c r="R27" s="783">
        <v>0.001740299599483702</v>
      </c>
      <c r="S27" s="783">
        <v>0.03286097801338906</v>
      </c>
      <c r="T27" s="783">
        <v>0.1414260900910147</v>
      </c>
      <c r="U27" s="753"/>
      <c r="V27" s="753"/>
      <c r="W27" s="9"/>
    </row>
    <row r="28" ht="12.75" customHeight="1">
      <c r="A28" s="810" t="s">
        <v>1418</v>
      </c>
      <c r="B28" s="811">
        <v>1260.0</v>
      </c>
      <c r="C28" s="783">
        <v>0.039</v>
      </c>
      <c r="D28" s="783">
        <v>0.104</v>
      </c>
      <c r="E28" s="783">
        <v>0.189</v>
      </c>
      <c r="F28" s="783">
        <v>-0.1414473684210526</v>
      </c>
      <c r="G28" s="783">
        <v>0.0588798468166587</v>
      </c>
      <c r="H28" s="783">
        <v>0.1548276050489044</v>
      </c>
      <c r="I28" s="812">
        <v>0.4061758918209799</v>
      </c>
      <c r="J28" s="812">
        <v>0.8201958384332926</v>
      </c>
      <c r="K28" s="812">
        <v>1.376504249720022</v>
      </c>
      <c r="L28" s="783">
        <v>0.08385183540709432</v>
      </c>
      <c r="M28" s="783">
        <v>0.08904197254437742</v>
      </c>
      <c r="N28" s="783">
        <v>0.1015762145604834</v>
      </c>
      <c r="O28" s="812">
        <v>0.5149904501543827</v>
      </c>
      <c r="P28" s="812">
        <v>0.9703297604251724</v>
      </c>
      <c r="Q28" s="812">
        <v>1.506536979746646</v>
      </c>
      <c r="R28" s="783">
        <v>0.00408682131450664</v>
      </c>
      <c r="S28" s="783">
        <v>0.0659985333659252</v>
      </c>
      <c r="T28" s="783">
        <v>0.2181603773584905</v>
      </c>
      <c r="U28" s="753"/>
      <c r="V28" s="753"/>
      <c r="W28" s="9"/>
    </row>
    <row r="29" ht="12.75" customHeight="1">
      <c r="A29" s="810" t="s">
        <v>1419</v>
      </c>
      <c r="B29" s="811">
        <v>281.0</v>
      </c>
      <c r="C29" s="783">
        <v>0.0373</v>
      </c>
      <c r="D29" s="783">
        <v>0.0718</v>
      </c>
      <c r="E29" s="783">
        <v>0.122</v>
      </c>
      <c r="F29" s="783">
        <v>-0.004468481346557312</v>
      </c>
      <c r="G29" s="783">
        <v>0.1004016064257028</v>
      </c>
      <c r="H29" s="783">
        <v>0.2130512756412663</v>
      </c>
      <c r="I29" s="812">
        <v>0.4649375600384245</v>
      </c>
      <c r="J29" s="812">
        <v>1.147980559745265</v>
      </c>
      <c r="K29" s="812">
        <v>2.476699626247812</v>
      </c>
      <c r="L29" s="783">
        <v>0.07276684612179116</v>
      </c>
      <c r="M29" s="783">
        <v>0.07686872726143873</v>
      </c>
      <c r="N29" s="783">
        <v>0.08897243362421325</v>
      </c>
      <c r="O29" s="812">
        <v>0.2422515840756723</v>
      </c>
      <c r="P29" s="812">
        <v>0.7115208004462157</v>
      </c>
      <c r="Q29" s="812">
        <v>1.285505901710009</v>
      </c>
      <c r="R29" s="783">
        <v>0.02047522750252781</v>
      </c>
      <c r="S29" s="783">
        <v>0.1116584564860427</v>
      </c>
      <c r="T29" s="783">
        <v>0.3589918147679834</v>
      </c>
      <c r="U29" s="753"/>
      <c r="V29" s="753"/>
      <c r="W29" s="9"/>
    </row>
    <row r="30" ht="12.75" customHeight="1">
      <c r="A30" s="810" t="s">
        <v>970</v>
      </c>
      <c r="B30" s="811">
        <v>1158.0</v>
      </c>
      <c r="C30" s="783">
        <v>0.066</v>
      </c>
      <c r="D30" s="783">
        <v>0.158</v>
      </c>
      <c r="E30" s="783">
        <v>0.273</v>
      </c>
      <c r="F30" s="783">
        <v>-0.04111922141119221</v>
      </c>
      <c r="G30" s="783">
        <v>0.04492385786802031</v>
      </c>
      <c r="H30" s="783">
        <v>0.1030927835051546</v>
      </c>
      <c r="I30" s="812">
        <v>0.6871221862575563</v>
      </c>
      <c r="J30" s="812">
        <v>1.256326373520639</v>
      </c>
      <c r="K30" s="812">
        <v>2.122036533229693</v>
      </c>
      <c r="L30" s="783">
        <v>0.1020378721600675</v>
      </c>
      <c r="M30" s="783">
        <v>0.1066214675423535</v>
      </c>
      <c r="N30" s="783">
        <v>0.110950862378251</v>
      </c>
      <c r="O30" s="812">
        <v>0.6944719868739102</v>
      </c>
      <c r="P30" s="812">
        <v>1.357279743324102</v>
      </c>
      <c r="Q30" s="812">
        <v>2.034750176245495</v>
      </c>
      <c r="R30" s="783">
        <v>0.01704856746914177</v>
      </c>
      <c r="S30" s="783">
        <v>0.0909090909090909</v>
      </c>
      <c r="T30" s="783">
        <v>0.27128472517237</v>
      </c>
      <c r="U30" s="753"/>
      <c r="V30" s="753"/>
      <c r="W30" s="9"/>
    </row>
    <row r="31" ht="12.75" customHeight="1">
      <c r="A31" s="810" t="s">
        <v>1421</v>
      </c>
      <c r="B31" s="811">
        <v>122.0</v>
      </c>
      <c r="C31" s="783">
        <v>0.0103</v>
      </c>
      <c r="D31" s="783">
        <v>0.0732</v>
      </c>
      <c r="E31" s="783">
        <v>0.164</v>
      </c>
      <c r="F31" s="783">
        <v>-0.02444211994421199</v>
      </c>
      <c r="G31" s="783">
        <v>0.03003080082135523</v>
      </c>
      <c r="H31" s="783">
        <v>0.0798175598631699</v>
      </c>
      <c r="I31" s="812">
        <v>0.9240591397849461</v>
      </c>
      <c r="J31" s="812">
        <v>1.65673420738975</v>
      </c>
      <c r="K31" s="812">
        <v>2.81413612565445</v>
      </c>
      <c r="L31" s="783">
        <v>0.0949593900115168</v>
      </c>
      <c r="M31" s="783">
        <v>0.09861600339537743</v>
      </c>
      <c r="N31" s="783">
        <v>0.1000350365354598</v>
      </c>
      <c r="O31" s="812">
        <v>0.5713597461205364</v>
      </c>
      <c r="P31" s="812">
        <v>1.220155307439572</v>
      </c>
      <c r="Q31" s="812">
        <v>1.883010643499716</v>
      </c>
      <c r="R31" s="783">
        <v>0.01188513923831006</v>
      </c>
      <c r="S31" s="783">
        <v>0.06571428571428571</v>
      </c>
      <c r="T31" s="783">
        <v>0.2465373961218837</v>
      </c>
      <c r="U31" s="753"/>
      <c r="V31" s="753"/>
      <c r="W31" s="9"/>
    </row>
    <row r="32" ht="12.75" customHeight="1">
      <c r="A32" s="810" t="s">
        <v>1422</v>
      </c>
      <c r="B32" s="811">
        <v>1481.0</v>
      </c>
      <c r="C32" s="783">
        <v>0.0548</v>
      </c>
      <c r="D32" s="783">
        <v>0.123</v>
      </c>
      <c r="E32" s="783">
        <v>0.251</v>
      </c>
      <c r="F32" s="783">
        <v>-0.05154134725167183</v>
      </c>
      <c r="G32" s="783">
        <v>0.03745092117185141</v>
      </c>
      <c r="H32" s="783">
        <v>0.1007829181494662</v>
      </c>
      <c r="I32" s="812">
        <v>0.6444205720424331</v>
      </c>
      <c r="J32" s="812">
        <v>1.135127815446482</v>
      </c>
      <c r="K32" s="812">
        <v>1.872349448685326</v>
      </c>
      <c r="L32" s="783">
        <v>0.1114596731248432</v>
      </c>
      <c r="M32" s="783">
        <v>0.1170205825069431</v>
      </c>
      <c r="N32" s="783">
        <v>0.119559595473577</v>
      </c>
      <c r="O32" s="812">
        <v>0.9157171731553351</v>
      </c>
      <c r="P32" s="812">
        <v>1.565511906283383</v>
      </c>
      <c r="Q32" s="812">
        <v>2.230314679029318</v>
      </c>
      <c r="R32" s="783">
        <v>0.01462837474454125</v>
      </c>
      <c r="S32" s="783">
        <v>0.07694915254237289</v>
      </c>
      <c r="T32" s="783">
        <v>0.2293468928657027</v>
      </c>
      <c r="U32" s="753"/>
      <c r="V32" s="753"/>
      <c r="W32" s="9"/>
    </row>
    <row r="33" ht="12.75" customHeight="1">
      <c r="A33" s="810" t="s">
        <v>1423</v>
      </c>
      <c r="B33" s="811">
        <v>1390.0</v>
      </c>
      <c r="C33" s="783">
        <v>0.032</v>
      </c>
      <c r="D33" s="783">
        <v>0.08039999999999999</v>
      </c>
      <c r="E33" s="783">
        <v>0.156</v>
      </c>
      <c r="F33" s="783">
        <v>0.0069375</v>
      </c>
      <c r="G33" s="783">
        <v>0.05341176470588235</v>
      </c>
      <c r="H33" s="783">
        <v>0.1067632850241546</v>
      </c>
      <c r="I33" s="812">
        <v>0.7805825242718448</v>
      </c>
      <c r="J33" s="812">
        <v>1.71644240236298</v>
      </c>
      <c r="K33" s="812">
        <v>3.180778032036613</v>
      </c>
      <c r="L33" s="783">
        <v>0.07537503093666223</v>
      </c>
      <c r="M33" s="783">
        <v>0.07829982900250396</v>
      </c>
      <c r="N33" s="783">
        <v>0.09028029352100143</v>
      </c>
      <c r="O33" s="812">
        <v>0.4306430496845546</v>
      </c>
      <c r="P33" s="812">
        <v>0.9490760540120351</v>
      </c>
      <c r="Q33" s="812">
        <v>1.457981987789615</v>
      </c>
      <c r="R33" s="783">
        <v>0.03452816386247257</v>
      </c>
      <c r="S33" s="783">
        <v>0.1701729780271155</v>
      </c>
      <c r="T33" s="783">
        <v>0.43605359317905</v>
      </c>
      <c r="U33" s="753"/>
      <c r="V33" s="753"/>
      <c r="W33" s="9"/>
    </row>
    <row r="34" ht="12.75" customHeight="1">
      <c r="A34" s="810" t="s">
        <v>972</v>
      </c>
      <c r="B34" s="811">
        <v>733.0</v>
      </c>
      <c r="C34" s="783">
        <v>0.0256</v>
      </c>
      <c r="D34" s="783">
        <v>0.0741</v>
      </c>
      <c r="E34" s="783">
        <v>0.176</v>
      </c>
      <c r="F34" s="783">
        <v>-0.2332878581173261</v>
      </c>
      <c r="G34" s="783">
        <v>0.001507537688442211</v>
      </c>
      <c r="H34" s="783">
        <v>0.1173669467787115</v>
      </c>
      <c r="I34" s="812">
        <v>0.4514889529298751</v>
      </c>
      <c r="J34" s="812">
        <v>1.016617790811339</v>
      </c>
      <c r="K34" s="812">
        <v>2.288922155688623</v>
      </c>
      <c r="L34" s="783">
        <v>0.08264693994797952</v>
      </c>
      <c r="M34" s="783">
        <v>0.08783758017883901</v>
      </c>
      <c r="N34" s="783">
        <v>0.09106349549837015</v>
      </c>
      <c r="O34" s="812">
        <v>0.3448570129393053</v>
      </c>
      <c r="P34" s="812">
        <v>0.8939638692740336</v>
      </c>
      <c r="Q34" s="812">
        <v>1.557637480836163</v>
      </c>
      <c r="R34" s="783">
        <v>0.001274435033918035</v>
      </c>
      <c r="S34" s="783">
        <v>0.05435338217754303</v>
      </c>
      <c r="T34" s="783">
        <v>0.247534516765286</v>
      </c>
      <c r="U34" s="753"/>
      <c r="V34" s="753"/>
      <c r="W34" s="9"/>
    </row>
    <row r="35" ht="12.75" customHeight="1">
      <c r="A35" s="810" t="s">
        <v>1424</v>
      </c>
      <c r="B35" s="811">
        <v>397.0</v>
      </c>
      <c r="C35" s="783">
        <v>0.0304</v>
      </c>
      <c r="D35" s="783">
        <v>0.09820000000000001</v>
      </c>
      <c r="E35" s="783">
        <v>0.238</v>
      </c>
      <c r="F35" s="783">
        <v>-0.0761904761904762</v>
      </c>
      <c r="G35" s="783">
        <v>0.04576807228915662</v>
      </c>
      <c r="H35" s="783">
        <v>0.1258312020460358</v>
      </c>
      <c r="I35" s="812">
        <v>0.3617619493908154</v>
      </c>
      <c r="J35" s="812">
        <v>0.8477151191054936</v>
      </c>
      <c r="K35" s="812">
        <v>2.214116344858063</v>
      </c>
      <c r="L35" s="783">
        <v>0.07917036921829745</v>
      </c>
      <c r="M35" s="783">
        <v>0.08316592905085715</v>
      </c>
      <c r="N35" s="783">
        <v>0.08575690558961198</v>
      </c>
      <c r="O35" s="812">
        <v>0.51419252508556</v>
      </c>
      <c r="P35" s="812">
        <v>1.021942857501494</v>
      </c>
      <c r="Q35" s="812">
        <v>1.660123960674913</v>
      </c>
      <c r="R35" s="783">
        <v>0.029110620471461</v>
      </c>
      <c r="S35" s="783">
        <v>0.1805177111716621</v>
      </c>
      <c r="T35" s="783">
        <v>0.4400656086532494</v>
      </c>
      <c r="U35" s="753"/>
      <c r="V35" s="753"/>
      <c r="W35" s="9"/>
    </row>
    <row r="36" ht="12.75" customHeight="1">
      <c r="A36" s="810" t="s">
        <v>1425</v>
      </c>
      <c r="B36" s="811">
        <v>428.0</v>
      </c>
      <c r="C36" s="783">
        <v>0.0251</v>
      </c>
      <c r="D36" s="783">
        <v>0.0549</v>
      </c>
      <c r="E36" s="783">
        <v>0.105</v>
      </c>
      <c r="F36" s="783">
        <v>0.006234567901234569</v>
      </c>
      <c r="G36" s="783">
        <v>0.06451672905140286</v>
      </c>
      <c r="H36" s="783">
        <v>0.152087707021227</v>
      </c>
      <c r="I36" s="812">
        <v>0.584848872941194</v>
      </c>
      <c r="J36" s="812">
        <v>1.043518216224713</v>
      </c>
      <c r="K36" s="812">
        <v>1.900479616306954</v>
      </c>
      <c r="L36" s="783">
        <v>0.06247598946766653</v>
      </c>
      <c r="M36" s="783">
        <v>0.0679618726397104</v>
      </c>
      <c r="N36" s="783">
        <v>0.07430058105165405</v>
      </c>
      <c r="O36" s="812">
        <v>0.1526633036299989</v>
      </c>
      <c r="P36" s="812">
        <v>0.5488238602558952</v>
      </c>
      <c r="Q36" s="812">
        <v>1.167984265126113</v>
      </c>
      <c r="R36" s="783">
        <v>0.006458022851465475</v>
      </c>
      <c r="S36" s="783">
        <v>0.1291067492390049</v>
      </c>
      <c r="T36" s="783">
        <v>0.3595499232823777</v>
      </c>
      <c r="U36" s="753"/>
      <c r="V36" s="753"/>
      <c r="W36" s="9"/>
    </row>
    <row r="37" ht="12.75" customHeight="1">
      <c r="A37" s="810" t="s">
        <v>1426</v>
      </c>
      <c r="B37" s="811">
        <v>1138.0</v>
      </c>
      <c r="C37" s="783">
        <v>0.0409</v>
      </c>
      <c r="D37" s="783">
        <v>0.09029999999999999</v>
      </c>
      <c r="E37" s="783">
        <v>0.175</v>
      </c>
      <c r="F37" s="783">
        <v>0.0</v>
      </c>
      <c r="G37" s="783">
        <v>0.0</v>
      </c>
      <c r="H37" s="783">
        <v>0.163032343041124</v>
      </c>
      <c r="I37" s="812">
        <v>0.0836890350570289</v>
      </c>
      <c r="J37" s="812">
        <v>0.2298084929225645</v>
      </c>
      <c r="K37" s="812">
        <v>0.8985938035898022</v>
      </c>
      <c r="L37" s="783">
        <v>0.05265466833856907</v>
      </c>
      <c r="M37" s="783">
        <v>0.05858215058725549</v>
      </c>
      <c r="N37" s="783">
        <v>0.06140264556270519</v>
      </c>
      <c r="O37" s="812">
        <v>0.2347942650381843</v>
      </c>
      <c r="P37" s="812">
        <v>0.7280631915007243</v>
      </c>
      <c r="Q37" s="812">
        <v>1.280962048959499</v>
      </c>
      <c r="R37" s="783">
        <v>0.01647171162568632</v>
      </c>
      <c r="S37" s="783">
        <v>0.2302839547785845</v>
      </c>
      <c r="T37" s="783">
        <v>0.5881111316324108</v>
      </c>
      <c r="U37" s="753"/>
      <c r="V37" s="753"/>
      <c r="W37" s="9"/>
    </row>
    <row r="38" ht="12.75" customHeight="1">
      <c r="A38" s="810" t="s">
        <v>975</v>
      </c>
      <c r="B38" s="811">
        <v>1450.0</v>
      </c>
      <c r="C38" s="783">
        <v>0.0199</v>
      </c>
      <c r="D38" s="783">
        <v>0.05429999999999999</v>
      </c>
      <c r="E38" s="783">
        <v>0.115</v>
      </c>
      <c r="F38" s="783">
        <v>0.0135663082437276</v>
      </c>
      <c r="G38" s="783">
        <v>0.05253063579890695</v>
      </c>
      <c r="H38" s="783">
        <v>0.102112676056338</v>
      </c>
      <c r="I38" s="812">
        <v>0.9046936207393905</v>
      </c>
      <c r="J38" s="812">
        <v>1.539946068841538</v>
      </c>
      <c r="K38" s="812">
        <v>2.466922164431061</v>
      </c>
      <c r="L38" s="783">
        <v>0.06615432402611701</v>
      </c>
      <c r="M38" s="783">
        <v>0.07177966606443835</v>
      </c>
      <c r="N38" s="783">
        <v>0.07911750310171253</v>
      </c>
      <c r="O38" s="812">
        <v>0.1887958922934828</v>
      </c>
      <c r="P38" s="812">
        <v>0.5987418116484848</v>
      </c>
      <c r="Q38" s="812">
        <v>1.079224502758801</v>
      </c>
      <c r="R38" s="783">
        <v>0.0308482957604809</v>
      </c>
      <c r="S38" s="783">
        <v>0.1785252263906856</v>
      </c>
      <c r="T38" s="783">
        <v>0.4225560206845604</v>
      </c>
      <c r="U38" s="753"/>
      <c r="V38" s="753"/>
      <c r="W38" s="9"/>
    </row>
    <row r="39" ht="12.75" customHeight="1">
      <c r="A39" s="810" t="s">
        <v>977</v>
      </c>
      <c r="B39" s="811">
        <v>183.0</v>
      </c>
      <c r="C39" s="783">
        <v>0.0282</v>
      </c>
      <c r="D39" s="783">
        <v>0.044</v>
      </c>
      <c r="E39" s="783">
        <v>0.07700000000000001</v>
      </c>
      <c r="F39" s="783">
        <v>0.004958500413048975</v>
      </c>
      <c r="G39" s="783">
        <v>0.02741407528641571</v>
      </c>
      <c r="H39" s="783">
        <v>0.05039370078740157</v>
      </c>
      <c r="I39" s="812">
        <v>1.148845332815835</v>
      </c>
      <c r="J39" s="812">
        <v>3.217265809498819</v>
      </c>
      <c r="K39" s="812">
        <v>6.28166957446556</v>
      </c>
      <c r="L39" s="783">
        <v>0.06257408035373775</v>
      </c>
      <c r="M39" s="783">
        <v>0.06717092574436662</v>
      </c>
      <c r="N39" s="783">
        <v>0.07378072397430369</v>
      </c>
      <c r="O39" s="812">
        <v>0.2721682869420389</v>
      </c>
      <c r="P39" s="812">
        <v>0.628645596503942</v>
      </c>
      <c r="Q39" s="812">
        <v>1.022914034379432</v>
      </c>
      <c r="R39" s="783">
        <v>0.01183020180932498</v>
      </c>
      <c r="S39" s="783">
        <v>0.1880050939450504</v>
      </c>
      <c r="T39" s="783">
        <v>0.3734986004745738</v>
      </c>
      <c r="U39" s="753"/>
      <c r="V39" s="753"/>
      <c r="W39" s="9"/>
    </row>
    <row r="40" ht="12.75" customHeight="1">
      <c r="A40" s="810" t="s">
        <v>1427</v>
      </c>
      <c r="B40" s="811">
        <v>383.0</v>
      </c>
      <c r="C40" s="783">
        <v>0.0148</v>
      </c>
      <c r="D40" s="783">
        <v>0.0534</v>
      </c>
      <c r="E40" s="783">
        <v>0.101</v>
      </c>
      <c r="F40" s="783">
        <v>-0.001572327044025157</v>
      </c>
      <c r="G40" s="783">
        <v>0.04504864640530161</v>
      </c>
      <c r="H40" s="783">
        <v>0.09304196272958842</v>
      </c>
      <c r="I40" s="812">
        <v>0.8941051888457465</v>
      </c>
      <c r="J40" s="812">
        <v>1.470522957414343</v>
      </c>
      <c r="K40" s="812">
        <v>2.213840799876872</v>
      </c>
      <c r="L40" s="783">
        <v>0.08450008066207201</v>
      </c>
      <c r="M40" s="783">
        <v>0.08748949601473778</v>
      </c>
      <c r="N40" s="783">
        <v>0.1014696490460211</v>
      </c>
      <c r="O40" s="812">
        <v>0.4196107420565348</v>
      </c>
      <c r="P40" s="812">
        <v>0.8446733693805086</v>
      </c>
      <c r="Q40" s="812">
        <v>1.362061494124378</v>
      </c>
      <c r="R40" s="783">
        <v>0.02173913043478261</v>
      </c>
      <c r="S40" s="783">
        <v>0.130558183538316</v>
      </c>
      <c r="T40" s="783">
        <v>0.3358024691358025</v>
      </c>
      <c r="U40" s="753"/>
      <c r="V40" s="753"/>
      <c r="W40" s="9"/>
    </row>
    <row r="41" ht="12.75" customHeight="1">
      <c r="A41" s="810" t="s">
        <v>1428</v>
      </c>
      <c r="B41" s="811">
        <v>258.0</v>
      </c>
      <c r="C41" s="783">
        <v>0.0265</v>
      </c>
      <c r="D41" s="783">
        <v>0.08130000000000001</v>
      </c>
      <c r="E41" s="783">
        <v>0.177</v>
      </c>
      <c r="F41" s="783">
        <v>-0.007752293577981652</v>
      </c>
      <c r="G41" s="783">
        <v>0.1949901768172888</v>
      </c>
      <c r="H41" s="783">
        <v>0.3579234972677595</v>
      </c>
      <c r="I41" s="812">
        <v>0.1182486932954766</v>
      </c>
      <c r="J41" s="812">
        <v>0.2097179960227137</v>
      </c>
      <c r="K41" s="812">
        <v>0.4494870457311771</v>
      </c>
      <c r="L41" s="783">
        <v>0.0646192130717998</v>
      </c>
      <c r="M41" s="783">
        <v>0.07061223968846346</v>
      </c>
      <c r="N41" s="783">
        <v>0.07873865554534695</v>
      </c>
      <c r="O41" s="812">
        <v>0.2810907004944809</v>
      </c>
      <c r="P41" s="812">
        <v>0.7930331488915385</v>
      </c>
      <c r="Q41" s="812">
        <v>1.280224565005227</v>
      </c>
      <c r="R41" s="783">
        <v>0.0657124268054652</v>
      </c>
      <c r="S41" s="783">
        <v>0.329593267882188</v>
      </c>
      <c r="T41" s="783">
        <v>0.557821911118346</v>
      </c>
      <c r="U41" s="753"/>
      <c r="V41" s="753"/>
      <c r="W41" s="9"/>
    </row>
    <row r="42" ht="12.75" customHeight="1">
      <c r="A42" s="810" t="s">
        <v>1429</v>
      </c>
      <c r="B42" s="811">
        <v>842.0</v>
      </c>
      <c r="C42" s="783">
        <v>0.0446</v>
      </c>
      <c r="D42" s="783">
        <v>0.11</v>
      </c>
      <c r="E42" s="783">
        <v>0.233</v>
      </c>
      <c r="F42" s="783">
        <v>-0.5308641975308641</v>
      </c>
      <c r="G42" s="783">
        <v>0.01027367506516073</v>
      </c>
      <c r="H42" s="783">
        <v>0.1307262569832402</v>
      </c>
      <c r="I42" s="812">
        <v>0.4689660522700895</v>
      </c>
      <c r="J42" s="812">
        <v>0.9157181464269125</v>
      </c>
      <c r="K42" s="812">
        <v>1.616525423728813</v>
      </c>
      <c r="L42" s="783">
        <v>0.08744925338917792</v>
      </c>
      <c r="M42" s="783">
        <v>0.09252639622560148</v>
      </c>
      <c r="N42" s="783">
        <v>0.0962322987356198</v>
      </c>
      <c r="O42" s="812">
        <v>0.5997282199407509</v>
      </c>
      <c r="P42" s="812">
        <v>1.026791772590601</v>
      </c>
      <c r="Q42" s="812">
        <v>1.630784659634302</v>
      </c>
      <c r="R42" s="783">
        <v>0.008385796401821483</v>
      </c>
      <c r="S42" s="783">
        <v>0.06880845589513578</v>
      </c>
      <c r="T42" s="783">
        <v>0.2129789437348982</v>
      </c>
      <c r="U42" s="753"/>
      <c r="V42" s="753"/>
      <c r="W42" s="9"/>
    </row>
    <row r="43" ht="12.75" customHeight="1">
      <c r="A43" s="810" t="s">
        <v>1430</v>
      </c>
      <c r="B43" s="811">
        <v>478.0</v>
      </c>
      <c r="C43" s="783">
        <v>0.0318</v>
      </c>
      <c r="D43" s="783">
        <v>0.0681</v>
      </c>
      <c r="E43" s="783">
        <v>0.149</v>
      </c>
      <c r="F43" s="783">
        <v>-0.0260655737704918</v>
      </c>
      <c r="G43" s="783">
        <v>0.03379450285925106</v>
      </c>
      <c r="H43" s="783">
        <v>0.1016003027475619</v>
      </c>
      <c r="I43" s="812">
        <v>1.004275106877672</v>
      </c>
      <c r="J43" s="812">
        <v>1.853086607573372</v>
      </c>
      <c r="K43" s="812">
        <v>4.195736434108529</v>
      </c>
      <c r="L43" s="783">
        <v>0.07323330817648918</v>
      </c>
      <c r="M43" s="783">
        <v>0.07754250444156752</v>
      </c>
      <c r="N43" s="783">
        <v>0.08409735560525136</v>
      </c>
      <c r="O43" s="812">
        <v>0.3976941697921059</v>
      </c>
      <c r="P43" s="812">
        <v>0.7965540400280601</v>
      </c>
      <c r="Q43" s="812">
        <v>1.322427679033534</v>
      </c>
      <c r="R43" s="783">
        <v>0.03172702783597725</v>
      </c>
      <c r="S43" s="783">
        <v>0.1610990441768019</v>
      </c>
      <c r="T43" s="783">
        <v>0.3740356477786645</v>
      </c>
      <c r="U43" s="753"/>
      <c r="V43" s="753"/>
      <c r="W43" s="9"/>
    </row>
    <row r="44" ht="12.75" customHeight="1">
      <c r="A44" s="810" t="s">
        <v>1431</v>
      </c>
      <c r="B44" s="811">
        <v>430.0</v>
      </c>
      <c r="C44" s="783">
        <v>0.0387</v>
      </c>
      <c r="D44" s="783">
        <v>0.0978</v>
      </c>
      <c r="E44" s="783">
        <v>0.187</v>
      </c>
      <c r="F44" s="783">
        <v>-0.7275320970042797</v>
      </c>
      <c r="G44" s="783">
        <v>-0.02328179267324885</v>
      </c>
      <c r="H44" s="783">
        <v>0.1231630510846746</v>
      </c>
      <c r="I44" s="812">
        <v>0.3680526092490454</v>
      </c>
      <c r="J44" s="812">
        <v>0.8927745936076563</v>
      </c>
      <c r="K44" s="812">
        <v>1.773658443469255</v>
      </c>
      <c r="L44" s="783">
        <v>0.09068327956559141</v>
      </c>
      <c r="M44" s="783">
        <v>0.09501889603190178</v>
      </c>
      <c r="N44" s="783">
        <v>0.1010410133747265</v>
      </c>
      <c r="O44" s="812">
        <v>0.6913710217846579</v>
      </c>
      <c r="P44" s="812">
        <v>1.159474692527103</v>
      </c>
      <c r="Q44" s="812">
        <v>1.839832147467374</v>
      </c>
      <c r="R44" s="783">
        <v>0.002208946232240574</v>
      </c>
      <c r="S44" s="783">
        <v>0.04124810496410176</v>
      </c>
      <c r="T44" s="783">
        <v>0.1888431743172342</v>
      </c>
      <c r="U44" s="753"/>
      <c r="V44" s="753"/>
      <c r="W44" s="9"/>
    </row>
    <row r="45" ht="12.75" customHeight="1">
      <c r="A45" s="810" t="s">
        <v>989</v>
      </c>
      <c r="B45" s="811">
        <v>160.0</v>
      </c>
      <c r="C45" s="783">
        <v>-0.00768</v>
      </c>
      <c r="D45" s="783">
        <v>0.0563</v>
      </c>
      <c r="E45" s="783">
        <v>0.114</v>
      </c>
      <c r="F45" s="783">
        <v>0.01420606825074801</v>
      </c>
      <c r="G45" s="783">
        <v>0.07479657519732877</v>
      </c>
      <c r="H45" s="783">
        <v>0.1342496182146328</v>
      </c>
      <c r="I45" s="812">
        <v>0.6128616082638473</v>
      </c>
      <c r="J45" s="812">
        <v>1.333916083916084</v>
      </c>
      <c r="K45" s="812">
        <v>2.395657347459635</v>
      </c>
      <c r="L45" s="783">
        <v>0.0744895007689392</v>
      </c>
      <c r="M45" s="783">
        <v>0.07765384372206141</v>
      </c>
      <c r="N45" s="783">
        <v>0.08322601171315179</v>
      </c>
      <c r="O45" s="812">
        <v>0.4487604902387416</v>
      </c>
      <c r="P45" s="812">
        <v>0.8914094287645601</v>
      </c>
      <c r="Q45" s="812">
        <v>1.318692679652223</v>
      </c>
      <c r="R45" s="783">
        <v>0.08236705317872851</v>
      </c>
      <c r="S45" s="783">
        <v>0.2958445211609769</v>
      </c>
      <c r="T45" s="783">
        <v>0.5870524767042667</v>
      </c>
      <c r="U45" s="753"/>
      <c r="V45" s="753"/>
      <c r="W45" s="9"/>
    </row>
    <row r="46" ht="12.75" customHeight="1">
      <c r="A46" s="810" t="s">
        <v>1432</v>
      </c>
      <c r="B46" s="811">
        <v>249.0</v>
      </c>
      <c r="C46" s="783">
        <v>0.0479</v>
      </c>
      <c r="D46" s="783">
        <v>0.0943</v>
      </c>
      <c r="E46" s="783">
        <v>0.162</v>
      </c>
      <c r="F46" s="783">
        <v>0.0377845220030349</v>
      </c>
      <c r="G46" s="783">
        <v>0.09957857531266992</v>
      </c>
      <c r="H46" s="783">
        <v>0.1636615811373093</v>
      </c>
      <c r="I46" s="812">
        <v>0.7102723232639637</v>
      </c>
      <c r="J46" s="812">
        <v>1.078467340739328</v>
      </c>
      <c r="K46" s="812">
        <v>1.730584851390221</v>
      </c>
      <c r="L46" s="783">
        <v>0.06645065180377357</v>
      </c>
      <c r="M46" s="783">
        <v>0.07196894726066132</v>
      </c>
      <c r="N46" s="783">
        <v>0.08035340929599769</v>
      </c>
      <c r="O46" s="812">
        <v>0.2140368753735465</v>
      </c>
      <c r="P46" s="812">
        <v>0.7227342751859889</v>
      </c>
      <c r="Q46" s="812">
        <v>1.10708236438628</v>
      </c>
      <c r="R46" s="783">
        <v>0.04374878599633402</v>
      </c>
      <c r="S46" s="783">
        <v>0.1680419199628277</v>
      </c>
      <c r="T46" s="783">
        <v>0.4023297178530324</v>
      </c>
      <c r="U46" s="753"/>
      <c r="V46" s="753"/>
      <c r="W46" s="9"/>
    </row>
    <row r="47" ht="12.75" customHeight="1">
      <c r="A47" s="810" t="s">
        <v>993</v>
      </c>
      <c r="B47" s="811">
        <v>656.0</v>
      </c>
      <c r="C47" s="783">
        <v>0.0329</v>
      </c>
      <c r="D47" s="783">
        <v>0.07150000000000001</v>
      </c>
      <c r="E47" s="783">
        <v>0.125</v>
      </c>
      <c r="F47" s="783">
        <v>0.0</v>
      </c>
      <c r="G47" s="783">
        <v>0.09793491864831039</v>
      </c>
      <c r="H47" s="783">
        <v>0.1947375685727379</v>
      </c>
      <c r="I47" s="812">
        <v>0.2427342984652226</v>
      </c>
      <c r="J47" s="812">
        <v>0.577110547865081</v>
      </c>
      <c r="K47" s="812">
        <v>1.441192711209277</v>
      </c>
      <c r="L47" s="783">
        <v>0.06990686850923153</v>
      </c>
      <c r="M47" s="783">
        <v>0.07446020950807353</v>
      </c>
      <c r="N47" s="783">
        <v>0.08582873706497002</v>
      </c>
      <c r="O47" s="812">
        <v>0.2775794444657708</v>
      </c>
      <c r="P47" s="812">
        <v>0.7454059593285908</v>
      </c>
      <c r="Q47" s="812">
        <v>1.236028943364968</v>
      </c>
      <c r="R47" s="783">
        <v>0.02079260707304069</v>
      </c>
      <c r="S47" s="783">
        <v>0.1686504796067639</v>
      </c>
      <c r="T47" s="783">
        <v>0.4575192544798202</v>
      </c>
      <c r="U47" s="753"/>
      <c r="V47" s="753"/>
      <c r="W47" s="9"/>
    </row>
    <row r="48" ht="12.75" customHeight="1">
      <c r="A48" s="810" t="s">
        <v>994</v>
      </c>
      <c r="B48" s="811">
        <v>588.0</v>
      </c>
      <c r="C48" s="783">
        <v>0.0151</v>
      </c>
      <c r="D48" s="783">
        <v>0.0585</v>
      </c>
      <c r="E48" s="783">
        <v>0.135</v>
      </c>
      <c r="F48" s="783">
        <v>-0.01736733287388008</v>
      </c>
      <c r="G48" s="783">
        <v>0.05712736778462112</v>
      </c>
      <c r="H48" s="783">
        <v>0.1271578947368421</v>
      </c>
      <c r="I48" s="812">
        <v>0.7748579545454545</v>
      </c>
      <c r="J48" s="812">
        <v>1.402027027027027</v>
      </c>
      <c r="K48" s="812">
        <v>2.504213821333976</v>
      </c>
      <c r="L48" s="783">
        <v>0.0739319041344551</v>
      </c>
      <c r="M48" s="783">
        <v>0.07792301885844735</v>
      </c>
      <c r="N48" s="783">
        <v>0.0853223576290846</v>
      </c>
      <c r="O48" s="812">
        <v>0.2553121870077693</v>
      </c>
      <c r="P48" s="812">
        <v>0.6928780699404847</v>
      </c>
      <c r="Q48" s="812">
        <v>1.247251895307802</v>
      </c>
      <c r="R48" s="783">
        <v>0.002711329548725154</v>
      </c>
      <c r="S48" s="783">
        <v>0.06395348837209303</v>
      </c>
      <c r="T48" s="783">
        <v>0.270552653285675</v>
      </c>
      <c r="U48" s="753"/>
      <c r="V48" s="753"/>
      <c r="W48" s="9"/>
    </row>
    <row r="49" ht="12.75" customHeight="1">
      <c r="A49" s="810" t="s">
        <v>1433</v>
      </c>
      <c r="B49" s="811">
        <v>86.0</v>
      </c>
      <c r="C49" s="783">
        <v>0.00592</v>
      </c>
      <c r="D49" s="783">
        <v>0.05990000000000001</v>
      </c>
      <c r="E49" s="783">
        <v>0.126</v>
      </c>
      <c r="F49" s="783">
        <v>0.01168865435356201</v>
      </c>
      <c r="G49" s="783">
        <v>0.07669021190716449</v>
      </c>
      <c r="H49" s="783">
        <v>0.1495412844036697</v>
      </c>
      <c r="I49" s="812">
        <v>0.9696146245059288</v>
      </c>
      <c r="J49" s="812">
        <v>2.177494449042769</v>
      </c>
      <c r="K49" s="812">
        <v>3.228096733443112</v>
      </c>
      <c r="L49" s="783">
        <v>0.07873329713474236</v>
      </c>
      <c r="M49" s="783">
        <v>0.08440911574471649</v>
      </c>
      <c r="N49" s="783">
        <v>0.100122221316747</v>
      </c>
      <c r="O49" s="812">
        <v>0.4814818629193295</v>
      </c>
      <c r="P49" s="812">
        <v>0.8428014209023708</v>
      </c>
      <c r="Q49" s="812">
        <v>1.567771937756151</v>
      </c>
      <c r="R49" s="783">
        <v>0.01108269394714407</v>
      </c>
      <c r="S49" s="783">
        <v>0.1277955271565495</v>
      </c>
      <c r="T49" s="783">
        <v>0.2478860703159769</v>
      </c>
      <c r="U49" s="753"/>
      <c r="V49" s="753"/>
      <c r="W49" s="9"/>
    </row>
    <row r="50" ht="12.75" customHeight="1">
      <c r="A50" s="810" t="s">
        <v>1434</v>
      </c>
      <c r="B50" s="811">
        <v>204.0</v>
      </c>
      <c r="C50" s="783">
        <v>0.0395</v>
      </c>
      <c r="D50" s="783">
        <v>0.07880000000000001</v>
      </c>
      <c r="E50" s="783">
        <v>0.175</v>
      </c>
      <c r="F50" s="783">
        <v>0.0509940137462124</v>
      </c>
      <c r="G50" s="783">
        <v>0.1076178787580114</v>
      </c>
      <c r="H50" s="783">
        <v>0.2043918918918919</v>
      </c>
      <c r="I50" s="812">
        <v>0.9542258911643133</v>
      </c>
      <c r="J50" s="812">
        <v>1.698082247974567</v>
      </c>
      <c r="K50" s="812">
        <v>3.190501898059031</v>
      </c>
      <c r="L50" s="783">
        <v>0.06253877806632288</v>
      </c>
      <c r="M50" s="783">
        <v>0.0659807078092521</v>
      </c>
      <c r="N50" s="783">
        <v>0.07466034327890209</v>
      </c>
      <c r="O50" s="812">
        <v>0.07491409587099011</v>
      </c>
      <c r="P50" s="812">
        <v>0.4769037806418541</v>
      </c>
      <c r="Q50" s="812">
        <v>0.8584494706542573</v>
      </c>
      <c r="R50" s="783">
        <v>9.832272990167726E-4</v>
      </c>
      <c r="S50" s="783">
        <v>0.0593533706267185</v>
      </c>
      <c r="T50" s="783">
        <v>0.2078350945985965</v>
      </c>
      <c r="U50" s="753"/>
      <c r="V50" s="753"/>
      <c r="W50" s="9"/>
    </row>
    <row r="51" ht="12.75" customHeight="1">
      <c r="A51" s="810" t="s">
        <v>997</v>
      </c>
      <c r="B51" s="811">
        <v>143.0</v>
      </c>
      <c r="C51" s="783">
        <v>0.0159</v>
      </c>
      <c r="D51" s="783">
        <v>0.0483</v>
      </c>
      <c r="E51" s="783">
        <v>0.1</v>
      </c>
      <c r="F51" s="783">
        <v>0.05181138585393905</v>
      </c>
      <c r="G51" s="783">
        <v>0.1242312423124231</v>
      </c>
      <c r="H51" s="783">
        <v>0.2332057058879931</v>
      </c>
      <c r="I51" s="812">
        <v>0.6305875845230943</v>
      </c>
      <c r="J51" s="812">
        <v>1.371918542336549</v>
      </c>
      <c r="K51" s="812">
        <v>3.396545331617631</v>
      </c>
      <c r="L51" s="783">
        <v>0.07307592323312087</v>
      </c>
      <c r="M51" s="783">
        <v>0.07954842334350426</v>
      </c>
      <c r="N51" s="783">
        <v>0.1195010878500598</v>
      </c>
      <c r="O51" s="812">
        <v>0.2577863267253251</v>
      </c>
      <c r="P51" s="812">
        <v>0.7110100817091966</v>
      </c>
      <c r="Q51" s="812">
        <v>1.161061431877952</v>
      </c>
      <c r="R51" s="783">
        <v>0.01656867985034741</v>
      </c>
      <c r="S51" s="783">
        <v>0.1329333425047207</v>
      </c>
      <c r="T51" s="783">
        <v>0.3574432296047099</v>
      </c>
      <c r="U51" s="753"/>
      <c r="V51" s="753"/>
      <c r="W51" s="9"/>
    </row>
    <row r="52" ht="12.75" customHeight="1">
      <c r="A52" s="810" t="s">
        <v>1435</v>
      </c>
      <c r="B52" s="811">
        <v>248.0</v>
      </c>
      <c r="C52" s="783">
        <v>0.0343</v>
      </c>
      <c r="D52" s="783">
        <v>0.06</v>
      </c>
      <c r="E52" s="783">
        <v>0.09849999999999999</v>
      </c>
      <c r="F52" s="783">
        <v>0.07338129496402877</v>
      </c>
      <c r="G52" s="783">
        <v>0.1383016416676509</v>
      </c>
      <c r="H52" s="783">
        <v>0.2058212058212058</v>
      </c>
      <c r="I52" s="812">
        <v>0.8389423076923079</v>
      </c>
      <c r="J52" s="812">
        <v>1.479156690195961</v>
      </c>
      <c r="K52" s="812">
        <v>2.822909624932981</v>
      </c>
      <c r="L52" s="783">
        <v>0.05776064422235887</v>
      </c>
      <c r="M52" s="783">
        <v>0.06497286461169287</v>
      </c>
      <c r="N52" s="783">
        <v>0.08630372508159778</v>
      </c>
      <c r="O52" s="812">
        <v>0.1094819692568071</v>
      </c>
      <c r="P52" s="812">
        <v>0.4096591469343218</v>
      </c>
      <c r="Q52" s="812">
        <v>0.7938420022607394</v>
      </c>
      <c r="R52" s="783">
        <v>0.00400634296354453</v>
      </c>
      <c r="S52" s="783">
        <v>0.05370843989769821</v>
      </c>
      <c r="T52" s="783">
        <v>0.1644247446521488</v>
      </c>
      <c r="U52" s="753"/>
      <c r="V52" s="753"/>
      <c r="W52" s="9"/>
    </row>
    <row r="53" ht="12.75" customHeight="1">
      <c r="A53" s="810" t="s">
        <v>1436</v>
      </c>
      <c r="B53" s="811">
        <v>1315.0</v>
      </c>
      <c r="C53" s="783">
        <v>0.009530000000000002</v>
      </c>
      <c r="D53" s="783">
        <v>0.0758</v>
      </c>
      <c r="E53" s="783">
        <v>0.162</v>
      </c>
      <c r="F53" s="783">
        <v>0.0</v>
      </c>
      <c r="G53" s="783">
        <v>0.1788321167883212</v>
      </c>
      <c r="H53" s="783">
        <v>0.6254071661237784</v>
      </c>
      <c r="I53" s="812">
        <v>3.142183817753339E-4</v>
      </c>
      <c r="J53" s="812">
        <v>0.09937419076391886</v>
      </c>
      <c r="K53" s="812">
        <v>0.588235294117647</v>
      </c>
      <c r="L53" s="783">
        <v>0.06315045017578096</v>
      </c>
      <c r="M53" s="783">
        <v>0.06555516258344098</v>
      </c>
      <c r="N53" s="783">
        <v>0.07242037480337576</v>
      </c>
      <c r="O53" s="812">
        <v>0.124536123837677</v>
      </c>
      <c r="P53" s="812">
        <v>0.6176679700558836</v>
      </c>
      <c r="Q53" s="812">
        <v>1.182633708554599</v>
      </c>
      <c r="R53" s="783">
        <v>0.0</v>
      </c>
      <c r="S53" s="783">
        <v>0.01331081752259859</v>
      </c>
      <c r="T53" s="783">
        <v>0.1466535433070866</v>
      </c>
      <c r="U53" s="753"/>
      <c r="V53" s="753"/>
      <c r="W53" s="9"/>
    </row>
    <row r="54" ht="12.75" customHeight="1">
      <c r="A54" s="810" t="s">
        <v>1005</v>
      </c>
      <c r="B54" s="811">
        <v>1553.0</v>
      </c>
      <c r="C54" s="783">
        <v>0.0311</v>
      </c>
      <c r="D54" s="783">
        <v>0.0797</v>
      </c>
      <c r="E54" s="783">
        <v>0.161</v>
      </c>
      <c r="F54" s="783">
        <v>-1.453488372093023E-4</v>
      </c>
      <c r="G54" s="783">
        <v>0.06459407216494846</v>
      </c>
      <c r="H54" s="783">
        <v>0.1254932912391476</v>
      </c>
      <c r="I54" s="812">
        <v>0.7182258873349305</v>
      </c>
      <c r="J54" s="812">
        <v>1.177259768572866</v>
      </c>
      <c r="K54" s="812">
        <v>1.782419495213229</v>
      </c>
      <c r="L54" s="783">
        <v>0.1004622760519272</v>
      </c>
      <c r="M54" s="783">
        <v>0.10599628193461</v>
      </c>
      <c r="N54" s="783">
        <v>0.1079026818377262</v>
      </c>
      <c r="O54" s="812">
        <v>0.7006155476676568</v>
      </c>
      <c r="P54" s="812">
        <v>1.285268003660245</v>
      </c>
      <c r="Q54" s="812">
        <v>2.006906801147958</v>
      </c>
      <c r="R54" s="783">
        <v>0.01742160278745645</v>
      </c>
      <c r="S54" s="783">
        <v>0.09410402934835871</v>
      </c>
      <c r="T54" s="783">
        <v>0.2461500655307995</v>
      </c>
      <c r="U54" s="753"/>
      <c r="V54" s="753"/>
      <c r="W54" s="9"/>
    </row>
    <row r="55" ht="12.75" customHeight="1">
      <c r="A55" s="810" t="s">
        <v>1437</v>
      </c>
      <c r="B55" s="811">
        <v>1874.0</v>
      </c>
      <c r="C55" s="783">
        <v>0.0608</v>
      </c>
      <c r="D55" s="783">
        <v>0.124</v>
      </c>
      <c r="E55" s="783">
        <v>0.236</v>
      </c>
      <c r="F55" s="783" t="s">
        <v>1385</v>
      </c>
      <c r="G55" s="783">
        <v>0.00217391304347826</v>
      </c>
      <c r="H55" s="783">
        <v>0.08834841628959277</v>
      </c>
      <c r="I55" s="812">
        <v>0.0</v>
      </c>
      <c r="J55" s="812">
        <v>0.0</v>
      </c>
      <c r="K55" s="812">
        <v>0.5586761257650558</v>
      </c>
      <c r="L55" s="783">
        <v>0.0868195605379707</v>
      </c>
      <c r="M55" s="783">
        <v>0.08683691834495816</v>
      </c>
      <c r="N55" s="783">
        <v>0.09213601587036405</v>
      </c>
      <c r="O55" s="812">
        <v>0.4817158952831602</v>
      </c>
      <c r="P55" s="812">
        <v>1.153442019523085</v>
      </c>
      <c r="Q55" s="812">
        <v>1.829079155617997</v>
      </c>
      <c r="R55" s="783">
        <v>0.0</v>
      </c>
      <c r="S55" s="783">
        <v>0.005295194734497946</v>
      </c>
      <c r="T55" s="783">
        <v>0.1263151405556469</v>
      </c>
      <c r="U55" s="753"/>
      <c r="V55" s="753"/>
      <c r="W55" s="9"/>
    </row>
    <row r="56" ht="12.75" customHeight="1">
      <c r="A56" s="810" t="s">
        <v>1438</v>
      </c>
      <c r="B56" s="811">
        <v>139.0</v>
      </c>
      <c r="C56" s="783">
        <v>0.0282</v>
      </c>
      <c r="D56" s="783">
        <v>0.0461</v>
      </c>
      <c r="E56" s="783">
        <v>0.09359999999999999</v>
      </c>
      <c r="F56" s="783">
        <v>4.258594150846588E-4</v>
      </c>
      <c r="G56" s="783">
        <v>0.05096943527220388</v>
      </c>
      <c r="H56" s="783">
        <v>0.09234116813849513</v>
      </c>
      <c r="I56" s="812">
        <v>0.8183306055646482</v>
      </c>
      <c r="J56" s="812">
        <v>1.502735588157527</v>
      </c>
      <c r="K56" s="812">
        <v>2.379248658318426</v>
      </c>
      <c r="L56" s="783">
        <v>0.07261867704388465</v>
      </c>
      <c r="M56" s="783">
        <v>0.07582056364151478</v>
      </c>
      <c r="N56" s="783">
        <v>0.08804851381470784</v>
      </c>
      <c r="O56" s="812">
        <v>0.3227738918642667</v>
      </c>
      <c r="P56" s="812">
        <v>0.6793329807371028</v>
      </c>
      <c r="Q56" s="812">
        <v>1.081532113841521</v>
      </c>
      <c r="R56" s="783">
        <v>0.0129007036747459</v>
      </c>
      <c r="S56" s="783">
        <v>0.127109337559379</v>
      </c>
      <c r="T56" s="783">
        <v>0.313881874079759</v>
      </c>
      <c r="U56" s="753"/>
      <c r="V56" s="753"/>
      <c r="W56" s="9"/>
    </row>
    <row r="57" ht="12.75" customHeight="1">
      <c r="A57" s="810" t="s">
        <v>1439</v>
      </c>
      <c r="B57" s="811">
        <v>34.0</v>
      </c>
      <c r="C57" s="783">
        <v>-0.04679999999999999</v>
      </c>
      <c r="D57" s="783">
        <v>-0.0312</v>
      </c>
      <c r="E57" s="783">
        <v>-0.0181</v>
      </c>
      <c r="F57" s="783">
        <v>0.05095874871839619</v>
      </c>
      <c r="G57" s="783">
        <v>0.1040771503977034</v>
      </c>
      <c r="H57" s="783">
        <v>0.1550748752079867</v>
      </c>
      <c r="I57" s="812">
        <v>0.779872514991633</v>
      </c>
      <c r="J57" s="812">
        <v>1.30979443419509</v>
      </c>
      <c r="K57" s="812">
        <v>1.782639524213405</v>
      </c>
      <c r="L57" s="783">
        <v>0.06679087473469009</v>
      </c>
      <c r="M57" s="783">
        <v>0.07085130301086529</v>
      </c>
      <c r="N57" s="783">
        <v>0.08092858692417801</v>
      </c>
      <c r="O57" s="812">
        <v>0.2470781069929799</v>
      </c>
      <c r="P57" s="812">
        <v>0.6153749862243219</v>
      </c>
      <c r="Q57" s="812">
        <v>0.9000396916758235</v>
      </c>
      <c r="R57" s="783">
        <v>0.1203136749382318</v>
      </c>
      <c r="S57" s="783">
        <v>0.3104214620207953</v>
      </c>
      <c r="T57" s="783">
        <v>0.4144784026079869</v>
      </c>
      <c r="U57" s="753"/>
      <c r="V57" s="753"/>
      <c r="W57" s="9"/>
    </row>
    <row r="58" ht="12.75" customHeight="1">
      <c r="A58" s="810" t="s">
        <v>1440</v>
      </c>
      <c r="B58" s="811">
        <v>539.0</v>
      </c>
      <c r="C58" s="783">
        <v>-0.0437</v>
      </c>
      <c r="D58" s="783">
        <v>0.048</v>
      </c>
      <c r="E58" s="783">
        <v>0.233</v>
      </c>
      <c r="F58" s="783">
        <v>-0.3276315789473684</v>
      </c>
      <c r="G58" s="783">
        <v>0.1213114754098361</v>
      </c>
      <c r="H58" s="783">
        <v>0.3081232492997198</v>
      </c>
      <c r="I58" s="812">
        <v>0.08015545299975711</v>
      </c>
      <c r="J58" s="812">
        <v>0.3980607792207316</v>
      </c>
      <c r="K58" s="812">
        <v>0.695273631840796</v>
      </c>
      <c r="L58" s="783">
        <v>0.069637357264509</v>
      </c>
      <c r="M58" s="783">
        <v>0.07122549971905609</v>
      </c>
      <c r="N58" s="783">
        <v>0.07552112972740735</v>
      </c>
      <c r="O58" s="812">
        <v>0.2672335022534898</v>
      </c>
      <c r="P58" s="812">
        <v>0.6883683048623747</v>
      </c>
      <c r="Q58" s="812">
        <v>1.24924491068257</v>
      </c>
      <c r="R58" s="783">
        <v>0.0</v>
      </c>
      <c r="S58" s="783">
        <v>0.09529276693455799</v>
      </c>
      <c r="T58" s="783">
        <v>0.3547717842323652</v>
      </c>
      <c r="U58" s="753"/>
      <c r="V58" s="753"/>
      <c r="W58" s="9"/>
    </row>
    <row r="59" ht="12.75" customHeight="1">
      <c r="A59" s="810" t="s">
        <v>1441</v>
      </c>
      <c r="B59" s="811">
        <v>186.0</v>
      </c>
      <c r="C59" s="783">
        <v>0.00865</v>
      </c>
      <c r="D59" s="783">
        <v>0.0573</v>
      </c>
      <c r="E59" s="783">
        <v>0.111</v>
      </c>
      <c r="F59" s="783">
        <v>0.01379567486950037</v>
      </c>
      <c r="G59" s="783">
        <v>0.1094397209505123</v>
      </c>
      <c r="H59" s="783">
        <v>0.248780487804878</v>
      </c>
      <c r="I59" s="812">
        <v>0.3331841909023117</v>
      </c>
      <c r="J59" s="812">
        <v>0.7985730177586213</v>
      </c>
      <c r="K59" s="812">
        <v>2.939226519337017</v>
      </c>
      <c r="L59" s="783">
        <v>0.05891046082057269</v>
      </c>
      <c r="M59" s="783">
        <v>0.06525462352147125</v>
      </c>
      <c r="N59" s="783">
        <v>0.07159978006672238</v>
      </c>
      <c r="O59" s="812">
        <v>0.2887368629997481</v>
      </c>
      <c r="P59" s="812">
        <v>0.6224840370150291</v>
      </c>
      <c r="Q59" s="812">
        <v>1.053864570653855</v>
      </c>
      <c r="R59" s="783">
        <v>0.07276100175203545</v>
      </c>
      <c r="S59" s="783">
        <v>0.2619400771284485</v>
      </c>
      <c r="T59" s="783">
        <v>0.4960000000000001</v>
      </c>
      <c r="U59" s="753"/>
      <c r="V59" s="753"/>
      <c r="W59" s="9"/>
    </row>
    <row r="60" ht="12.75" customHeight="1">
      <c r="A60" s="810" t="s">
        <v>1442</v>
      </c>
      <c r="B60" s="811">
        <v>431.0</v>
      </c>
      <c r="C60" s="783">
        <v>-0.0372</v>
      </c>
      <c r="D60" s="783">
        <v>0.0184</v>
      </c>
      <c r="E60" s="783">
        <v>0.109</v>
      </c>
      <c r="F60" s="783">
        <v>0.002486988847583643</v>
      </c>
      <c r="G60" s="783">
        <v>0.03348783314020858</v>
      </c>
      <c r="H60" s="783">
        <v>0.1051105472997463</v>
      </c>
      <c r="I60" s="812">
        <v>0.7866120705002669</v>
      </c>
      <c r="J60" s="812">
        <v>1.577861712799755</v>
      </c>
      <c r="K60" s="812">
        <v>3.121306916927355</v>
      </c>
      <c r="L60" s="783">
        <v>0.07185199557355507</v>
      </c>
      <c r="M60" s="783">
        <v>0.07713468231866916</v>
      </c>
      <c r="N60" s="783">
        <v>0.08810545276411677</v>
      </c>
      <c r="O60" s="812">
        <v>0.3913905021063578</v>
      </c>
      <c r="P60" s="812">
        <v>0.878343389537258</v>
      </c>
      <c r="Q60" s="812">
        <v>1.331063378240002</v>
      </c>
      <c r="R60" s="783">
        <v>0.03920578832239609</v>
      </c>
      <c r="S60" s="783">
        <v>0.1901756960006052</v>
      </c>
      <c r="T60" s="783">
        <v>0.4500754076921922</v>
      </c>
      <c r="U60" s="753"/>
      <c r="V60" s="753"/>
      <c r="W60" s="9"/>
    </row>
    <row r="61" ht="12.75" customHeight="1">
      <c r="A61" s="810" t="s">
        <v>1040</v>
      </c>
      <c r="B61" s="811">
        <v>438.0</v>
      </c>
      <c r="C61" s="783">
        <v>0.00209</v>
      </c>
      <c r="D61" s="783">
        <v>0.0571</v>
      </c>
      <c r="E61" s="783">
        <v>0.104</v>
      </c>
      <c r="F61" s="783">
        <v>0.01357818586533111</v>
      </c>
      <c r="G61" s="783">
        <v>0.05126050420168067</v>
      </c>
      <c r="H61" s="783">
        <v>0.0937007874015748</v>
      </c>
      <c r="I61" s="812">
        <v>0.814922884535223</v>
      </c>
      <c r="J61" s="812">
        <v>1.208867336335296</v>
      </c>
      <c r="K61" s="812">
        <v>1.770609318996416</v>
      </c>
      <c r="L61" s="783">
        <v>0.06759193462339944</v>
      </c>
      <c r="M61" s="783">
        <v>0.07539461959285737</v>
      </c>
      <c r="N61" s="783">
        <v>0.07975291536471862</v>
      </c>
      <c r="O61" s="812">
        <v>0.2275256947952204</v>
      </c>
      <c r="P61" s="812">
        <v>0.671917698382619</v>
      </c>
      <c r="Q61" s="812">
        <v>1.235653192878902</v>
      </c>
      <c r="R61" s="783">
        <v>0.04926866820631255</v>
      </c>
      <c r="S61" s="783">
        <v>0.2213390459991304</v>
      </c>
      <c r="T61" s="783">
        <v>0.4481236203090508</v>
      </c>
      <c r="U61" s="753"/>
      <c r="V61" s="753"/>
      <c r="W61" s="9"/>
    </row>
    <row r="62" ht="12.75" customHeight="1">
      <c r="A62" s="810" t="s">
        <v>1446</v>
      </c>
      <c r="B62" s="811">
        <v>271.0</v>
      </c>
      <c r="C62" s="783">
        <v>-0.00868</v>
      </c>
      <c r="D62" s="783">
        <v>0.0246</v>
      </c>
      <c r="E62" s="783">
        <v>0.07090000000000002</v>
      </c>
      <c r="F62" s="783">
        <v>-0.01710996427153632</v>
      </c>
      <c r="G62" s="783">
        <v>0.02708333333333333</v>
      </c>
      <c r="H62" s="783">
        <v>0.06219451050152758</v>
      </c>
      <c r="I62" s="812">
        <v>0.5712000328158008</v>
      </c>
      <c r="J62" s="812">
        <v>0.8953929539295392</v>
      </c>
      <c r="K62" s="812">
        <v>1.392698881620595</v>
      </c>
      <c r="L62" s="783">
        <v>0.0672356494043155</v>
      </c>
      <c r="M62" s="783">
        <v>0.07112964790650297</v>
      </c>
      <c r="N62" s="783">
        <v>0.08121347417344779</v>
      </c>
      <c r="O62" s="812">
        <v>0.3301311236588534</v>
      </c>
      <c r="P62" s="812">
        <v>0.8724435179030865</v>
      </c>
      <c r="Q62" s="812">
        <v>1.456197752416378</v>
      </c>
      <c r="R62" s="783">
        <v>0.073240589198036</v>
      </c>
      <c r="S62" s="783">
        <v>0.2974013474494706</v>
      </c>
      <c r="T62" s="783">
        <v>0.5399590163934426</v>
      </c>
      <c r="U62" s="753"/>
      <c r="V62" s="753"/>
      <c r="W62" s="9"/>
    </row>
    <row r="63" ht="12.75" customHeight="1">
      <c r="A63" s="810" t="s">
        <v>1449</v>
      </c>
      <c r="B63" s="811">
        <v>486.0</v>
      </c>
      <c r="C63" s="783">
        <v>-0.00362</v>
      </c>
      <c r="D63" s="783">
        <v>0.0358</v>
      </c>
      <c r="E63" s="783">
        <v>0.07919999999999999</v>
      </c>
      <c r="F63" s="783">
        <v>0.05489383738995339</v>
      </c>
      <c r="G63" s="783">
        <v>0.117156862745098</v>
      </c>
      <c r="H63" s="783">
        <v>0.2073287643291315</v>
      </c>
      <c r="I63" s="812">
        <v>0.3719821333205676</v>
      </c>
      <c r="J63" s="812">
        <v>0.6515895463228228</v>
      </c>
      <c r="K63" s="812">
        <v>1.322944924610434</v>
      </c>
      <c r="L63" s="783">
        <v>0.05986705909418917</v>
      </c>
      <c r="M63" s="783">
        <v>0.06292710810215986</v>
      </c>
      <c r="N63" s="783">
        <v>0.0717473533948575</v>
      </c>
      <c r="O63" s="812">
        <v>0.2686022157607467</v>
      </c>
      <c r="P63" s="812">
        <v>0.6591782567209045</v>
      </c>
      <c r="Q63" s="812">
        <v>1.119191375119317</v>
      </c>
      <c r="R63" s="783">
        <v>0.08900928792569661</v>
      </c>
      <c r="S63" s="783">
        <v>0.3630143401438005</v>
      </c>
      <c r="T63" s="783">
        <v>0.55</v>
      </c>
      <c r="U63" s="753"/>
      <c r="V63" s="753"/>
      <c r="W63" s="9"/>
    </row>
    <row r="64" ht="12.75" customHeight="1">
      <c r="A64" s="810" t="s">
        <v>1451</v>
      </c>
      <c r="B64" s="811">
        <v>777.0</v>
      </c>
      <c r="C64" s="783">
        <v>0.257</v>
      </c>
      <c r="D64" s="783">
        <v>0.375</v>
      </c>
      <c r="E64" s="783">
        <v>0.638</v>
      </c>
      <c r="F64" s="783" t="s">
        <v>1385</v>
      </c>
      <c r="G64" s="783">
        <v>0.06210645393326909</v>
      </c>
      <c r="H64" s="783">
        <v>0.3263940520446096</v>
      </c>
      <c r="I64" s="812">
        <v>0.0</v>
      </c>
      <c r="J64" s="812">
        <v>0.0</v>
      </c>
      <c r="K64" s="812">
        <v>0.4107142857142857</v>
      </c>
      <c r="L64" s="783">
        <v>0.09750823315264107</v>
      </c>
      <c r="M64" s="783">
        <v>0.09759899552436688</v>
      </c>
      <c r="N64" s="783">
        <v>0.09778860931268872</v>
      </c>
      <c r="O64" s="812">
        <v>0.7305604949206266</v>
      </c>
      <c r="P64" s="812">
        <v>1.326403939864719</v>
      </c>
      <c r="Q64" s="812">
        <v>1.993943869630157</v>
      </c>
      <c r="R64" s="783">
        <v>0.0</v>
      </c>
      <c r="S64" s="783">
        <v>0.001390254653962226</v>
      </c>
      <c r="T64" s="783">
        <v>0.05320600272851296</v>
      </c>
      <c r="U64" s="753"/>
      <c r="V64" s="753"/>
      <c r="W64" s="9"/>
    </row>
    <row r="65" ht="12.75" customHeight="1">
      <c r="A65" s="810" t="s">
        <v>1454</v>
      </c>
      <c r="B65" s="811">
        <v>307.0</v>
      </c>
      <c r="C65" s="783">
        <v>-0.00617</v>
      </c>
      <c r="D65" s="783">
        <v>0.0338</v>
      </c>
      <c r="E65" s="783">
        <v>0.0592</v>
      </c>
      <c r="F65" s="783">
        <v>-0.05090390104662226</v>
      </c>
      <c r="G65" s="783">
        <v>0.04043859649122807</v>
      </c>
      <c r="H65" s="783">
        <v>0.1030921608889963</v>
      </c>
      <c r="I65" s="812">
        <v>0.6729625223081499</v>
      </c>
      <c r="J65" s="812">
        <v>1.302452316076294</v>
      </c>
      <c r="K65" s="812">
        <v>2.307194826192401</v>
      </c>
      <c r="L65" s="783">
        <v>0.07607284581081189</v>
      </c>
      <c r="M65" s="783">
        <v>0.07913595785504782</v>
      </c>
      <c r="N65" s="783">
        <v>0.08868178350197324</v>
      </c>
      <c r="O65" s="812">
        <v>0.2795438463223957</v>
      </c>
      <c r="P65" s="812">
        <v>0.6687076280843635</v>
      </c>
      <c r="Q65" s="812">
        <v>1.216901078037385</v>
      </c>
      <c r="R65" s="783">
        <v>0.009794655898273049</v>
      </c>
      <c r="S65" s="783">
        <v>0.1064630367419212</v>
      </c>
      <c r="T65" s="783">
        <v>0.3497109826589595</v>
      </c>
      <c r="U65" s="753"/>
      <c r="V65" s="753"/>
      <c r="W65" s="9"/>
    </row>
    <row r="66" ht="12.75" customHeight="1">
      <c r="A66" s="810" t="s">
        <v>1057</v>
      </c>
      <c r="B66" s="811">
        <v>643.0</v>
      </c>
      <c r="C66" s="783">
        <v>-0.012</v>
      </c>
      <c r="D66" s="783">
        <v>0.0302</v>
      </c>
      <c r="E66" s="783">
        <v>0.0873</v>
      </c>
      <c r="F66" s="783">
        <v>0.1858455191654643</v>
      </c>
      <c r="G66" s="783">
        <v>0.5</v>
      </c>
      <c r="H66" s="783">
        <v>0.6478002965892239</v>
      </c>
      <c r="I66" s="812">
        <v>0.06329319882850634</v>
      </c>
      <c r="J66" s="812">
        <v>0.08994930225265248</v>
      </c>
      <c r="K66" s="812">
        <v>0.1350103854142626</v>
      </c>
      <c r="L66" s="783">
        <v>0.05328828196938005</v>
      </c>
      <c r="M66" s="783">
        <v>0.05538024141788789</v>
      </c>
      <c r="N66" s="783">
        <v>0.0626095592070091</v>
      </c>
      <c r="O66" s="812">
        <v>0.2292437883030543</v>
      </c>
      <c r="P66" s="812">
        <v>0.528926809161878</v>
      </c>
      <c r="Q66" s="812">
        <v>0.8104902504455701</v>
      </c>
      <c r="R66" s="783">
        <v>0.1774185858007915</v>
      </c>
      <c r="S66" s="783">
        <v>0.3956449205373606</v>
      </c>
      <c r="T66" s="783">
        <v>0.547302513080024</v>
      </c>
      <c r="U66" s="753"/>
      <c r="V66" s="753"/>
      <c r="W66" s="9"/>
    </row>
    <row r="67" ht="12.75" customHeight="1">
      <c r="A67" s="810" t="s">
        <v>1455</v>
      </c>
      <c r="B67" s="811">
        <v>895.0</v>
      </c>
      <c r="C67" s="783">
        <v>-0.0411</v>
      </c>
      <c r="D67" s="783">
        <v>0.0573</v>
      </c>
      <c r="E67" s="783">
        <v>0.198</v>
      </c>
      <c r="F67" s="783">
        <v>-0.09605740964897112</v>
      </c>
      <c r="G67" s="783">
        <v>0.08385004292664315</v>
      </c>
      <c r="H67" s="783">
        <v>0.2232142857142857</v>
      </c>
      <c r="I67" s="812">
        <v>0.1123564659045663</v>
      </c>
      <c r="J67" s="812">
        <v>0.254178674351585</v>
      </c>
      <c r="K67" s="812">
        <v>0.5849130605307883</v>
      </c>
      <c r="L67" s="783">
        <v>0.06164394284267952</v>
      </c>
      <c r="M67" s="783">
        <v>0.06771986635181843</v>
      </c>
      <c r="N67" s="783">
        <v>0.07097706876440221</v>
      </c>
      <c r="O67" s="812">
        <v>0.2781266099802303</v>
      </c>
      <c r="P67" s="812">
        <v>0.7801390745942769</v>
      </c>
      <c r="Q67" s="812">
        <v>1.436642532725697</v>
      </c>
      <c r="R67" s="783">
        <v>0.0889276373147341</v>
      </c>
      <c r="S67" s="783">
        <v>0.341088491898629</v>
      </c>
      <c r="T67" s="783">
        <v>0.6681103437512192</v>
      </c>
      <c r="U67" s="753"/>
      <c r="V67" s="753"/>
      <c r="W67" s="9"/>
    </row>
    <row r="68" ht="12.75" customHeight="1">
      <c r="A68" s="810" t="s">
        <v>1456</v>
      </c>
      <c r="B68" s="811">
        <v>312.0</v>
      </c>
      <c r="C68" s="783">
        <v>0.0316</v>
      </c>
      <c r="D68" s="783">
        <v>0.08349999999999999</v>
      </c>
      <c r="E68" s="783">
        <v>0.166</v>
      </c>
      <c r="F68" s="783">
        <v>0.03874431573942987</v>
      </c>
      <c r="G68" s="783">
        <v>0.1674373795761079</v>
      </c>
      <c r="H68" s="783">
        <v>0.3387336606818176</v>
      </c>
      <c r="I68" s="812">
        <v>0.07880003592706805</v>
      </c>
      <c r="J68" s="812">
        <v>0.1932834906238509</v>
      </c>
      <c r="K68" s="812">
        <v>0.4524207011686144</v>
      </c>
      <c r="L68" s="783">
        <v>0.06692893224827294</v>
      </c>
      <c r="M68" s="783">
        <v>0.07011823218411141</v>
      </c>
      <c r="N68" s="783">
        <v>0.07990108121347406</v>
      </c>
      <c r="O68" s="812">
        <v>0.2926621808208701</v>
      </c>
      <c r="P68" s="812">
        <v>0.7629390455962695</v>
      </c>
      <c r="Q68" s="812">
        <v>1.453747402503799</v>
      </c>
      <c r="R68" s="783">
        <v>0.04111876434982258</v>
      </c>
      <c r="S68" s="783">
        <v>0.3234811165845649</v>
      </c>
      <c r="T68" s="783">
        <v>0.5664928371632814</v>
      </c>
      <c r="U68" s="753"/>
      <c r="V68" s="753"/>
      <c r="W68" s="9"/>
    </row>
    <row r="69" ht="12.75" customHeight="1">
      <c r="A69" s="810" t="s">
        <v>1457</v>
      </c>
      <c r="B69" s="811">
        <v>752.0</v>
      </c>
      <c r="C69" s="783">
        <v>0.0235</v>
      </c>
      <c r="D69" s="783">
        <v>0.0689</v>
      </c>
      <c r="E69" s="783">
        <v>0.143</v>
      </c>
      <c r="F69" s="783">
        <v>0.04726850058117008</v>
      </c>
      <c r="G69" s="783">
        <v>0.2727847703396403</v>
      </c>
      <c r="H69" s="783">
        <v>0.5770308123249299</v>
      </c>
      <c r="I69" s="812">
        <v>0.06953391436150058</v>
      </c>
      <c r="J69" s="812">
        <v>0.1283051582141309</v>
      </c>
      <c r="K69" s="812">
        <v>0.5371945222687791</v>
      </c>
      <c r="L69" s="783">
        <v>0.06078802061903733</v>
      </c>
      <c r="M69" s="783">
        <v>0.06522148531066253</v>
      </c>
      <c r="N69" s="783">
        <v>0.07362035296237812</v>
      </c>
      <c r="O69" s="812">
        <v>0.1958317381860099</v>
      </c>
      <c r="P69" s="812">
        <v>0.6685173096445514</v>
      </c>
      <c r="Q69" s="812">
        <v>1.268234503297073</v>
      </c>
      <c r="R69" s="783">
        <v>0.02142759188151399</v>
      </c>
      <c r="S69" s="783">
        <v>0.2631578947368421</v>
      </c>
      <c r="T69" s="783">
        <v>0.5408921933085502</v>
      </c>
      <c r="U69" s="753"/>
      <c r="V69" s="753"/>
      <c r="W69" s="9"/>
    </row>
    <row r="70" ht="12.75" customHeight="1">
      <c r="A70" s="810" t="s">
        <v>1059</v>
      </c>
      <c r="B70" s="811">
        <v>332.0</v>
      </c>
      <c r="C70" s="783">
        <v>0.0219</v>
      </c>
      <c r="D70" s="783">
        <v>0.0622</v>
      </c>
      <c r="E70" s="783">
        <v>0.104</v>
      </c>
      <c r="F70" s="783">
        <v>-0.001456373662017515</v>
      </c>
      <c r="G70" s="783">
        <v>0.06594464500601685</v>
      </c>
      <c r="H70" s="783">
        <v>0.1439842209072978</v>
      </c>
      <c r="I70" s="812">
        <v>0.6102704934216431</v>
      </c>
      <c r="J70" s="812">
        <v>1.132789169818833</v>
      </c>
      <c r="K70" s="812">
        <v>1.928635068842207</v>
      </c>
      <c r="L70" s="783">
        <v>0.07852189641184398</v>
      </c>
      <c r="M70" s="783">
        <v>0.0829408462331643</v>
      </c>
      <c r="N70" s="783">
        <v>0.08515347379975481</v>
      </c>
      <c r="O70" s="812">
        <v>0.4723465778083545</v>
      </c>
      <c r="P70" s="812">
        <v>0.96445201496053</v>
      </c>
      <c r="Q70" s="812">
        <v>1.454508676263047</v>
      </c>
      <c r="R70" s="783">
        <v>0.02270742358078603</v>
      </c>
      <c r="S70" s="783">
        <v>0.1453258946795482</v>
      </c>
      <c r="T70" s="783">
        <v>0.3971184151283205</v>
      </c>
      <c r="U70" s="753"/>
      <c r="V70" s="753"/>
      <c r="W70" s="9"/>
    </row>
    <row r="71" ht="12.75" customHeight="1">
      <c r="A71" s="810" t="s">
        <v>1458</v>
      </c>
      <c r="B71" s="811">
        <v>32.0</v>
      </c>
      <c r="C71" s="783">
        <v>4.2E-4</v>
      </c>
      <c r="D71" s="783">
        <v>0.0294</v>
      </c>
      <c r="E71" s="783">
        <v>0.08800000000000001</v>
      </c>
      <c r="F71" s="783">
        <v>0.0723402809220799</v>
      </c>
      <c r="G71" s="783">
        <v>0.1502622177264948</v>
      </c>
      <c r="H71" s="783">
        <v>0.1961325966850829</v>
      </c>
      <c r="I71" s="812">
        <v>0.8401863917586192</v>
      </c>
      <c r="J71" s="812">
        <v>1.055722301970508</v>
      </c>
      <c r="K71" s="812">
        <v>2.013612127842784</v>
      </c>
      <c r="L71" s="783">
        <v>0.08715155805649075</v>
      </c>
      <c r="M71" s="783">
        <v>0.09290123413916833</v>
      </c>
      <c r="N71" s="783">
        <v>0.1032295161195577</v>
      </c>
      <c r="O71" s="812">
        <v>0.4712284569744591</v>
      </c>
      <c r="P71" s="812">
        <v>0.9102455180107408</v>
      </c>
      <c r="Q71" s="812">
        <v>1.149913193243899</v>
      </c>
      <c r="R71" s="783">
        <v>0.001469867711905928</v>
      </c>
      <c r="S71" s="783">
        <v>0.1154964549826211</v>
      </c>
      <c r="T71" s="783">
        <v>0.2159868634869376</v>
      </c>
      <c r="U71" s="753"/>
      <c r="V71" s="753"/>
      <c r="W71" s="9"/>
    </row>
    <row r="72" ht="12.75" customHeight="1">
      <c r="A72" s="810" t="s">
        <v>1459</v>
      </c>
      <c r="B72" s="811">
        <v>410.0</v>
      </c>
      <c r="C72" s="783">
        <v>0.0356</v>
      </c>
      <c r="D72" s="783">
        <v>0.07490000000000001</v>
      </c>
      <c r="E72" s="783">
        <v>0.13</v>
      </c>
      <c r="F72" s="783">
        <v>-0.004481981981981982</v>
      </c>
      <c r="G72" s="783">
        <v>0.0441090335110327</v>
      </c>
      <c r="H72" s="783">
        <v>0.08761831182526411</v>
      </c>
      <c r="I72" s="812">
        <v>1.194260855015477</v>
      </c>
      <c r="J72" s="812">
        <v>2.055335968379447</v>
      </c>
      <c r="K72" s="812">
        <v>3.543268872825329</v>
      </c>
      <c r="L72" s="783">
        <v>0.06803601113493808</v>
      </c>
      <c r="M72" s="783">
        <v>0.07129058011071156</v>
      </c>
      <c r="N72" s="783">
        <v>0.07292669312675541</v>
      </c>
      <c r="O72" s="812">
        <v>0.2921494721226114</v>
      </c>
      <c r="P72" s="812">
        <v>0.6534691040050294</v>
      </c>
      <c r="Q72" s="812">
        <v>1.099517206403753</v>
      </c>
      <c r="R72" s="783">
        <v>0.0859879242140329</v>
      </c>
      <c r="S72" s="783">
        <v>0.2537269175010503</v>
      </c>
      <c r="T72" s="783">
        <v>0.4443213296398892</v>
      </c>
      <c r="U72" s="753"/>
      <c r="V72" s="753"/>
      <c r="W72" s="9"/>
    </row>
    <row r="73" ht="12.75" customHeight="1">
      <c r="A73" s="810" t="s">
        <v>1460</v>
      </c>
      <c r="B73" s="811">
        <v>212.0</v>
      </c>
      <c r="C73" s="783">
        <v>0.0133</v>
      </c>
      <c r="D73" s="783">
        <v>0.0506</v>
      </c>
      <c r="E73" s="783">
        <v>0.115</v>
      </c>
      <c r="F73" s="783">
        <v>0.00794780938503825</v>
      </c>
      <c r="G73" s="783">
        <v>0.03020877133625454</v>
      </c>
      <c r="H73" s="783">
        <v>0.05489747202048463</v>
      </c>
      <c r="I73" s="812">
        <v>1.263456090651558</v>
      </c>
      <c r="J73" s="812">
        <v>2.548958170139433</v>
      </c>
      <c r="K73" s="812">
        <v>4.237927670591887</v>
      </c>
      <c r="L73" s="783">
        <v>0.06665735365264891</v>
      </c>
      <c r="M73" s="783">
        <v>0.07035074964157012</v>
      </c>
      <c r="N73" s="783">
        <v>0.08169149154003073</v>
      </c>
      <c r="O73" s="812">
        <v>0.3591071061202272</v>
      </c>
      <c r="P73" s="812">
        <v>0.749080799093671</v>
      </c>
      <c r="Q73" s="812">
        <v>1.190584579853785</v>
      </c>
      <c r="R73" s="783">
        <v>0.1006044662289895</v>
      </c>
      <c r="S73" s="783">
        <v>0.3084867534800179</v>
      </c>
      <c r="T73" s="783">
        <v>0.5739827373612824</v>
      </c>
      <c r="U73" s="753"/>
      <c r="V73" s="753"/>
      <c r="W73" s="9"/>
    </row>
    <row r="74" ht="12.75" customHeight="1">
      <c r="A74" s="810" t="s">
        <v>1461</v>
      </c>
      <c r="B74" s="811">
        <v>121.0</v>
      </c>
      <c r="C74" s="783">
        <v>0.0259</v>
      </c>
      <c r="D74" s="783">
        <v>0.0552</v>
      </c>
      <c r="E74" s="783">
        <v>0.0892</v>
      </c>
      <c r="F74" s="783">
        <v>0.0112806901128069</v>
      </c>
      <c r="G74" s="783">
        <v>0.04249512670565302</v>
      </c>
      <c r="H74" s="783">
        <v>0.1096681318521944</v>
      </c>
      <c r="I74" s="812">
        <v>1.172126144455748</v>
      </c>
      <c r="J74" s="812">
        <v>1.850214855739717</v>
      </c>
      <c r="K74" s="812">
        <v>3.428680629238164</v>
      </c>
      <c r="L74" s="783">
        <v>0.07301690012168685</v>
      </c>
      <c r="M74" s="783">
        <v>0.07807645144847886</v>
      </c>
      <c r="N74" s="783">
        <v>0.08919420790105674</v>
      </c>
      <c r="O74" s="812">
        <v>0.4531852205806431</v>
      </c>
      <c r="P74" s="812">
        <v>0.8668291239286331</v>
      </c>
      <c r="Q74" s="812">
        <v>1.425818171461391</v>
      </c>
      <c r="R74" s="783">
        <v>0.1041196464989803</v>
      </c>
      <c r="S74" s="783">
        <v>0.2618431073876619</v>
      </c>
      <c r="T74" s="783">
        <v>0.5017337956788477</v>
      </c>
      <c r="U74" s="753"/>
      <c r="V74" s="753"/>
      <c r="W74" s="9"/>
    </row>
    <row r="75" ht="12.75" customHeight="1">
      <c r="A75" s="810" t="s">
        <v>1462</v>
      </c>
      <c r="B75" s="811">
        <v>1079.0</v>
      </c>
      <c r="C75" s="783">
        <v>0.0225</v>
      </c>
      <c r="D75" s="783">
        <v>0.0507</v>
      </c>
      <c r="E75" s="783">
        <v>0.0968</v>
      </c>
      <c r="F75" s="783">
        <v>0.001134020618556701</v>
      </c>
      <c r="G75" s="783">
        <v>0.03215429634561344</v>
      </c>
      <c r="H75" s="783">
        <v>0.08180964081809641</v>
      </c>
      <c r="I75" s="812">
        <v>0.6994949494949497</v>
      </c>
      <c r="J75" s="812">
        <v>1.746887966804979</v>
      </c>
      <c r="K75" s="812">
        <v>3.364326377693062</v>
      </c>
      <c r="L75" s="783">
        <v>0.0686866204151085</v>
      </c>
      <c r="M75" s="783">
        <v>0.07255679457767689</v>
      </c>
      <c r="N75" s="783">
        <v>0.08387524104912493</v>
      </c>
      <c r="O75" s="812">
        <v>0.218842415978799</v>
      </c>
      <c r="P75" s="812">
        <v>0.7395536673043724</v>
      </c>
      <c r="Q75" s="812">
        <v>1.317193921938704</v>
      </c>
      <c r="R75" s="783">
        <v>0.02268041237113402</v>
      </c>
      <c r="S75" s="783">
        <v>0.1542553191489361</v>
      </c>
      <c r="T75" s="783">
        <v>0.4105449626044077</v>
      </c>
      <c r="U75" s="753"/>
      <c r="V75" s="753"/>
      <c r="W75" s="9"/>
    </row>
    <row r="76" ht="12.75" customHeight="1">
      <c r="A76" s="810" t="s">
        <v>1463</v>
      </c>
      <c r="B76" s="811">
        <v>252.0</v>
      </c>
      <c r="C76" s="783">
        <v>0.0275</v>
      </c>
      <c r="D76" s="783">
        <v>0.0629</v>
      </c>
      <c r="E76" s="783">
        <v>0.104</v>
      </c>
      <c r="F76" s="783">
        <v>0.002519083969465649</v>
      </c>
      <c r="G76" s="783">
        <v>0.04180910160201767</v>
      </c>
      <c r="H76" s="783">
        <v>0.08640796562777059</v>
      </c>
      <c r="I76" s="812">
        <v>0.6762709460417806</v>
      </c>
      <c r="J76" s="812">
        <v>1.721348314606742</v>
      </c>
      <c r="K76" s="812">
        <v>3.183288409703505</v>
      </c>
      <c r="L76" s="783">
        <v>0.08021313612107127</v>
      </c>
      <c r="M76" s="783">
        <v>0.08450246235789545</v>
      </c>
      <c r="N76" s="783">
        <v>0.0876732898935016</v>
      </c>
      <c r="O76" s="812">
        <v>0.5227333847485759</v>
      </c>
      <c r="P76" s="812">
        <v>0.8825846974141314</v>
      </c>
      <c r="Q76" s="812">
        <v>1.435381673061943</v>
      </c>
      <c r="R76" s="783">
        <v>0.07245156179320428</v>
      </c>
      <c r="S76" s="783">
        <v>0.2869188949295462</v>
      </c>
      <c r="T76" s="783">
        <v>0.5580856812041683</v>
      </c>
      <c r="U76" s="753"/>
      <c r="V76" s="753"/>
      <c r="W76" s="9"/>
    </row>
    <row r="77" ht="12.75" customHeight="1">
      <c r="A77" s="810" t="s">
        <v>1465</v>
      </c>
      <c r="B77" s="811">
        <v>215.0</v>
      </c>
      <c r="C77" s="783">
        <v>0.026</v>
      </c>
      <c r="D77" s="783">
        <v>0.05110000000000001</v>
      </c>
      <c r="E77" s="783">
        <v>0.0909</v>
      </c>
      <c r="F77" s="783">
        <v>0.00890212202942266</v>
      </c>
      <c r="G77" s="783">
        <v>0.03144820295983087</v>
      </c>
      <c r="H77" s="783">
        <v>0.05304518664047152</v>
      </c>
      <c r="I77" s="812">
        <v>2.139207762493394</v>
      </c>
      <c r="J77" s="812">
        <v>3.186098856576933</v>
      </c>
      <c r="K77" s="812">
        <v>4.567669172932331</v>
      </c>
      <c r="L77" s="783">
        <v>0.0689633633202282</v>
      </c>
      <c r="M77" s="783">
        <v>0.07281602181549889</v>
      </c>
      <c r="N77" s="783">
        <v>0.0820620127885129</v>
      </c>
      <c r="O77" s="812">
        <v>0.2510199031106136</v>
      </c>
      <c r="P77" s="812">
        <v>0.6691327182753835</v>
      </c>
      <c r="Q77" s="812">
        <v>1.118525260579975</v>
      </c>
      <c r="R77" s="783">
        <v>0.09916358402816244</v>
      </c>
      <c r="S77" s="783">
        <v>0.2622163866424695</v>
      </c>
      <c r="T77" s="783">
        <v>0.4317343173431734</v>
      </c>
      <c r="U77" s="753"/>
      <c r="V77" s="753"/>
      <c r="W77" s="9"/>
    </row>
    <row r="78" ht="12.75" customHeight="1">
      <c r="A78" s="810" t="s">
        <v>1466</v>
      </c>
      <c r="B78" s="811">
        <v>113.0</v>
      </c>
      <c r="C78" s="783">
        <v>0.0238</v>
      </c>
      <c r="D78" s="783">
        <v>0.04769999999999999</v>
      </c>
      <c r="E78" s="783">
        <v>0.07470000000000002</v>
      </c>
      <c r="F78" s="783">
        <v>0.3797958465329109</v>
      </c>
      <c r="G78" s="783">
        <v>0.5802409638554217</v>
      </c>
      <c r="H78" s="783">
        <v>0.6676172008668871</v>
      </c>
      <c r="I78" s="812">
        <v>0.08177558946173151</v>
      </c>
      <c r="J78" s="812">
        <v>0.1039325842696629</v>
      </c>
      <c r="K78" s="812">
        <v>0.1379735276256729</v>
      </c>
      <c r="L78" s="783">
        <v>0.05415588906558674</v>
      </c>
      <c r="M78" s="783">
        <v>0.05647153988221097</v>
      </c>
      <c r="N78" s="783">
        <v>0.06354562554234947</v>
      </c>
      <c r="O78" s="812">
        <v>0.3091006035392463</v>
      </c>
      <c r="P78" s="812">
        <v>0.6137584822073235</v>
      </c>
      <c r="Q78" s="812">
        <v>0.8090231853125175</v>
      </c>
      <c r="R78" s="783">
        <v>0.3024978421187552</v>
      </c>
      <c r="S78" s="783">
        <v>0.4171361584326065</v>
      </c>
      <c r="T78" s="783">
        <v>0.5299610894941634</v>
      </c>
      <c r="U78" s="753"/>
      <c r="V78" s="753"/>
      <c r="W78" s="9"/>
    </row>
    <row r="79" ht="12.75" customHeight="1">
      <c r="A79" s="810" t="s">
        <v>1061</v>
      </c>
      <c r="B79" s="811">
        <v>649.0</v>
      </c>
      <c r="C79" s="783">
        <v>0.0266</v>
      </c>
      <c r="D79" s="783">
        <v>0.0644</v>
      </c>
      <c r="E79" s="783">
        <v>0.126</v>
      </c>
      <c r="F79" s="783">
        <v>4.831593672656839E-4</v>
      </c>
      <c r="G79" s="783">
        <v>0.04013671875</v>
      </c>
      <c r="H79" s="783">
        <v>0.09100877192982455</v>
      </c>
      <c r="I79" s="812">
        <v>1.391017860239292</v>
      </c>
      <c r="J79" s="812">
        <v>2.329650740037061</v>
      </c>
      <c r="K79" s="812">
        <v>4.247891088394777</v>
      </c>
      <c r="L79" s="783">
        <v>0.07716705169674054</v>
      </c>
      <c r="M79" s="783">
        <v>0.08277430327446912</v>
      </c>
      <c r="N79" s="783">
        <v>0.0895442849460746</v>
      </c>
      <c r="O79" s="812">
        <v>0.3721677090523243</v>
      </c>
      <c r="P79" s="812">
        <v>0.8487488721464953</v>
      </c>
      <c r="Q79" s="812">
        <v>1.399357077205951</v>
      </c>
      <c r="R79" s="783">
        <v>0.05356085114138606</v>
      </c>
      <c r="S79" s="783">
        <v>0.2047480076560628</v>
      </c>
      <c r="T79" s="783">
        <v>0.4214752732887149</v>
      </c>
      <c r="U79" s="753"/>
      <c r="V79" s="753"/>
      <c r="W79" s="9"/>
    </row>
    <row r="80" ht="12.75" customHeight="1">
      <c r="A80" s="810" t="s">
        <v>1471</v>
      </c>
      <c r="B80" s="811">
        <v>91.0</v>
      </c>
      <c r="C80" s="783">
        <v>0.0177</v>
      </c>
      <c r="D80" s="783">
        <v>0.0824</v>
      </c>
      <c r="E80" s="783">
        <v>0.132</v>
      </c>
      <c r="F80" s="783">
        <v>0.02503015681544029</v>
      </c>
      <c r="G80" s="783">
        <v>0.05752660922453116</v>
      </c>
      <c r="H80" s="783">
        <v>0.09486991273142485</v>
      </c>
      <c r="I80" s="812">
        <v>0.944118104118104</v>
      </c>
      <c r="J80" s="812">
        <v>1.322956273764259</v>
      </c>
      <c r="K80" s="812">
        <v>1.762417851577997</v>
      </c>
      <c r="L80" s="783">
        <v>0.07629248718773085</v>
      </c>
      <c r="M80" s="783">
        <v>0.08111036905673905</v>
      </c>
      <c r="N80" s="783">
        <v>0.0931577272397214</v>
      </c>
      <c r="O80" s="812">
        <v>0.4170828608479512</v>
      </c>
      <c r="P80" s="812">
        <v>0.9602441336884644</v>
      </c>
      <c r="Q80" s="812">
        <v>1.41428011604779</v>
      </c>
      <c r="R80" s="783">
        <v>0.09229466553767993</v>
      </c>
      <c r="S80" s="783">
        <v>0.2778272484416741</v>
      </c>
      <c r="T80" s="783">
        <v>0.4475357710651828</v>
      </c>
      <c r="U80" s="753"/>
      <c r="V80" s="753"/>
      <c r="W80" s="9"/>
    </row>
    <row r="81" ht="12.75" customHeight="1">
      <c r="A81" s="810" t="s">
        <v>1066</v>
      </c>
      <c r="B81" s="811">
        <v>675.0</v>
      </c>
      <c r="C81" s="783">
        <v>0.0739</v>
      </c>
      <c r="D81" s="783">
        <v>0.18</v>
      </c>
      <c r="E81" s="783">
        <v>0.322</v>
      </c>
      <c r="F81" s="783">
        <v>-0.1503350083752094</v>
      </c>
      <c r="G81" s="783">
        <v>0.01439539347408829</v>
      </c>
      <c r="H81" s="783">
        <v>0.1151098901098901</v>
      </c>
      <c r="I81" s="812">
        <v>0.488594636697452</v>
      </c>
      <c r="J81" s="812">
        <v>0.8871794871794872</v>
      </c>
      <c r="K81" s="812">
        <v>1.640402347024309</v>
      </c>
      <c r="L81" s="783">
        <v>0.1270476202866501</v>
      </c>
      <c r="M81" s="783">
        <v>0.13217402531671</v>
      </c>
      <c r="N81" s="783">
        <v>0.1340237631173519</v>
      </c>
      <c r="O81" s="812">
        <v>1.217704957526992</v>
      </c>
      <c r="P81" s="812">
        <v>1.848063419989242</v>
      </c>
      <c r="Q81" s="812">
        <v>2.450825708678755</v>
      </c>
      <c r="R81" s="783">
        <v>0.00525995634594053</v>
      </c>
      <c r="S81" s="783">
        <v>0.05251374141551209</v>
      </c>
      <c r="T81" s="783">
        <v>0.1849217021645773</v>
      </c>
      <c r="U81" s="753"/>
      <c r="V81" s="753"/>
      <c r="W81" s="9"/>
    </row>
    <row r="82" ht="12.75" customHeight="1">
      <c r="A82" s="810" t="s">
        <v>1472</v>
      </c>
      <c r="B82" s="811">
        <v>391.0</v>
      </c>
      <c r="C82" s="783">
        <v>0.0622</v>
      </c>
      <c r="D82" s="783">
        <v>0.125</v>
      </c>
      <c r="E82" s="783">
        <v>0.238</v>
      </c>
      <c r="F82" s="783">
        <v>-0.03772189349112426</v>
      </c>
      <c r="G82" s="783">
        <v>0.07673267326732673</v>
      </c>
      <c r="H82" s="783">
        <v>0.1795096322241681</v>
      </c>
      <c r="I82" s="812">
        <v>0.4948453608247423</v>
      </c>
      <c r="J82" s="812">
        <v>0.8650306748466258</v>
      </c>
      <c r="K82" s="812">
        <v>1.435479414202819</v>
      </c>
      <c r="L82" s="783">
        <v>0.1353375421449724</v>
      </c>
      <c r="M82" s="783">
        <v>0.1421777360489984</v>
      </c>
      <c r="N82" s="783">
        <v>0.1455740561050118</v>
      </c>
      <c r="O82" s="812">
        <v>1.368746429322774</v>
      </c>
      <c r="P82" s="812">
        <v>2.111297612054185</v>
      </c>
      <c r="Q82" s="812">
        <v>2.856299144698176</v>
      </c>
      <c r="R82" s="783">
        <v>0.01245082532343756</v>
      </c>
      <c r="S82" s="783">
        <v>0.07704918032786887</v>
      </c>
      <c r="T82" s="783">
        <v>0.2330693150365594</v>
      </c>
      <c r="U82" s="753"/>
      <c r="V82" s="753"/>
      <c r="W82" s="9"/>
    </row>
    <row r="83" ht="12.75" customHeight="1">
      <c r="A83" s="810" t="s">
        <v>1474</v>
      </c>
      <c r="B83" s="811">
        <v>359.0</v>
      </c>
      <c r="C83" s="783">
        <v>-0.0176</v>
      </c>
      <c r="D83" s="783">
        <v>0.0245</v>
      </c>
      <c r="E83" s="783">
        <v>0.0864</v>
      </c>
      <c r="F83" s="783">
        <v>0.03277027027027027</v>
      </c>
      <c r="G83" s="783">
        <v>0.123110151187905</v>
      </c>
      <c r="H83" s="783">
        <v>0.2356030693585636</v>
      </c>
      <c r="I83" s="812">
        <v>0.3434547607063361</v>
      </c>
      <c r="J83" s="812">
        <v>0.5990699555196118</v>
      </c>
      <c r="K83" s="812">
        <v>1.111090227919157</v>
      </c>
      <c r="L83" s="783">
        <v>0.07597692833556399</v>
      </c>
      <c r="M83" s="783">
        <v>0.08060423951672692</v>
      </c>
      <c r="N83" s="783">
        <v>0.09384281250440693</v>
      </c>
      <c r="O83" s="812">
        <v>0.3266816019372614</v>
      </c>
      <c r="P83" s="812">
        <v>0.7804483420589714</v>
      </c>
      <c r="Q83" s="812">
        <v>1.392869291568942</v>
      </c>
      <c r="R83" s="783">
        <v>0.05968656218739581</v>
      </c>
      <c r="S83" s="783">
        <v>0.2233009708737864</v>
      </c>
      <c r="T83" s="783">
        <v>0.4581667179329437</v>
      </c>
      <c r="U83" s="753"/>
      <c r="V83" s="753"/>
      <c r="W83" s="9"/>
    </row>
    <row r="84" ht="12.75" customHeight="1">
      <c r="A84" s="810" t="s">
        <v>1068</v>
      </c>
      <c r="B84" s="811">
        <v>84.0</v>
      </c>
      <c r="C84" s="783">
        <v>0.0134</v>
      </c>
      <c r="D84" s="783">
        <v>0.05980000000000001</v>
      </c>
      <c r="E84" s="783">
        <v>0.111</v>
      </c>
      <c r="F84" s="783">
        <v>-0.0213943950786056</v>
      </c>
      <c r="G84" s="783">
        <v>0.06196078431372549</v>
      </c>
      <c r="H84" s="783">
        <v>0.1117400419287212</v>
      </c>
      <c r="I84" s="812">
        <v>1.004143856172755</v>
      </c>
      <c r="J84" s="812">
        <v>1.569374600146217</v>
      </c>
      <c r="K84" s="812">
        <v>2.414646676941759</v>
      </c>
      <c r="L84" s="783">
        <v>0.08230417333835138</v>
      </c>
      <c r="M84" s="783">
        <v>0.08469742220206203</v>
      </c>
      <c r="N84" s="783">
        <v>0.1012908785656396</v>
      </c>
      <c r="O84" s="812">
        <v>0.2512556986577776</v>
      </c>
      <c r="P84" s="812">
        <v>0.8730444947249923</v>
      </c>
      <c r="Q84" s="812">
        <v>1.576060102485668</v>
      </c>
      <c r="R84" s="783">
        <v>0.02100713639561765</v>
      </c>
      <c r="S84" s="783">
        <v>0.1114959371253497</v>
      </c>
      <c r="T84" s="783">
        <v>0.3481529911735861</v>
      </c>
      <c r="U84" s="753"/>
      <c r="V84" s="753"/>
      <c r="W84" s="9"/>
    </row>
    <row r="85" ht="12.75" customHeight="1">
      <c r="A85" s="810" t="s">
        <v>1476</v>
      </c>
      <c r="B85" s="811">
        <v>298.0</v>
      </c>
      <c r="C85" s="783">
        <v>0.04019999999999999</v>
      </c>
      <c r="D85" s="783">
        <v>0.103</v>
      </c>
      <c r="E85" s="783">
        <v>0.182</v>
      </c>
      <c r="F85" s="783">
        <v>-0.09722222222222221</v>
      </c>
      <c r="G85" s="783">
        <v>0.03747276688453159</v>
      </c>
      <c r="H85" s="783">
        <v>0.1486325802615933</v>
      </c>
      <c r="I85" s="812">
        <v>0.9712230215827335</v>
      </c>
      <c r="J85" s="812">
        <v>2.385931558935362</v>
      </c>
      <c r="K85" s="812">
        <v>5.947075208913651</v>
      </c>
      <c r="L85" s="783">
        <v>0.09053327787561695</v>
      </c>
      <c r="M85" s="783">
        <v>0.0958043923406332</v>
      </c>
      <c r="N85" s="783">
        <v>0.1010157089936661</v>
      </c>
      <c r="O85" s="812">
        <v>0.5690929926627469</v>
      </c>
      <c r="P85" s="812">
        <v>1.107747072811117</v>
      </c>
      <c r="Q85" s="812">
        <v>1.757298507744408</v>
      </c>
      <c r="R85" s="783">
        <v>0.003140630452483425</v>
      </c>
      <c r="S85" s="783">
        <v>0.04239766081871345</v>
      </c>
      <c r="T85" s="783">
        <v>0.2677339389809411</v>
      </c>
      <c r="U85" s="753"/>
      <c r="V85" s="753"/>
      <c r="W85" s="9"/>
    </row>
    <row r="86" ht="12.75" customHeight="1">
      <c r="A86" s="810" t="s">
        <v>1477</v>
      </c>
      <c r="B86" s="811">
        <v>150.0</v>
      </c>
      <c r="C86" s="783">
        <v>0.0515</v>
      </c>
      <c r="D86" s="783">
        <v>0.103</v>
      </c>
      <c r="E86" s="783">
        <v>0.213</v>
      </c>
      <c r="F86" s="783">
        <v>-0.1177892918825561</v>
      </c>
      <c r="G86" s="783">
        <v>0.04073647871116225</v>
      </c>
      <c r="H86" s="783">
        <v>0.1053027802503629</v>
      </c>
      <c r="I86" s="812">
        <v>0.6885628542847616</v>
      </c>
      <c r="J86" s="812">
        <v>1.361111111111111</v>
      </c>
      <c r="K86" s="812">
        <v>3.662374821173105</v>
      </c>
      <c r="L86" s="783">
        <v>0.0968390122665297</v>
      </c>
      <c r="M86" s="783">
        <v>0.1035362740032355</v>
      </c>
      <c r="N86" s="783">
        <v>0.1079572288388996</v>
      </c>
      <c r="O86" s="812">
        <v>0.6790689815454847</v>
      </c>
      <c r="P86" s="812">
        <v>1.201981027563686</v>
      </c>
      <c r="Q86" s="812">
        <v>1.986234607292739</v>
      </c>
      <c r="R86" s="783">
        <v>0.01398048008441045</v>
      </c>
      <c r="S86" s="783">
        <v>0.1029641185647426</v>
      </c>
      <c r="T86" s="783">
        <v>0.2613908872901679</v>
      </c>
      <c r="U86" s="753"/>
      <c r="V86" s="753"/>
      <c r="W86" s="9"/>
    </row>
    <row r="87" ht="12.75" customHeight="1">
      <c r="A87" s="810" t="s">
        <v>1055</v>
      </c>
      <c r="B87" s="811">
        <v>1532.0</v>
      </c>
      <c r="C87" s="783">
        <v>0.0638</v>
      </c>
      <c r="D87" s="783">
        <v>0.13</v>
      </c>
      <c r="E87" s="783">
        <v>0.209</v>
      </c>
      <c r="F87" s="783">
        <v>-0.2244301578024547</v>
      </c>
      <c r="G87" s="783">
        <v>0.006301374153730808</v>
      </c>
      <c r="H87" s="783">
        <v>0.1211717709720373</v>
      </c>
      <c r="I87" s="812">
        <v>0.6402664692820133</v>
      </c>
      <c r="J87" s="812">
        <v>1.528421052631579</v>
      </c>
      <c r="K87" s="812">
        <v>3.584070796460177</v>
      </c>
      <c r="L87" s="783">
        <v>0.09610686551597364</v>
      </c>
      <c r="M87" s="783">
        <v>0.1040061472074673</v>
      </c>
      <c r="N87" s="783">
        <v>0.1077651873120357</v>
      </c>
      <c r="O87" s="812">
        <v>0.6648015265935443</v>
      </c>
      <c r="P87" s="812">
        <v>1.202697825791081</v>
      </c>
      <c r="Q87" s="812">
        <v>1.891241916021585</v>
      </c>
      <c r="R87" s="783">
        <v>0.002777943040726384</v>
      </c>
      <c r="S87" s="783">
        <v>0.03187721369539551</v>
      </c>
      <c r="T87" s="783">
        <v>0.1437843235147279</v>
      </c>
      <c r="U87" s="753"/>
      <c r="V87" s="753"/>
      <c r="W87" s="9"/>
    </row>
    <row r="88" ht="12.75" customHeight="1">
      <c r="A88" s="810" t="s">
        <v>1480</v>
      </c>
      <c r="B88" s="811">
        <v>719.0</v>
      </c>
      <c r="C88" s="783">
        <v>-0.00254</v>
      </c>
      <c r="D88" s="783">
        <v>0.0476</v>
      </c>
      <c r="E88" s="783">
        <v>0.112</v>
      </c>
      <c r="F88" s="783">
        <v>-0.01048960429242119</v>
      </c>
      <c r="G88" s="783">
        <v>0.0285376428852976</v>
      </c>
      <c r="H88" s="783">
        <v>0.07777188328912468</v>
      </c>
      <c r="I88" s="812">
        <v>0.7329197053807917</v>
      </c>
      <c r="J88" s="812">
        <v>1.204839457069488</v>
      </c>
      <c r="K88" s="812">
        <v>1.899309342057433</v>
      </c>
      <c r="L88" s="783">
        <v>0.08229132167925568</v>
      </c>
      <c r="M88" s="783">
        <v>0.08725767275541317</v>
      </c>
      <c r="N88" s="783">
        <v>0.1037775751399355</v>
      </c>
      <c r="O88" s="812">
        <v>0.5692605336117998</v>
      </c>
      <c r="P88" s="812">
        <v>1.153757961750168</v>
      </c>
      <c r="Q88" s="812">
        <v>1.69844933649205</v>
      </c>
      <c r="R88" s="783">
        <v>0.02532453713556076</v>
      </c>
      <c r="S88" s="783">
        <v>0.2180616740088106</v>
      </c>
      <c r="T88" s="783">
        <v>0.4763466105354058</v>
      </c>
      <c r="U88" s="753"/>
      <c r="V88" s="753"/>
      <c r="W88" s="9"/>
    </row>
    <row r="89" ht="12.75" customHeight="1">
      <c r="A89" s="810" t="s">
        <v>1481</v>
      </c>
      <c r="B89" s="811">
        <v>101.0</v>
      </c>
      <c r="C89" s="783">
        <v>0.0247</v>
      </c>
      <c r="D89" s="783">
        <v>0.0496</v>
      </c>
      <c r="E89" s="783">
        <v>0.09300000000000001</v>
      </c>
      <c r="F89" s="783">
        <v>0.0664476352721668</v>
      </c>
      <c r="G89" s="783">
        <v>0.1423639075266075</v>
      </c>
      <c r="H89" s="783">
        <v>0.2225802986357289</v>
      </c>
      <c r="I89" s="812">
        <v>0.6297961612307618</v>
      </c>
      <c r="J89" s="812">
        <v>0.896585223079869</v>
      </c>
      <c r="K89" s="812">
        <v>1.893256401009737</v>
      </c>
      <c r="L89" s="783">
        <v>0.06638582214346275</v>
      </c>
      <c r="M89" s="783">
        <v>0.07048381554731434</v>
      </c>
      <c r="N89" s="783">
        <v>0.08079987726589843</v>
      </c>
      <c r="O89" s="812">
        <v>0.2749942752280268</v>
      </c>
      <c r="P89" s="812">
        <v>0.5436208335179404</v>
      </c>
      <c r="Q89" s="812">
        <v>1.014587602637658</v>
      </c>
      <c r="R89" s="783">
        <v>0.05690605611960017</v>
      </c>
      <c r="S89" s="783">
        <v>0.2165090874783512</v>
      </c>
      <c r="T89" s="783">
        <v>0.3802672147995889</v>
      </c>
      <c r="U89" s="823"/>
      <c r="V89" s="823"/>
      <c r="W89" s="9"/>
    </row>
    <row r="90" ht="12.75" customHeight="1">
      <c r="A90" s="810" t="s">
        <v>1074</v>
      </c>
      <c r="B90" s="811">
        <v>437.0</v>
      </c>
      <c r="C90" s="783">
        <v>0.0498</v>
      </c>
      <c r="D90" s="783">
        <v>0.119</v>
      </c>
      <c r="E90" s="783">
        <v>0.24</v>
      </c>
      <c r="F90" s="783">
        <v>-0.08880931065353626</v>
      </c>
      <c r="G90" s="783">
        <v>0.01742398360095661</v>
      </c>
      <c r="H90" s="783">
        <v>0.07352941176470587</v>
      </c>
      <c r="I90" s="812">
        <v>0.6602207951511652</v>
      </c>
      <c r="J90" s="812">
        <v>1.227816268611743</v>
      </c>
      <c r="K90" s="812">
        <v>2.167641325536062</v>
      </c>
      <c r="L90" s="783">
        <v>0.09738752508521667</v>
      </c>
      <c r="M90" s="783">
        <v>0.103163217023997</v>
      </c>
      <c r="N90" s="783">
        <v>0.1059952888872719</v>
      </c>
      <c r="O90" s="812">
        <v>0.7382690178356416</v>
      </c>
      <c r="P90" s="812">
        <v>1.28081931012964</v>
      </c>
      <c r="Q90" s="812">
        <v>1.898521596344393</v>
      </c>
      <c r="R90" s="783">
        <v>0.01289848292454722</v>
      </c>
      <c r="S90" s="783">
        <v>0.07575757575757575</v>
      </c>
      <c r="T90" s="783">
        <v>0.2175339656498334</v>
      </c>
      <c r="U90" s="823"/>
      <c r="V90" s="823"/>
      <c r="W90" s="9"/>
    </row>
    <row r="91" ht="12.75" customHeight="1">
      <c r="A91" s="810" t="s">
        <v>1076</v>
      </c>
      <c r="B91" s="811">
        <v>283.0</v>
      </c>
      <c r="C91" s="783">
        <v>0.0187</v>
      </c>
      <c r="D91" s="783">
        <v>0.038</v>
      </c>
      <c r="E91" s="783">
        <v>0.0892</v>
      </c>
      <c r="F91" s="783">
        <v>0.03122270742358078</v>
      </c>
      <c r="G91" s="783">
        <v>0.1085545311943251</v>
      </c>
      <c r="H91" s="783">
        <v>0.2056631892697467</v>
      </c>
      <c r="I91" s="812">
        <v>0.5343825812188657</v>
      </c>
      <c r="J91" s="812">
        <v>0.9188737106216895</v>
      </c>
      <c r="K91" s="812">
        <v>1.996979358952844</v>
      </c>
      <c r="L91" s="783">
        <v>0.06162175847487199</v>
      </c>
      <c r="M91" s="783">
        <v>0.06513094842993263</v>
      </c>
      <c r="N91" s="783">
        <v>0.07321177991054575</v>
      </c>
      <c r="O91" s="812">
        <v>0.2197702183728824</v>
      </c>
      <c r="P91" s="812">
        <v>0.6231126990748338</v>
      </c>
      <c r="Q91" s="812">
        <v>1.103005332017788</v>
      </c>
      <c r="R91" s="783">
        <v>0.03912994730350935</v>
      </c>
      <c r="S91" s="783">
        <v>0.2418397626112759</v>
      </c>
      <c r="T91" s="783">
        <v>0.4739663093415008</v>
      </c>
      <c r="U91" s="823"/>
      <c r="V91" s="823"/>
      <c r="W91" s="9"/>
    </row>
    <row r="92" ht="12.75" customHeight="1">
      <c r="A92" s="810" t="s">
        <v>1082</v>
      </c>
      <c r="B92" s="811">
        <v>48.0</v>
      </c>
      <c r="C92" s="783">
        <v>-0.00645</v>
      </c>
      <c r="D92" s="783">
        <v>0.07270000000000001</v>
      </c>
      <c r="E92" s="783">
        <v>0.16</v>
      </c>
      <c r="F92" s="783">
        <v>0.05876490153033705</v>
      </c>
      <c r="G92" s="783">
        <v>0.169869331283628</v>
      </c>
      <c r="H92" s="783">
        <v>0.3127777714951316</v>
      </c>
      <c r="I92" s="812">
        <v>0.6269247690277167</v>
      </c>
      <c r="J92" s="812">
        <v>1.266824675289026</v>
      </c>
      <c r="K92" s="812">
        <v>2.566829752534922</v>
      </c>
      <c r="L92" s="783">
        <v>0.05523681741638059</v>
      </c>
      <c r="M92" s="783">
        <v>0.06280501675243835</v>
      </c>
      <c r="N92" s="783">
        <v>0.06966802940365763</v>
      </c>
      <c r="O92" s="812">
        <v>-0.08600014499003784</v>
      </c>
      <c r="P92" s="812">
        <v>0.2291345985967895</v>
      </c>
      <c r="Q92" s="812">
        <v>0.809709802180063</v>
      </c>
      <c r="R92" s="783">
        <v>0.00136775221177652</v>
      </c>
      <c r="S92" s="783">
        <v>0.1500335386466358</v>
      </c>
      <c r="T92" s="783">
        <v>0.3079550305962715</v>
      </c>
      <c r="U92" s="823"/>
      <c r="V92" s="823"/>
      <c r="W92" s="9"/>
    </row>
    <row r="93" ht="12.75" customHeight="1">
      <c r="A93" s="810" t="s">
        <v>1099</v>
      </c>
      <c r="B93" s="811">
        <v>451.0</v>
      </c>
      <c r="C93" s="783">
        <v>0.0266</v>
      </c>
      <c r="D93" s="783">
        <v>0.0663</v>
      </c>
      <c r="E93" s="783">
        <v>0.116</v>
      </c>
      <c r="F93" s="783">
        <v>0.01053387112844717</v>
      </c>
      <c r="G93" s="783">
        <v>0.05659090909090909</v>
      </c>
      <c r="H93" s="783">
        <v>0.1291479820627803</v>
      </c>
      <c r="I93" s="812">
        <v>0.541491054232841</v>
      </c>
      <c r="J93" s="812">
        <v>1.491146318732526</v>
      </c>
      <c r="K93" s="812">
        <v>2.915568862275449</v>
      </c>
      <c r="L93" s="783">
        <v>0.07371782693775925</v>
      </c>
      <c r="M93" s="783">
        <v>0.07741369568852324</v>
      </c>
      <c r="N93" s="783">
        <v>0.08965248031284295</v>
      </c>
      <c r="O93" s="812">
        <v>0.3518274318697269</v>
      </c>
      <c r="P93" s="812">
        <v>0.8249003600644853</v>
      </c>
      <c r="Q93" s="812">
        <v>1.36843716185808</v>
      </c>
      <c r="R93" s="783">
        <v>0.07098976109215019</v>
      </c>
      <c r="S93" s="783">
        <v>0.2690329051671143</v>
      </c>
      <c r="T93" s="783">
        <v>0.4876579203109815</v>
      </c>
      <c r="U93" s="823"/>
      <c r="V93" s="823"/>
      <c r="W93" s="9"/>
    </row>
    <row r="94" ht="12.75" customHeight="1">
      <c r="A94" s="810" t="s">
        <v>1484</v>
      </c>
      <c r="B94" s="811">
        <v>54.0</v>
      </c>
      <c r="C94" s="783">
        <v>0.0234</v>
      </c>
      <c r="D94" s="783">
        <v>0.0347</v>
      </c>
      <c r="E94" s="783">
        <v>0.046</v>
      </c>
      <c r="F94" s="783">
        <v>0.07715355805243446</v>
      </c>
      <c r="G94" s="783">
        <v>0.1154679697860609</v>
      </c>
      <c r="H94" s="783">
        <v>0.2802989091533771</v>
      </c>
      <c r="I94" s="812">
        <v>0.3665008404417551</v>
      </c>
      <c r="J94" s="812">
        <v>0.4863025969740269</v>
      </c>
      <c r="K94" s="812">
        <v>0.8129170775902915</v>
      </c>
      <c r="L94" s="783">
        <v>0.06092942917527704</v>
      </c>
      <c r="M94" s="783">
        <v>0.06345553862421906</v>
      </c>
      <c r="N94" s="783">
        <v>0.0678636350901976</v>
      </c>
      <c r="O94" s="812">
        <v>0.368078366023367</v>
      </c>
      <c r="P94" s="812">
        <v>0.6563393243580183</v>
      </c>
      <c r="Q94" s="812">
        <v>1.001124020173662</v>
      </c>
      <c r="R94" s="783">
        <v>0.10238184387569</v>
      </c>
      <c r="S94" s="783">
        <v>0.4462689309624313</v>
      </c>
      <c r="T94" s="783">
        <v>0.61125</v>
      </c>
      <c r="U94" s="823"/>
      <c r="V94" s="823"/>
      <c r="W94" s="9"/>
    </row>
    <row r="95" ht="12.75" customHeight="1">
      <c r="A95" s="810" t="s">
        <v>1487</v>
      </c>
      <c r="B95" s="811">
        <v>130.0</v>
      </c>
      <c r="C95" s="783">
        <v>0.0176</v>
      </c>
      <c r="D95" s="783">
        <v>0.0436</v>
      </c>
      <c r="E95" s="783">
        <v>0.0911</v>
      </c>
      <c r="F95" s="783">
        <v>0.0181169757489301</v>
      </c>
      <c r="G95" s="783">
        <v>0.05141955835962145</v>
      </c>
      <c r="H95" s="783">
        <v>0.09095302916190463</v>
      </c>
      <c r="I95" s="812">
        <v>0.80760726090985</v>
      </c>
      <c r="J95" s="812">
        <v>1.437075421028712</v>
      </c>
      <c r="K95" s="812">
        <v>2.600780234070221</v>
      </c>
      <c r="L95" s="783">
        <v>0.06828813836286979</v>
      </c>
      <c r="M95" s="783">
        <v>0.07314928841471613</v>
      </c>
      <c r="N95" s="783">
        <v>0.085522653416818</v>
      </c>
      <c r="O95" s="812">
        <v>0.4245766494155478</v>
      </c>
      <c r="P95" s="812">
        <v>0.8201297367597689</v>
      </c>
      <c r="Q95" s="812">
        <v>1.286204819282647</v>
      </c>
      <c r="R95" s="783">
        <v>0.1150404286112404</v>
      </c>
      <c r="S95" s="783">
        <v>0.2601729156710257</v>
      </c>
      <c r="T95" s="783">
        <v>0.4567564090406758</v>
      </c>
      <c r="U95" s="823"/>
      <c r="V95" s="823"/>
      <c r="W95" s="9"/>
    </row>
    <row r="96" ht="12.75" customHeight="1">
      <c r="A96" s="810" t="s">
        <v>1489</v>
      </c>
      <c r="B96" s="811">
        <v>52.0</v>
      </c>
      <c r="C96" s="783">
        <v>0.0155</v>
      </c>
      <c r="D96" s="783">
        <v>0.0482</v>
      </c>
      <c r="E96" s="783">
        <v>0.07150000000000001</v>
      </c>
      <c r="F96" s="783">
        <v>0.0785872781065089</v>
      </c>
      <c r="G96" s="783">
        <v>0.1700470242791327</v>
      </c>
      <c r="H96" s="783">
        <v>0.2312907201972178</v>
      </c>
      <c r="I96" s="812">
        <v>0.2899826807364717</v>
      </c>
      <c r="J96" s="812">
        <v>0.3704066610353565</v>
      </c>
      <c r="K96" s="812">
        <v>1.57751160732029</v>
      </c>
      <c r="L96" s="783">
        <v>0.0522440323660478</v>
      </c>
      <c r="M96" s="783">
        <v>0.05458059028441027</v>
      </c>
      <c r="N96" s="783">
        <v>0.05639516923367119</v>
      </c>
      <c r="O96" s="812">
        <v>0.2040186954724199</v>
      </c>
      <c r="P96" s="812">
        <v>0.4488788824548018</v>
      </c>
      <c r="Q96" s="812">
        <v>0.7903696887981227</v>
      </c>
      <c r="R96" s="783">
        <v>0.3424051629151582</v>
      </c>
      <c r="S96" s="783">
        <v>0.4588639737479491</v>
      </c>
      <c r="T96" s="783">
        <v>0.5111797006243598</v>
      </c>
      <c r="U96" s="823"/>
      <c r="V96" s="823"/>
      <c r="W96" s="9"/>
    </row>
    <row r="97" ht="12.75" customHeight="1">
      <c r="A97" s="810" t="s">
        <v>1491</v>
      </c>
      <c r="B97" s="811">
        <v>106.0</v>
      </c>
      <c r="C97" s="783">
        <v>0.0243</v>
      </c>
      <c r="D97" s="783">
        <v>0.0677</v>
      </c>
      <c r="E97" s="783">
        <v>0.144</v>
      </c>
      <c r="F97" s="783">
        <v>0.05339805825242718</v>
      </c>
      <c r="G97" s="783">
        <v>0.2241777777777778</v>
      </c>
      <c r="H97" s="783">
        <v>0.2997001153402538</v>
      </c>
      <c r="I97" s="812">
        <v>0.2206020309079837</v>
      </c>
      <c r="J97" s="812">
        <v>0.3263096817648801</v>
      </c>
      <c r="K97" s="812">
        <v>0.61309151553054</v>
      </c>
      <c r="L97" s="783">
        <v>0.05877981689083718</v>
      </c>
      <c r="M97" s="783">
        <v>0.06160065064914391</v>
      </c>
      <c r="N97" s="783">
        <v>0.06503280157801758</v>
      </c>
      <c r="O97" s="812">
        <v>0.2261319207875683</v>
      </c>
      <c r="P97" s="812">
        <v>0.5737149368132096</v>
      </c>
      <c r="Q97" s="812">
        <v>1.085433641857667</v>
      </c>
      <c r="R97" s="783">
        <v>0.115983026874116</v>
      </c>
      <c r="S97" s="783">
        <v>0.3499607976097137</v>
      </c>
      <c r="T97" s="783">
        <v>0.6184849678351056</v>
      </c>
      <c r="U97" s="823"/>
      <c r="V97" s="823"/>
      <c r="W97" s="9"/>
    </row>
    <row r="98" ht="12.75" customHeight="1">
      <c r="A98" s="9"/>
      <c r="B98" s="748"/>
      <c r="C98" s="783"/>
      <c r="D98" s="783"/>
      <c r="E98" s="783"/>
      <c r="F98" s="783"/>
      <c r="G98" s="783"/>
      <c r="H98" s="783"/>
      <c r="I98" s="812"/>
      <c r="J98" s="812"/>
      <c r="K98" s="812"/>
      <c r="L98" s="783"/>
      <c r="M98" s="783"/>
      <c r="N98" s="783"/>
      <c r="O98" s="812"/>
      <c r="P98" s="812"/>
      <c r="Q98" s="812"/>
      <c r="R98" s="783"/>
      <c r="S98" s="783"/>
      <c r="T98" s="783"/>
      <c r="U98" s="9"/>
      <c r="V98" s="9"/>
      <c r="W98" s="9"/>
    </row>
    <row r="99" ht="12.75" customHeight="1">
      <c r="A99" s="9"/>
      <c r="B99" s="748"/>
      <c r="C99" s="783"/>
      <c r="D99" s="783"/>
      <c r="E99" s="783"/>
      <c r="F99" s="783"/>
      <c r="G99" s="783"/>
      <c r="H99" s="783"/>
      <c r="I99" s="812"/>
      <c r="J99" s="812"/>
      <c r="K99" s="812"/>
      <c r="L99" s="783"/>
      <c r="M99" s="783"/>
      <c r="N99" s="783"/>
      <c r="O99" s="812"/>
      <c r="P99" s="812"/>
      <c r="Q99" s="812"/>
      <c r="R99" s="783"/>
      <c r="S99" s="783"/>
      <c r="T99" s="783"/>
      <c r="U99" s="9"/>
      <c r="V99" s="9"/>
      <c r="W99" s="9"/>
    </row>
    <row r="100" ht="12.75" customHeight="1">
      <c r="A100" s="9"/>
      <c r="B100" s="748"/>
      <c r="C100" s="783"/>
      <c r="D100" s="783"/>
      <c r="E100" s="783"/>
      <c r="F100" s="783"/>
      <c r="G100" s="783"/>
      <c r="H100" s="783"/>
      <c r="I100" s="812"/>
      <c r="J100" s="812"/>
      <c r="K100" s="812"/>
      <c r="L100" s="783"/>
      <c r="M100" s="783"/>
      <c r="N100" s="783"/>
      <c r="O100" s="812"/>
      <c r="P100" s="812"/>
      <c r="Q100" s="812"/>
      <c r="R100" s="783"/>
      <c r="S100" s="783"/>
      <c r="T100" s="783"/>
      <c r="U100" s="9"/>
      <c r="V100" s="9"/>
      <c r="W100" s="9"/>
    </row>
    <row r="101" ht="12.75" customHeight="1">
      <c r="A101" s="9"/>
      <c r="B101" s="748"/>
      <c r="C101" s="783"/>
      <c r="D101" s="783"/>
      <c r="E101" s="783"/>
      <c r="F101" s="783"/>
      <c r="G101" s="783"/>
      <c r="H101" s="783"/>
      <c r="I101" s="812"/>
      <c r="J101" s="812"/>
      <c r="K101" s="812"/>
      <c r="L101" s="783"/>
      <c r="M101" s="783"/>
      <c r="N101" s="783"/>
      <c r="O101" s="812"/>
      <c r="P101" s="812"/>
      <c r="Q101" s="812"/>
      <c r="R101" s="783"/>
      <c r="S101" s="783"/>
      <c r="T101" s="783"/>
      <c r="U101" s="9"/>
      <c r="V101" s="9"/>
      <c r="W101" s="9"/>
    </row>
    <row r="102" ht="12.75" customHeight="1">
      <c r="A102" s="9"/>
      <c r="B102" s="748"/>
      <c r="C102" s="783"/>
      <c r="D102" s="783"/>
      <c r="E102" s="783"/>
      <c r="F102" s="783"/>
      <c r="G102" s="783"/>
      <c r="H102" s="783"/>
      <c r="I102" s="812"/>
      <c r="J102" s="812"/>
      <c r="K102" s="812"/>
      <c r="L102" s="783"/>
      <c r="M102" s="783"/>
      <c r="N102" s="783"/>
      <c r="O102" s="812"/>
      <c r="P102" s="812"/>
      <c r="Q102" s="812"/>
      <c r="R102" s="783"/>
      <c r="S102" s="783"/>
      <c r="T102" s="783"/>
      <c r="U102" s="9"/>
      <c r="V102" s="9"/>
      <c r="W102" s="9"/>
    </row>
    <row r="103" ht="12.75" customHeight="1">
      <c r="A103" s="9"/>
      <c r="B103" s="748"/>
      <c r="C103" s="783"/>
      <c r="D103" s="783"/>
      <c r="E103" s="783"/>
      <c r="F103" s="783"/>
      <c r="G103" s="783"/>
      <c r="H103" s="783"/>
      <c r="I103" s="812"/>
      <c r="J103" s="812"/>
      <c r="K103" s="812"/>
      <c r="L103" s="783"/>
      <c r="M103" s="783"/>
      <c r="N103" s="783"/>
      <c r="O103" s="812"/>
      <c r="P103" s="812"/>
      <c r="Q103" s="812"/>
      <c r="R103" s="783"/>
      <c r="S103" s="783"/>
      <c r="T103" s="783"/>
      <c r="U103" s="9"/>
      <c r="V103" s="9"/>
      <c r="W103" s="9"/>
    </row>
    <row r="104" ht="12.75" customHeight="1">
      <c r="A104" s="9"/>
      <c r="B104" s="748"/>
      <c r="C104" s="783"/>
      <c r="D104" s="783"/>
      <c r="E104" s="783"/>
      <c r="F104" s="783"/>
      <c r="G104" s="783"/>
      <c r="H104" s="783"/>
      <c r="I104" s="812"/>
      <c r="J104" s="812"/>
      <c r="K104" s="812"/>
      <c r="L104" s="783"/>
      <c r="M104" s="783"/>
      <c r="N104" s="783"/>
      <c r="O104" s="812"/>
      <c r="P104" s="812"/>
      <c r="Q104" s="812"/>
      <c r="R104" s="783"/>
      <c r="S104" s="783"/>
      <c r="T104" s="783"/>
      <c r="U104" s="9"/>
      <c r="V104" s="9"/>
      <c r="W104" s="9"/>
    </row>
    <row r="105" ht="12.75" customHeight="1">
      <c r="A105" s="9"/>
      <c r="B105" s="748"/>
      <c r="C105" s="783"/>
      <c r="D105" s="783"/>
      <c r="E105" s="783"/>
      <c r="F105" s="783"/>
      <c r="G105" s="783"/>
      <c r="H105" s="783"/>
      <c r="I105" s="812"/>
      <c r="J105" s="812"/>
      <c r="K105" s="812"/>
      <c r="L105" s="783"/>
      <c r="M105" s="783"/>
      <c r="N105" s="783"/>
      <c r="O105" s="812"/>
      <c r="P105" s="812"/>
      <c r="Q105" s="812"/>
      <c r="R105" s="783"/>
      <c r="S105" s="783"/>
      <c r="T105" s="783"/>
      <c r="U105" s="9"/>
      <c r="V105" s="9"/>
      <c r="W105" s="9"/>
    </row>
    <row r="106" ht="12.75" customHeight="1">
      <c r="A106" s="9"/>
      <c r="B106" s="748"/>
      <c r="C106" s="783"/>
      <c r="D106" s="783"/>
      <c r="E106" s="783"/>
      <c r="F106" s="783"/>
      <c r="G106" s="783"/>
      <c r="H106" s="783"/>
      <c r="I106" s="812"/>
      <c r="J106" s="812"/>
      <c r="K106" s="812"/>
      <c r="L106" s="783"/>
      <c r="M106" s="783"/>
      <c r="N106" s="783"/>
      <c r="O106" s="812"/>
      <c r="P106" s="812"/>
      <c r="Q106" s="812"/>
      <c r="R106" s="783"/>
      <c r="S106" s="783"/>
      <c r="T106" s="783"/>
      <c r="U106" s="9"/>
      <c r="V106" s="9"/>
      <c r="W106" s="9"/>
    </row>
    <row r="107" ht="12.75" customHeight="1">
      <c r="A107" s="9"/>
      <c r="B107" s="748"/>
      <c r="C107" s="783"/>
      <c r="D107" s="783"/>
      <c r="E107" s="783"/>
      <c r="F107" s="783"/>
      <c r="G107" s="783"/>
      <c r="H107" s="783"/>
      <c r="I107" s="812"/>
      <c r="J107" s="812"/>
      <c r="K107" s="812"/>
      <c r="L107" s="783"/>
      <c r="M107" s="783"/>
      <c r="N107" s="783"/>
      <c r="O107" s="812"/>
      <c r="P107" s="812"/>
      <c r="Q107" s="812"/>
      <c r="R107" s="783"/>
      <c r="S107" s="783"/>
      <c r="T107" s="783"/>
      <c r="U107" s="9"/>
      <c r="V107" s="9"/>
      <c r="W107" s="9"/>
    </row>
    <row r="108" ht="12.75" customHeight="1">
      <c r="A108" s="9"/>
      <c r="B108" s="748"/>
      <c r="C108" s="783"/>
      <c r="D108" s="783"/>
      <c r="E108" s="783"/>
      <c r="F108" s="783"/>
      <c r="G108" s="783"/>
      <c r="H108" s="783"/>
      <c r="I108" s="812"/>
      <c r="J108" s="812"/>
      <c r="K108" s="812"/>
      <c r="L108" s="783"/>
      <c r="M108" s="783"/>
      <c r="N108" s="783"/>
      <c r="O108" s="812"/>
      <c r="P108" s="812"/>
      <c r="Q108" s="812"/>
      <c r="R108" s="783"/>
      <c r="S108" s="783"/>
      <c r="T108" s="783"/>
      <c r="U108" s="9"/>
      <c r="V108" s="9"/>
      <c r="W108" s="9"/>
    </row>
    <row r="109" ht="12.75" customHeight="1">
      <c r="A109" s="9"/>
      <c r="B109" s="748"/>
      <c r="C109" s="783"/>
      <c r="D109" s="783"/>
      <c r="E109" s="783"/>
      <c r="F109" s="783"/>
      <c r="G109" s="783"/>
      <c r="H109" s="783"/>
      <c r="I109" s="812"/>
      <c r="J109" s="812"/>
      <c r="K109" s="812"/>
      <c r="L109" s="783"/>
      <c r="M109" s="783"/>
      <c r="N109" s="783"/>
      <c r="O109" s="812"/>
      <c r="P109" s="812"/>
      <c r="Q109" s="812"/>
      <c r="R109" s="783"/>
      <c r="S109" s="783"/>
      <c r="T109" s="783"/>
      <c r="U109" s="9"/>
      <c r="V109" s="9"/>
      <c r="W109" s="9"/>
    </row>
    <row r="110" ht="12.75" customHeight="1">
      <c r="A110" s="9"/>
      <c r="B110" s="748"/>
      <c r="C110" s="783"/>
      <c r="D110" s="783"/>
      <c r="E110" s="783"/>
      <c r="F110" s="783"/>
      <c r="G110" s="783"/>
      <c r="H110" s="783"/>
      <c r="I110" s="812"/>
      <c r="J110" s="812"/>
      <c r="K110" s="812"/>
      <c r="L110" s="783"/>
      <c r="M110" s="783"/>
      <c r="N110" s="783"/>
      <c r="O110" s="812"/>
      <c r="P110" s="812"/>
      <c r="Q110" s="812"/>
      <c r="R110" s="783"/>
      <c r="S110" s="783"/>
      <c r="T110" s="783"/>
      <c r="U110" s="9"/>
      <c r="V110" s="9"/>
      <c r="W110" s="9"/>
    </row>
    <row r="111" ht="12.75" customHeight="1">
      <c r="A111" s="9"/>
      <c r="B111" s="748"/>
      <c r="C111" s="783"/>
      <c r="D111" s="783"/>
      <c r="E111" s="783"/>
      <c r="F111" s="783"/>
      <c r="G111" s="783"/>
      <c r="H111" s="783"/>
      <c r="I111" s="812"/>
      <c r="J111" s="812"/>
      <c r="K111" s="812"/>
      <c r="L111" s="783"/>
      <c r="M111" s="783"/>
      <c r="N111" s="783"/>
      <c r="O111" s="812"/>
      <c r="P111" s="812"/>
      <c r="Q111" s="812"/>
      <c r="R111" s="783"/>
      <c r="S111" s="783"/>
      <c r="T111" s="783"/>
      <c r="U111" s="9"/>
      <c r="V111" s="9"/>
      <c r="W111" s="9"/>
    </row>
    <row r="112" ht="12.75" customHeight="1">
      <c r="A112" s="9"/>
      <c r="B112" s="748"/>
      <c r="C112" s="783"/>
      <c r="D112" s="783"/>
      <c r="E112" s="783"/>
      <c r="F112" s="783"/>
      <c r="G112" s="783"/>
      <c r="H112" s="783"/>
      <c r="I112" s="812"/>
      <c r="J112" s="812"/>
      <c r="K112" s="812"/>
      <c r="L112" s="783"/>
      <c r="M112" s="783"/>
      <c r="N112" s="783"/>
      <c r="O112" s="812"/>
      <c r="P112" s="812"/>
      <c r="Q112" s="812"/>
      <c r="R112" s="783"/>
      <c r="S112" s="783"/>
      <c r="T112" s="783"/>
      <c r="U112" s="9"/>
      <c r="V112" s="9"/>
      <c r="W112" s="9"/>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2:E2"/>
    <mergeCell ref="F2:H2"/>
    <mergeCell ref="I2:K2"/>
    <mergeCell ref="L2:N2"/>
    <mergeCell ref="R2:T2"/>
  </mergeCell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5"/>
    <col customWidth="1" min="2" max="2" width="12.5"/>
    <col customWidth="1" min="3" max="3" width="15.5"/>
    <col customWidth="1" min="4" max="4" width="17.25"/>
    <col customWidth="1" min="5" max="5" width="11.0"/>
    <col customWidth="1" min="6" max="8" width="8.38"/>
    <col customWidth="1" min="9" max="26" width="11.25"/>
  </cols>
  <sheetData>
    <row r="1" ht="37.5" customHeight="1">
      <c r="A1" s="33" t="s">
        <v>72</v>
      </c>
      <c r="B1" s="35">
        <f>'Input sheet'!B1</f>
        <v>0.0</v>
      </c>
      <c r="C1" s="33" t="s">
        <v>57</v>
      </c>
      <c r="D1" s="37">
        <f>'Input sheet'!D1</f>
        <v>39.4</v>
      </c>
      <c r="E1" s="7"/>
      <c r="F1" s="7"/>
      <c r="G1" s="7"/>
      <c r="H1" s="7"/>
      <c r="I1" s="77"/>
      <c r="J1" s="77"/>
      <c r="K1" s="77"/>
    </row>
    <row r="2" ht="12.75" customHeight="1">
      <c r="A2" s="704" t="s">
        <v>1464</v>
      </c>
      <c r="B2" s="221"/>
      <c r="C2" s="221"/>
      <c r="D2" s="221"/>
      <c r="E2" s="221"/>
      <c r="F2" s="222"/>
      <c r="G2" s="9"/>
      <c r="H2" s="9"/>
      <c r="I2" s="77"/>
      <c r="J2" s="77"/>
      <c r="K2" s="77"/>
    </row>
    <row r="3" ht="12.75" customHeight="1">
      <c r="A3" s="223"/>
      <c r="F3" s="224"/>
      <c r="G3" s="9"/>
      <c r="H3" s="9"/>
      <c r="I3" s="77"/>
      <c r="J3" s="77"/>
      <c r="K3" s="77"/>
    </row>
    <row r="4" ht="12.75" customHeight="1">
      <c r="A4" s="223"/>
      <c r="F4" s="224"/>
      <c r="G4" s="9"/>
      <c r="H4" s="9"/>
      <c r="I4" s="77"/>
      <c r="J4" s="77"/>
      <c r="K4" s="77"/>
    </row>
    <row r="5" ht="12.75" customHeight="1">
      <c r="A5" s="231"/>
      <c r="B5" s="232"/>
      <c r="C5" s="232"/>
      <c r="D5" s="232"/>
      <c r="E5" s="232"/>
      <c r="F5" s="233"/>
      <c r="G5" s="9"/>
      <c r="H5" s="9"/>
      <c r="I5" s="77"/>
      <c r="J5" s="77"/>
      <c r="K5" s="77"/>
    </row>
    <row r="6" ht="12.75" customHeight="1">
      <c r="A6" s="9"/>
      <c r="B6" s="748"/>
      <c r="C6" s="748"/>
      <c r="D6" s="748"/>
      <c r="E6" s="9"/>
      <c r="F6" s="9"/>
      <c r="G6" s="9"/>
      <c r="H6" s="9"/>
      <c r="I6" s="77"/>
      <c r="J6" s="77"/>
      <c r="K6" s="77"/>
    </row>
    <row r="7" ht="12.75" customHeight="1">
      <c r="A7" s="9"/>
      <c r="B7" s="768" t="s">
        <v>1467</v>
      </c>
      <c r="C7" s="768" t="s">
        <v>1468</v>
      </c>
      <c r="D7" s="768" t="s">
        <v>1469</v>
      </c>
      <c r="E7" s="768" t="s">
        <v>1470</v>
      </c>
      <c r="F7" s="9"/>
      <c r="G7" s="9"/>
      <c r="H7" s="9"/>
      <c r="I7" s="77"/>
      <c r="J7" s="77"/>
      <c r="K7" s="77"/>
    </row>
    <row r="8" ht="12.75" customHeight="1">
      <c r="A8" s="558" t="s">
        <v>158</v>
      </c>
      <c r="B8" s="813">
        <v>15794.34</v>
      </c>
      <c r="C8" s="813">
        <v>7608.13</v>
      </c>
      <c r="D8" s="813">
        <v>9444.11</v>
      </c>
      <c r="E8" s="814">
        <f t="shared" ref="E8:E11" si="1">B8-C8+D8</f>
        <v>17630.32</v>
      </c>
      <c r="F8" s="9"/>
      <c r="G8" s="9"/>
      <c r="H8" s="9"/>
      <c r="I8" s="77"/>
      <c r="J8" s="77"/>
      <c r="K8" s="77"/>
    </row>
    <row r="9" ht="12.75" customHeight="1">
      <c r="A9" s="558" t="s">
        <v>1473</v>
      </c>
      <c r="B9" s="813">
        <v>1221.81</v>
      </c>
      <c r="C9" s="813">
        <v>581.41</v>
      </c>
      <c r="D9" s="813">
        <v>756.0</v>
      </c>
      <c r="E9" s="814">
        <f t="shared" si="1"/>
        <v>1396.4</v>
      </c>
      <c r="F9" s="9"/>
      <c r="G9" s="9"/>
      <c r="H9" s="9"/>
      <c r="I9" s="77"/>
      <c r="J9" s="77"/>
      <c r="K9" s="77"/>
    </row>
    <row r="10" ht="12.75" customHeight="1">
      <c r="A10" s="558" t="s">
        <v>203</v>
      </c>
      <c r="B10" s="813">
        <v>1605.23</v>
      </c>
      <c r="C10" s="813">
        <v>908.79</v>
      </c>
      <c r="D10" s="813">
        <v>1165.5</v>
      </c>
      <c r="E10" s="814">
        <f t="shared" si="1"/>
        <v>1861.94</v>
      </c>
      <c r="F10" s="9"/>
      <c r="G10" s="9"/>
      <c r="H10" s="9"/>
      <c r="I10" s="77"/>
      <c r="J10" s="77"/>
      <c r="K10" s="77"/>
    </row>
    <row r="11" ht="12.75" customHeight="1">
      <c r="A11" s="558" t="s">
        <v>1475</v>
      </c>
      <c r="B11" s="813">
        <v>420.49</v>
      </c>
      <c r="C11" s="813">
        <v>182.82</v>
      </c>
      <c r="D11" s="813">
        <v>287.56</v>
      </c>
      <c r="E11" s="814">
        <f t="shared" si="1"/>
        <v>525.23</v>
      </c>
      <c r="F11" s="9"/>
      <c r="G11" s="9"/>
      <c r="H11" s="9"/>
      <c r="I11" s="77"/>
      <c r="J11" s="77"/>
      <c r="K11" s="77"/>
    </row>
    <row r="12" ht="12.75" customHeight="1">
      <c r="A12" s="558" t="s">
        <v>207</v>
      </c>
      <c r="B12" s="813">
        <v>5238.77</v>
      </c>
      <c r="C12" s="813"/>
      <c r="D12" s="813">
        <v>6105.55</v>
      </c>
      <c r="E12" s="814"/>
      <c r="F12" s="9"/>
      <c r="G12" s="9"/>
      <c r="H12" s="9"/>
      <c r="I12" s="77"/>
      <c r="J12" s="77"/>
      <c r="K12" s="77"/>
    </row>
    <row r="13" ht="12.75" customHeight="1">
      <c r="A13" s="558" t="s">
        <v>209</v>
      </c>
      <c r="B13" s="813">
        <v>10360.0</v>
      </c>
      <c r="C13" s="813"/>
      <c r="D13" s="813">
        <v>12594.14</v>
      </c>
      <c r="E13" s="814"/>
      <c r="F13" s="9"/>
      <c r="G13" s="9"/>
      <c r="H13" s="9"/>
      <c r="I13" s="77"/>
      <c r="J13" s="77"/>
      <c r="K13" s="77"/>
    </row>
    <row r="14" ht="12.75" customHeight="1">
      <c r="A14" s="558" t="s">
        <v>213</v>
      </c>
      <c r="B14" s="813"/>
      <c r="C14" s="813"/>
      <c r="D14" s="813"/>
      <c r="E14" s="814"/>
      <c r="F14" s="9"/>
      <c r="G14" s="9"/>
      <c r="H14" s="9"/>
      <c r="I14" s="77"/>
      <c r="J14" s="77"/>
      <c r="K14" s="77"/>
    </row>
    <row r="15" ht="12.75" customHeight="1">
      <c r="A15" s="558" t="s">
        <v>1478</v>
      </c>
      <c r="B15" s="813">
        <v>3794.48</v>
      </c>
      <c r="C15" s="813"/>
      <c r="D15" s="813">
        <v>5004.25</v>
      </c>
      <c r="E15" s="814"/>
      <c r="F15" s="9"/>
      <c r="G15" s="9"/>
      <c r="H15" s="9"/>
      <c r="I15" s="77"/>
      <c r="J15" s="77"/>
      <c r="K15" s="77"/>
    </row>
    <row r="16" ht="12.75" customHeight="1">
      <c r="A16" s="558" t="s">
        <v>1479</v>
      </c>
      <c r="B16" s="813">
        <v>0.0</v>
      </c>
      <c r="C16" s="813"/>
      <c r="D16" s="813">
        <v>0.0</v>
      </c>
      <c r="E16" s="814"/>
      <c r="F16" s="9"/>
      <c r="G16" s="9"/>
      <c r="H16" s="9"/>
      <c r="I16" s="77"/>
      <c r="J16" s="77"/>
      <c r="K16" s="77"/>
    </row>
    <row r="17" ht="12.75" customHeight="1">
      <c r="A17" s="558" t="s">
        <v>220</v>
      </c>
      <c r="B17" s="813">
        <v>0.0</v>
      </c>
      <c r="C17" s="813"/>
      <c r="D17" s="813">
        <v>0.0</v>
      </c>
      <c r="E17" s="814"/>
      <c r="F17" s="9"/>
      <c r="G17" s="9"/>
      <c r="H17" s="9"/>
      <c r="I17" s="77"/>
      <c r="J17" s="77"/>
      <c r="K17" s="77"/>
    </row>
    <row r="18" ht="12.75" customHeight="1">
      <c r="A18" s="558" t="s">
        <v>222</v>
      </c>
      <c r="B18" s="813"/>
      <c r="C18" s="813"/>
      <c r="D18" s="813"/>
      <c r="E18" s="814"/>
      <c r="F18" s="9"/>
      <c r="G18" s="9"/>
      <c r="H18" s="9"/>
      <c r="I18" s="77"/>
      <c r="J18" s="77"/>
      <c r="K18" s="77"/>
    </row>
    <row r="19" ht="12.75" customHeight="1">
      <c r="A19" s="558" t="s">
        <v>226</v>
      </c>
      <c r="B19" s="813"/>
      <c r="C19" s="813"/>
      <c r="D19" s="813"/>
      <c r="E19" s="814"/>
      <c r="F19" s="9"/>
      <c r="G19" s="9"/>
      <c r="H19" s="9"/>
      <c r="I19" s="77"/>
      <c r="J19" s="77"/>
      <c r="K19" s="77"/>
    </row>
    <row r="20" ht="12.75" customHeight="1">
      <c r="A20" s="558" t="s">
        <v>228</v>
      </c>
      <c r="B20" s="769">
        <f>15885/61372</f>
        <v>0.258831388906993</v>
      </c>
      <c r="C20" s="769">
        <f>6965/27030</f>
        <v>0.257676655567888</v>
      </c>
      <c r="D20" s="769">
        <f>3941/23906</f>
        <v>0.164854011545219</v>
      </c>
      <c r="E20" s="797"/>
      <c r="F20" s="9"/>
      <c r="G20" s="9"/>
      <c r="H20" s="9"/>
      <c r="I20" s="77"/>
      <c r="J20" s="77"/>
      <c r="K20" s="77"/>
    </row>
    <row r="21" ht="12.75" customHeight="1">
      <c r="A21" s="558" t="s">
        <v>230</v>
      </c>
      <c r="B21" s="768"/>
      <c r="C21" s="768"/>
      <c r="D21" s="768"/>
      <c r="E21" s="797"/>
      <c r="F21" s="9"/>
      <c r="G21" s="9"/>
      <c r="H21" s="9"/>
      <c r="I21" s="77"/>
      <c r="J21" s="77"/>
      <c r="K21" s="77"/>
    </row>
    <row r="22" ht="12.75" customHeight="1">
      <c r="A22" s="517" t="s">
        <v>1482</v>
      </c>
      <c r="B22" s="815"/>
      <c r="C22" s="815"/>
      <c r="D22" s="815"/>
      <c r="E22" s="816"/>
      <c r="F22" s="522"/>
      <c r="G22" s="522"/>
      <c r="H22" s="522"/>
      <c r="I22" s="77"/>
      <c r="J22" s="77"/>
      <c r="K22" s="77"/>
    </row>
    <row r="23" ht="12.75" customHeight="1">
      <c r="A23" s="534" t="s">
        <v>1483</v>
      </c>
      <c r="B23" s="817">
        <v>172.47</v>
      </c>
      <c r="C23" s="818"/>
      <c r="D23" s="818" t="s">
        <v>1385</v>
      </c>
      <c r="E23" s="819"/>
      <c r="F23" s="9"/>
      <c r="G23" s="9"/>
      <c r="H23" s="9"/>
      <c r="I23" s="77"/>
      <c r="J23" s="77"/>
      <c r="K23" s="77"/>
    </row>
    <row r="24" ht="12.75" customHeight="1">
      <c r="A24" s="534" t="s">
        <v>1485</v>
      </c>
      <c r="B24" s="817">
        <v>139.4</v>
      </c>
      <c r="C24" s="820" t="s">
        <v>1486</v>
      </c>
      <c r="D24" s="818" t="s">
        <v>1385</v>
      </c>
      <c r="E24" s="819"/>
      <c r="F24" s="9"/>
      <c r="G24" s="9"/>
      <c r="H24" s="9"/>
      <c r="I24" s="77"/>
      <c r="J24" s="77"/>
      <c r="K24" s="77"/>
    </row>
    <row r="25" ht="12.75" customHeight="1">
      <c r="A25" s="534" t="s">
        <v>1488</v>
      </c>
      <c r="B25" s="817">
        <v>145.18</v>
      </c>
      <c r="C25" s="503"/>
      <c r="D25" s="818" t="s">
        <v>1385</v>
      </c>
      <c r="E25" s="819"/>
      <c r="F25" s="9"/>
      <c r="G25" s="9"/>
      <c r="H25" s="9"/>
      <c r="I25" s="77"/>
      <c r="J25" s="77"/>
      <c r="K25" s="77"/>
    </row>
    <row r="26" ht="12.75" customHeight="1">
      <c r="A26" s="534" t="s">
        <v>1490</v>
      </c>
      <c r="B26" s="817">
        <v>156.53</v>
      </c>
      <c r="C26" s="503"/>
      <c r="D26" s="818" t="s">
        <v>1385</v>
      </c>
      <c r="E26" s="819"/>
      <c r="F26" s="9"/>
      <c r="G26" s="9"/>
      <c r="H26" s="9"/>
      <c r="I26" s="77"/>
      <c r="J26" s="77"/>
      <c r="K26" s="77"/>
    </row>
    <row r="27" ht="12.75" customHeight="1">
      <c r="A27" s="534" t="s">
        <v>697</v>
      </c>
      <c r="B27" s="817">
        <v>151.2</v>
      </c>
      <c r="C27" s="503"/>
      <c r="D27" s="818" t="s">
        <v>1385</v>
      </c>
      <c r="E27" s="819"/>
      <c r="F27" s="9"/>
      <c r="G27" s="9"/>
      <c r="H27" s="9"/>
      <c r="I27" s="77"/>
      <c r="J27" s="77"/>
      <c r="K27" s="77"/>
    </row>
    <row r="28" ht="12.75" customHeight="1">
      <c r="A28" s="534" t="s">
        <v>1492</v>
      </c>
      <c r="B28" s="681">
        <v>943.63</v>
      </c>
      <c r="C28" s="503"/>
      <c r="D28" s="818" t="s">
        <v>1385</v>
      </c>
      <c r="E28" s="819"/>
      <c r="F28" s="9"/>
      <c r="G28" s="9"/>
      <c r="H28" s="9"/>
      <c r="I28" s="77"/>
      <c r="J28" s="77"/>
      <c r="K28" s="77"/>
    </row>
    <row r="29" ht="12.75" customHeight="1">
      <c r="A29" s="9"/>
      <c r="B29" s="821"/>
      <c r="C29" s="503"/>
      <c r="D29" s="748"/>
      <c r="E29" s="9"/>
      <c r="F29" s="9"/>
      <c r="G29" s="9"/>
      <c r="H29" s="9"/>
      <c r="I29" s="77"/>
      <c r="J29" s="77"/>
      <c r="K29" s="77"/>
    </row>
    <row r="30" ht="12.75" customHeight="1">
      <c r="A30" s="9"/>
      <c r="B30" s="748"/>
      <c r="C30" s="748"/>
      <c r="D30" s="748"/>
      <c r="E30" s="9"/>
      <c r="F30" s="9"/>
      <c r="G30" s="9"/>
      <c r="H30" s="9"/>
      <c r="I30" s="77"/>
      <c r="J30" s="77"/>
      <c r="K30" s="77"/>
    </row>
    <row r="31" ht="12.75" customHeight="1">
      <c r="A31" s="534" t="s">
        <v>1495</v>
      </c>
      <c r="B31" s="822">
        <v>107.0</v>
      </c>
      <c r="C31" s="748"/>
      <c r="D31" s="748"/>
      <c r="E31" s="9"/>
      <c r="F31" s="9"/>
      <c r="G31" s="9"/>
      <c r="H31" s="9"/>
      <c r="I31" s="77"/>
      <c r="J31" s="77"/>
      <c r="K31" s="77"/>
    </row>
    <row r="32" ht="12.75" customHeight="1">
      <c r="A32" s="9"/>
      <c r="B32" s="748"/>
      <c r="C32" s="748"/>
      <c r="D32" s="748"/>
      <c r="E32" s="9"/>
      <c r="F32" s="9"/>
      <c r="G32" s="9"/>
      <c r="H32" s="9"/>
      <c r="I32" s="77"/>
      <c r="J32" s="77"/>
      <c r="K32" s="77"/>
    </row>
    <row r="33" ht="12.75" customHeight="1">
      <c r="A33" s="9"/>
      <c r="B33" s="748"/>
      <c r="C33" s="748"/>
      <c r="D33" s="748"/>
      <c r="E33" s="9"/>
      <c r="F33" s="9"/>
      <c r="G33" s="9"/>
      <c r="H33" s="9"/>
      <c r="I33" s="77"/>
      <c r="J33" s="77"/>
      <c r="K33" s="77"/>
    </row>
    <row r="34" ht="12.75" customHeight="1">
      <c r="A34" s="9"/>
      <c r="B34" s="748"/>
      <c r="C34" s="748"/>
      <c r="D34" s="748"/>
      <c r="E34" s="9"/>
      <c r="F34" s="9"/>
      <c r="G34" s="9"/>
      <c r="H34" s="9"/>
      <c r="I34" s="77"/>
      <c r="J34" s="77"/>
      <c r="K34" s="77"/>
    </row>
    <row r="35" ht="12.75" customHeight="1">
      <c r="A35" s="9"/>
      <c r="B35" s="748"/>
      <c r="C35" s="748"/>
      <c r="D35" s="813">
        <v>75872.0</v>
      </c>
      <c r="E35" s="9"/>
      <c r="F35" s="9"/>
      <c r="G35" s="9"/>
      <c r="H35" s="9"/>
      <c r="I35" s="77"/>
      <c r="J35" s="77"/>
      <c r="K35" s="77"/>
    </row>
    <row r="36" ht="12.75" customHeight="1">
      <c r="A36" s="9"/>
      <c r="B36" s="748"/>
      <c r="C36" s="748"/>
      <c r="D36" s="813">
        <v>2404.0</v>
      </c>
      <c r="E36" s="9"/>
      <c r="F36" s="9"/>
      <c r="G36" s="9"/>
      <c r="H36" s="9"/>
      <c r="I36" s="77"/>
      <c r="J36" s="77"/>
      <c r="K36" s="77"/>
    </row>
    <row r="37" ht="12.75" customHeight="1">
      <c r="A37" s="9"/>
      <c r="B37" s="748"/>
      <c r="C37" s="748"/>
      <c r="D37" s="813">
        <v>24171.0</v>
      </c>
      <c r="E37" s="9"/>
      <c r="F37" s="9"/>
      <c r="G37" s="9"/>
      <c r="H37" s="9"/>
      <c r="I37" s="77"/>
      <c r="J37" s="77"/>
      <c r="K37" s="77"/>
    </row>
    <row r="38" ht="12.75" customHeight="1">
      <c r="A38" s="9"/>
      <c r="B38" s="748"/>
      <c r="C38" s="748"/>
      <c r="D38" s="813">
        <v>276.0</v>
      </c>
      <c r="E38" s="9"/>
      <c r="F38" s="9"/>
      <c r="G38" s="9"/>
      <c r="H38" s="9"/>
      <c r="I38" s="77"/>
      <c r="J38" s="77"/>
      <c r="K38" s="77"/>
    </row>
    <row r="39" ht="12.75" customHeight="1">
      <c r="A39" s="9"/>
      <c r="B39" s="748"/>
      <c r="C39" s="748"/>
      <c r="D39" s="748"/>
      <c r="E39" s="9"/>
      <c r="F39" s="9"/>
      <c r="G39" s="9"/>
      <c r="H39" s="9"/>
      <c r="I39" s="77"/>
      <c r="J39" s="77"/>
      <c r="K39" s="77"/>
    </row>
    <row r="40" ht="12.75" customHeight="1">
      <c r="A40" s="9"/>
      <c r="B40" s="748"/>
      <c r="C40" s="748"/>
      <c r="D40" s="748"/>
      <c r="E40" s="9"/>
      <c r="F40" s="9"/>
      <c r="G40" s="9"/>
      <c r="H40" s="9"/>
      <c r="I40" s="77"/>
      <c r="J40" s="77"/>
      <c r="K40" s="77"/>
    </row>
    <row r="41" ht="12.75" customHeight="1">
      <c r="A41" s="9"/>
      <c r="B41" s="748"/>
      <c r="C41" s="748"/>
      <c r="D41" s="748"/>
      <c r="E41" s="9"/>
      <c r="F41" s="9"/>
      <c r="G41" s="9"/>
      <c r="H41" s="9"/>
      <c r="I41" s="77"/>
      <c r="J41" s="77"/>
      <c r="K41" s="77"/>
    </row>
    <row r="42" ht="12.75" customHeight="1">
      <c r="A42" s="9" t="s">
        <v>1496</v>
      </c>
      <c r="B42" s="748">
        <v>630.29</v>
      </c>
      <c r="C42" s="748">
        <v>286.14</v>
      </c>
      <c r="D42" s="748">
        <v>426.61</v>
      </c>
      <c r="E42" s="9">
        <f t="shared" ref="E42:E44" si="2">B42-C42+D42</f>
        <v>770.76</v>
      </c>
      <c r="F42" s="9"/>
      <c r="G42" s="9"/>
      <c r="H42" s="9"/>
      <c r="I42" s="77"/>
      <c r="J42" s="77"/>
      <c r="K42" s="77"/>
    </row>
    <row r="43" ht="12.75" customHeight="1">
      <c r="A43" s="9" t="s">
        <v>1497</v>
      </c>
      <c r="B43" s="748">
        <v>2369.47</v>
      </c>
      <c r="C43" s="748">
        <v>1128.78</v>
      </c>
      <c r="D43" s="748">
        <v>1219.73</v>
      </c>
      <c r="E43" s="9">
        <f t="shared" si="2"/>
        <v>2460.42</v>
      </c>
      <c r="F43" s="9"/>
      <c r="G43" s="9"/>
      <c r="H43" s="9"/>
      <c r="I43" s="77"/>
      <c r="J43" s="77"/>
      <c r="K43" s="77"/>
    </row>
    <row r="44" ht="12.75" customHeight="1">
      <c r="A44" s="9" t="s">
        <v>1498</v>
      </c>
      <c r="B44" s="748">
        <v>9967.54</v>
      </c>
      <c r="C44" s="748">
        <v>4703.01</v>
      </c>
      <c r="D44" s="748">
        <v>5876.21</v>
      </c>
      <c r="E44" s="9">
        <f t="shared" si="2"/>
        <v>11140.74</v>
      </c>
      <c r="F44" s="9"/>
      <c r="G44" s="9"/>
      <c r="H44" s="9"/>
      <c r="I44" s="77"/>
      <c r="J44" s="77"/>
      <c r="K44" s="77"/>
    </row>
    <row r="45" ht="12.75" customHeight="1">
      <c r="A45" s="9"/>
      <c r="B45" s="748"/>
      <c r="C45" s="748"/>
      <c r="D45" s="748"/>
      <c r="E45" s="9"/>
      <c r="F45" s="9"/>
      <c r="G45" s="9"/>
      <c r="H45" s="9"/>
      <c r="I45" s="77"/>
      <c r="J45" s="77"/>
      <c r="K45" s="77"/>
    </row>
    <row r="46" ht="12.75" customHeight="1">
      <c r="A46" s="9" t="s">
        <v>1499</v>
      </c>
      <c r="B46" s="748">
        <v>13043.0</v>
      </c>
      <c r="C46" s="748">
        <v>6020.47</v>
      </c>
      <c r="D46" s="748">
        <v>6322.85</v>
      </c>
      <c r="E46" s="9">
        <f>B46-C46+D46</f>
        <v>13345.38</v>
      </c>
      <c r="F46" s="9"/>
      <c r="G46" s="9"/>
      <c r="H46" s="9"/>
      <c r="I46" s="77"/>
      <c r="J46" s="77"/>
      <c r="K46" s="77"/>
    </row>
    <row r="47" ht="12.75" customHeight="1">
      <c r="A47" s="9"/>
      <c r="B47" s="748"/>
      <c r="C47" s="748"/>
      <c r="D47" s="748"/>
      <c r="E47" s="9"/>
      <c r="F47" s="9"/>
      <c r="G47" s="9"/>
      <c r="H47" s="9"/>
      <c r="I47" s="77"/>
      <c r="J47" s="77"/>
      <c r="K47" s="77"/>
    </row>
    <row r="48" ht="12.75" customHeight="1">
      <c r="A48" s="9"/>
      <c r="B48" s="748"/>
      <c r="C48" s="748"/>
      <c r="D48" s="748"/>
      <c r="E48" s="9"/>
      <c r="F48" s="9"/>
      <c r="G48" s="9"/>
      <c r="H48" s="9"/>
      <c r="I48" s="77"/>
      <c r="J48" s="77"/>
      <c r="K48" s="77"/>
    </row>
    <row r="49" ht="12.75" customHeight="1">
      <c r="A49" s="9"/>
      <c r="B49" s="748"/>
      <c r="C49" s="748"/>
      <c r="D49" s="748"/>
      <c r="E49" s="9"/>
      <c r="F49" s="9"/>
      <c r="G49" s="9"/>
      <c r="H49" s="9"/>
      <c r="I49" s="77"/>
      <c r="J49" s="77"/>
      <c r="K49" s="77"/>
    </row>
    <row r="50" ht="12.75" customHeight="1">
      <c r="A50" s="9"/>
      <c r="B50" s="748"/>
      <c r="C50" s="748"/>
      <c r="D50" s="748"/>
      <c r="E50" s="9"/>
      <c r="F50" s="9"/>
      <c r="G50" s="9"/>
      <c r="H50" s="9"/>
      <c r="I50" s="77"/>
      <c r="J50" s="77"/>
      <c r="K50" s="77"/>
    </row>
    <row r="51" ht="12.75" customHeight="1">
      <c r="A51" s="9"/>
      <c r="B51" s="748"/>
      <c r="C51" s="748"/>
      <c r="D51" s="748"/>
      <c r="E51" s="9"/>
      <c r="F51" s="9"/>
      <c r="G51" s="9"/>
      <c r="H51" s="9"/>
      <c r="I51" s="77"/>
      <c r="J51" s="77"/>
      <c r="K51" s="77"/>
    </row>
    <row r="52" ht="12.75" customHeight="1">
      <c r="A52" s="9"/>
      <c r="B52" s="748"/>
      <c r="C52" s="748"/>
      <c r="D52" s="748"/>
      <c r="E52" s="9"/>
      <c r="F52" s="9"/>
      <c r="G52" s="9"/>
      <c r="H52" s="9"/>
      <c r="I52" s="77"/>
      <c r="J52" s="77"/>
      <c r="K52" s="77"/>
    </row>
    <row r="53" ht="12.75" customHeight="1">
      <c r="A53" s="9"/>
      <c r="B53" s="748"/>
      <c r="C53" s="748"/>
      <c r="D53" s="748"/>
      <c r="E53" s="9"/>
      <c r="F53" s="9"/>
      <c r="G53" s="9"/>
      <c r="H53" s="9"/>
      <c r="I53" s="77"/>
      <c r="J53" s="77"/>
      <c r="K53" s="77"/>
    </row>
    <row r="54" ht="12.75" customHeight="1">
      <c r="A54" s="9"/>
      <c r="B54" s="748"/>
      <c r="C54" s="748"/>
      <c r="D54" s="748"/>
      <c r="E54" s="9"/>
      <c r="F54" s="9"/>
      <c r="G54" s="9"/>
      <c r="H54" s="9"/>
      <c r="I54" s="77"/>
      <c r="J54" s="77"/>
      <c r="K54" s="77"/>
    </row>
    <row r="55" ht="12.75" customHeight="1">
      <c r="A55" s="9"/>
      <c r="B55" s="748"/>
      <c r="C55" s="748"/>
      <c r="D55" s="748"/>
      <c r="E55" s="9"/>
      <c r="F55" s="9"/>
      <c r="G55" s="9"/>
      <c r="H55" s="9"/>
      <c r="I55" s="77"/>
      <c r="J55" s="77"/>
      <c r="K55" s="77"/>
    </row>
    <row r="56" ht="12.75" customHeight="1">
      <c r="A56" s="9"/>
      <c r="B56" s="748"/>
      <c r="C56" s="748"/>
      <c r="D56" s="748"/>
      <c r="E56" s="9"/>
      <c r="F56" s="9"/>
      <c r="G56" s="9"/>
      <c r="H56" s="9"/>
      <c r="I56" s="77"/>
      <c r="J56" s="77"/>
      <c r="K56" s="77"/>
    </row>
    <row r="57" ht="12.75" customHeight="1">
      <c r="A57" s="9"/>
      <c r="B57" s="748"/>
      <c r="C57" s="748"/>
      <c r="D57" s="748"/>
      <c r="E57" s="9"/>
      <c r="F57" s="9"/>
      <c r="G57" s="9"/>
      <c r="H57" s="9"/>
      <c r="I57" s="77"/>
      <c r="J57" s="77"/>
      <c r="K57" s="77"/>
    </row>
    <row r="58" ht="12.75" customHeight="1">
      <c r="A58" s="9"/>
      <c r="B58" s="748"/>
      <c r="C58" s="748"/>
      <c r="D58" s="748"/>
      <c r="E58" s="9"/>
      <c r="F58" s="9"/>
      <c r="G58" s="9"/>
      <c r="H58" s="9"/>
      <c r="I58" s="77"/>
      <c r="J58" s="77"/>
      <c r="K58" s="77"/>
    </row>
    <row r="59" ht="12.75" customHeight="1">
      <c r="A59" s="9"/>
      <c r="B59" s="748"/>
      <c r="C59" s="748"/>
      <c r="D59" s="748"/>
      <c r="E59" s="9"/>
      <c r="F59" s="9"/>
      <c r="G59" s="9"/>
      <c r="H59" s="9"/>
      <c r="I59" s="77"/>
      <c r="J59" s="77"/>
      <c r="K59" s="77"/>
    </row>
    <row r="60" ht="12.75" customHeight="1">
      <c r="A60" s="9"/>
      <c r="B60" s="748"/>
      <c r="C60" s="748"/>
      <c r="D60" s="748"/>
      <c r="E60" s="9"/>
      <c r="F60" s="9"/>
      <c r="G60" s="9"/>
      <c r="H60" s="9"/>
      <c r="I60" s="77"/>
      <c r="J60" s="77"/>
      <c r="K60" s="77"/>
    </row>
    <row r="61" ht="12.75" customHeight="1">
      <c r="A61" s="9"/>
      <c r="B61" s="748"/>
      <c r="C61" s="748"/>
      <c r="D61" s="748"/>
      <c r="E61" s="9"/>
      <c r="F61" s="9"/>
      <c r="G61" s="9"/>
      <c r="H61" s="9"/>
      <c r="I61" s="77"/>
      <c r="J61" s="77"/>
      <c r="K61" s="77"/>
    </row>
    <row r="62" ht="15.75" customHeight="1">
      <c r="A62" s="77"/>
      <c r="B62" s="77"/>
      <c r="C62" s="77"/>
      <c r="D62" s="77"/>
      <c r="E62" s="77"/>
      <c r="F62" s="77"/>
      <c r="G62" s="77"/>
      <c r="H62" s="77"/>
      <c r="I62" s="77"/>
      <c r="J62" s="77"/>
      <c r="K62" s="77"/>
    </row>
    <row r="63" ht="15.75" customHeight="1">
      <c r="A63" s="77"/>
      <c r="B63" s="77"/>
      <c r="C63" s="77"/>
      <c r="D63" s="77"/>
      <c r="E63" s="77"/>
      <c r="F63" s="77"/>
      <c r="G63" s="77"/>
      <c r="H63" s="77"/>
      <c r="I63" s="77"/>
      <c r="J63" s="77"/>
      <c r="K63" s="77"/>
    </row>
    <row r="64" ht="15.75" customHeight="1">
      <c r="A64" s="77"/>
      <c r="B64" s="77"/>
      <c r="C64" s="77"/>
      <c r="D64" s="77"/>
      <c r="E64" s="77"/>
      <c r="F64" s="77"/>
      <c r="G64" s="77"/>
      <c r="H64" s="77"/>
      <c r="I64" s="77"/>
      <c r="J64" s="77"/>
      <c r="K64" s="77"/>
    </row>
    <row r="65" ht="15.75" customHeight="1">
      <c r="A65" s="77"/>
      <c r="B65" s="77"/>
      <c r="C65" s="77"/>
      <c r="D65" s="77"/>
      <c r="E65" s="77"/>
      <c r="F65" s="77"/>
      <c r="G65" s="77"/>
      <c r="H65" s="77"/>
      <c r="I65" s="77"/>
      <c r="J65" s="77"/>
      <c r="K65" s="77"/>
    </row>
    <row r="66" ht="15.75" customHeight="1">
      <c r="A66" s="77"/>
      <c r="B66" s="77"/>
      <c r="C66" s="77"/>
      <c r="D66" s="77"/>
      <c r="E66" s="77"/>
      <c r="F66" s="77"/>
      <c r="G66" s="77"/>
      <c r="H66" s="77"/>
      <c r="I66" s="77"/>
      <c r="J66" s="77"/>
      <c r="K66" s="77"/>
    </row>
    <row r="67" ht="15.75" customHeight="1">
      <c r="A67" s="77"/>
      <c r="B67" s="77"/>
      <c r="C67" s="77"/>
      <c r="D67" s="77"/>
      <c r="E67" s="77"/>
      <c r="F67" s="77"/>
      <c r="G67" s="77"/>
      <c r="H67" s="77"/>
      <c r="I67" s="77"/>
      <c r="J67" s="77"/>
      <c r="K67" s="77"/>
    </row>
    <row r="68" ht="15.75" customHeight="1">
      <c r="A68" s="77"/>
      <c r="B68" s="77"/>
      <c r="C68" s="77"/>
      <c r="D68" s="77"/>
      <c r="E68" s="77"/>
      <c r="F68" s="77"/>
      <c r="G68" s="77"/>
      <c r="H68" s="77"/>
      <c r="I68" s="77"/>
      <c r="J68" s="77"/>
      <c r="K68" s="77"/>
    </row>
    <row r="69" ht="15.75" customHeight="1">
      <c r="A69" s="77"/>
      <c r="B69" s="77"/>
      <c r="C69" s="77"/>
      <c r="D69" s="77"/>
      <c r="E69" s="77"/>
      <c r="F69" s="77"/>
      <c r="G69" s="77"/>
      <c r="H69" s="77"/>
      <c r="I69" s="77"/>
      <c r="J69" s="77"/>
      <c r="K69" s="77"/>
    </row>
    <row r="70" ht="15.75" customHeight="1">
      <c r="A70" s="77"/>
      <c r="B70" s="77"/>
      <c r="C70" s="77"/>
      <c r="D70" s="77"/>
      <c r="E70" s="77"/>
      <c r="F70" s="77"/>
      <c r="G70" s="77"/>
      <c r="H70" s="77"/>
      <c r="I70" s="77"/>
      <c r="J70" s="77"/>
      <c r="K70" s="77"/>
    </row>
    <row r="71" ht="15.75" customHeight="1">
      <c r="A71" s="77"/>
      <c r="B71" s="77"/>
      <c r="C71" s="77"/>
      <c r="D71" s="77"/>
      <c r="E71" s="77"/>
      <c r="F71" s="77"/>
      <c r="G71" s="77"/>
      <c r="H71" s="77"/>
      <c r="I71" s="77"/>
      <c r="J71" s="77"/>
      <c r="K71" s="77"/>
    </row>
    <row r="72" ht="15.75" customHeight="1">
      <c r="A72" s="77"/>
      <c r="B72" s="77"/>
      <c r="C72" s="77"/>
      <c r="D72" s="77"/>
      <c r="E72" s="77"/>
      <c r="F72" s="77"/>
      <c r="G72" s="77"/>
      <c r="H72" s="77"/>
      <c r="I72" s="77"/>
      <c r="J72" s="77"/>
      <c r="K72" s="77"/>
    </row>
    <row r="73" ht="15.75" customHeight="1">
      <c r="A73" s="77"/>
      <c r="B73" s="77"/>
      <c r="C73" s="77"/>
      <c r="D73" s="77"/>
      <c r="E73" s="77"/>
      <c r="F73" s="77"/>
      <c r="G73" s="77"/>
      <c r="H73" s="77"/>
      <c r="I73" s="77"/>
      <c r="J73" s="77"/>
      <c r="K73" s="77"/>
    </row>
    <row r="74" ht="15.75" customHeight="1">
      <c r="A74" s="77"/>
      <c r="B74" s="77"/>
      <c r="C74" s="77"/>
      <c r="D74" s="77"/>
      <c r="E74" s="77"/>
      <c r="F74" s="77"/>
      <c r="G74" s="77"/>
      <c r="H74" s="77"/>
      <c r="I74" s="77"/>
      <c r="J74" s="77"/>
      <c r="K74" s="77"/>
    </row>
    <row r="75" ht="15.75" customHeight="1">
      <c r="A75" s="77"/>
      <c r="B75" s="77"/>
      <c r="C75" s="77"/>
      <c r="D75" s="77"/>
      <c r="E75" s="77"/>
      <c r="F75" s="77"/>
      <c r="G75" s="77"/>
      <c r="H75" s="77"/>
      <c r="I75" s="77"/>
      <c r="J75" s="77"/>
      <c r="K75" s="77"/>
    </row>
    <row r="76" ht="15.75" customHeight="1">
      <c r="A76" s="77"/>
      <c r="B76" s="77"/>
      <c r="C76" s="77"/>
      <c r="D76" s="77"/>
      <c r="E76" s="77"/>
      <c r="F76" s="77"/>
      <c r="G76" s="77"/>
      <c r="H76" s="77"/>
      <c r="I76" s="77"/>
      <c r="J76" s="77"/>
      <c r="K76" s="77"/>
    </row>
    <row r="77" ht="15.75" customHeight="1">
      <c r="A77" s="77"/>
      <c r="B77" s="77"/>
      <c r="C77" s="77"/>
      <c r="D77" s="77"/>
      <c r="E77" s="77"/>
      <c r="F77" s="77"/>
      <c r="G77" s="77"/>
      <c r="H77" s="77"/>
      <c r="I77" s="77"/>
      <c r="J77" s="77"/>
      <c r="K77" s="77"/>
    </row>
    <row r="78" ht="15.75" customHeight="1">
      <c r="A78" s="77"/>
      <c r="B78" s="77"/>
      <c r="C78" s="77"/>
      <c r="D78" s="77"/>
      <c r="E78" s="77"/>
      <c r="F78" s="77"/>
      <c r="G78" s="77"/>
      <c r="H78" s="77"/>
      <c r="I78" s="77"/>
      <c r="J78" s="77"/>
      <c r="K78" s="77"/>
    </row>
    <row r="79" ht="15.75" customHeight="1">
      <c r="A79" s="77"/>
      <c r="B79" s="77"/>
      <c r="C79" s="77"/>
      <c r="D79" s="77"/>
      <c r="E79" s="77"/>
      <c r="F79" s="77"/>
      <c r="G79" s="77"/>
      <c r="H79" s="77"/>
      <c r="I79" s="77"/>
      <c r="J79" s="77"/>
      <c r="K79" s="77"/>
    </row>
    <row r="80" ht="15.75" customHeight="1">
      <c r="A80" s="77"/>
      <c r="B80" s="77"/>
      <c r="C80" s="77"/>
      <c r="D80" s="77"/>
      <c r="E80" s="77"/>
      <c r="F80" s="77"/>
      <c r="G80" s="77"/>
      <c r="H80" s="77"/>
      <c r="I80" s="77"/>
      <c r="J80" s="77"/>
      <c r="K80" s="77"/>
    </row>
    <row r="81" ht="15.75" customHeight="1">
      <c r="A81" s="77"/>
      <c r="B81" s="77"/>
      <c r="C81" s="77"/>
      <c r="D81" s="77"/>
      <c r="E81" s="77"/>
      <c r="F81" s="77"/>
      <c r="G81" s="77"/>
      <c r="H81" s="77"/>
      <c r="I81" s="77"/>
      <c r="J81" s="77"/>
      <c r="K81" s="77"/>
    </row>
    <row r="82" ht="15.75" customHeight="1">
      <c r="A82" s="77"/>
      <c r="B82" s="77"/>
      <c r="C82" s="77"/>
      <c r="D82" s="77"/>
      <c r="E82" s="77"/>
      <c r="F82" s="77"/>
      <c r="G82" s="77"/>
      <c r="H82" s="77"/>
      <c r="I82" s="77"/>
      <c r="J82" s="77"/>
      <c r="K82" s="77"/>
    </row>
    <row r="83" ht="15.75" customHeight="1">
      <c r="A83" s="77"/>
      <c r="B83" s="77"/>
      <c r="C83" s="77"/>
      <c r="D83" s="77"/>
      <c r="E83" s="77"/>
      <c r="F83" s="77"/>
      <c r="G83" s="77"/>
      <c r="H83" s="77"/>
      <c r="I83" s="77"/>
      <c r="J83" s="77"/>
      <c r="K83" s="77"/>
    </row>
    <row r="84" ht="15.75" customHeight="1">
      <c r="A84" s="77"/>
      <c r="B84" s="77"/>
      <c r="C84" s="77"/>
      <c r="D84" s="77"/>
      <c r="E84" s="77"/>
      <c r="F84" s="77"/>
      <c r="G84" s="77"/>
      <c r="H84" s="77"/>
      <c r="I84" s="77"/>
      <c r="J84" s="77"/>
      <c r="K84" s="77"/>
    </row>
    <row r="85" ht="15.75" customHeight="1">
      <c r="A85" s="77"/>
      <c r="B85" s="77"/>
      <c r="C85" s="77"/>
      <c r="D85" s="77"/>
      <c r="E85" s="77"/>
      <c r="F85" s="77"/>
      <c r="G85" s="77"/>
      <c r="H85" s="77"/>
      <c r="I85" s="77"/>
      <c r="J85" s="77"/>
      <c r="K85" s="77"/>
    </row>
    <row r="86" ht="15.75" customHeight="1">
      <c r="A86" s="77"/>
      <c r="B86" s="77"/>
      <c r="C86" s="77"/>
      <c r="D86" s="77"/>
      <c r="E86" s="77"/>
      <c r="F86" s="77"/>
      <c r="G86" s="77"/>
      <c r="H86" s="77"/>
      <c r="I86" s="77"/>
      <c r="J86" s="77"/>
      <c r="K86" s="77"/>
    </row>
    <row r="87" ht="15.75" customHeight="1">
      <c r="A87" s="77"/>
      <c r="B87" s="77"/>
      <c r="C87" s="77"/>
      <c r="D87" s="77"/>
      <c r="E87" s="77"/>
      <c r="F87" s="77"/>
      <c r="G87" s="77"/>
      <c r="H87" s="77"/>
      <c r="I87" s="77"/>
      <c r="J87" s="77"/>
      <c r="K87" s="77"/>
    </row>
    <row r="88" ht="15.75" customHeight="1">
      <c r="A88" s="77"/>
      <c r="B88" s="77"/>
      <c r="C88" s="77"/>
      <c r="D88" s="77"/>
      <c r="E88" s="77"/>
      <c r="F88" s="77"/>
      <c r="G88" s="77"/>
      <c r="H88" s="77"/>
      <c r="I88" s="77"/>
      <c r="J88" s="77"/>
      <c r="K88" s="77"/>
    </row>
    <row r="89" ht="15.75" customHeight="1">
      <c r="A89" s="77"/>
      <c r="B89" s="77"/>
      <c r="C89" s="77"/>
      <c r="D89" s="77"/>
      <c r="E89" s="77"/>
      <c r="F89" s="77"/>
      <c r="G89" s="77"/>
      <c r="H89" s="77"/>
      <c r="I89" s="77"/>
      <c r="J89" s="77"/>
      <c r="K89" s="77"/>
    </row>
    <row r="90" ht="15.75" customHeight="1">
      <c r="A90" s="77"/>
      <c r="B90" s="77"/>
      <c r="C90" s="77"/>
      <c r="D90" s="77"/>
      <c r="E90" s="77"/>
      <c r="F90" s="77"/>
      <c r="G90" s="77"/>
      <c r="H90" s="77"/>
      <c r="I90" s="77"/>
      <c r="J90" s="77"/>
      <c r="K90" s="77"/>
    </row>
    <row r="91" ht="15.75" customHeight="1">
      <c r="A91" s="77"/>
      <c r="B91" s="77"/>
      <c r="C91" s="77"/>
      <c r="D91" s="77"/>
      <c r="E91" s="77"/>
      <c r="F91" s="77"/>
      <c r="G91" s="77"/>
      <c r="H91" s="77"/>
      <c r="I91" s="77"/>
      <c r="J91" s="77"/>
      <c r="K91" s="77"/>
    </row>
    <row r="92" ht="15.75" customHeight="1">
      <c r="A92" s="77"/>
      <c r="B92" s="77"/>
      <c r="C92" s="77"/>
      <c r="D92" s="77"/>
      <c r="E92" s="77"/>
      <c r="F92" s="77"/>
      <c r="G92" s="77"/>
      <c r="H92" s="77"/>
      <c r="I92" s="77"/>
      <c r="J92" s="77"/>
      <c r="K92" s="77"/>
    </row>
    <row r="93" ht="15.75" customHeight="1">
      <c r="A93" s="77"/>
      <c r="B93" s="77"/>
      <c r="C93" s="77"/>
      <c r="D93" s="77"/>
      <c r="E93" s="77"/>
      <c r="F93" s="77"/>
      <c r="G93" s="77"/>
      <c r="H93" s="77"/>
      <c r="I93" s="77"/>
      <c r="J93" s="77"/>
      <c r="K93" s="77"/>
    </row>
    <row r="94" ht="15.75" customHeight="1">
      <c r="A94" s="77"/>
      <c r="B94" s="77"/>
      <c r="C94" s="77"/>
      <c r="D94" s="77"/>
      <c r="E94" s="77"/>
      <c r="F94" s="77"/>
      <c r="G94" s="77"/>
      <c r="H94" s="77"/>
      <c r="I94" s="77"/>
      <c r="J94" s="77"/>
      <c r="K94" s="77"/>
    </row>
    <row r="95" ht="15.75" customHeight="1">
      <c r="A95" s="77"/>
      <c r="B95" s="77"/>
      <c r="C95" s="77"/>
      <c r="D95" s="77"/>
      <c r="E95" s="77"/>
      <c r="F95" s="77"/>
      <c r="G95" s="77"/>
      <c r="H95" s="77"/>
      <c r="I95" s="77"/>
      <c r="J95" s="77"/>
      <c r="K95" s="77"/>
    </row>
    <row r="96" ht="15.75" customHeight="1">
      <c r="A96" s="77"/>
      <c r="B96" s="77"/>
      <c r="C96" s="77"/>
      <c r="D96" s="77"/>
      <c r="E96" s="77"/>
      <c r="F96" s="77"/>
      <c r="G96" s="77"/>
      <c r="H96" s="77"/>
      <c r="I96" s="77"/>
      <c r="J96" s="77"/>
      <c r="K96" s="77"/>
    </row>
    <row r="97" ht="15.75" customHeight="1">
      <c r="A97" s="77"/>
      <c r="B97" s="77"/>
      <c r="C97" s="77"/>
      <c r="D97" s="77"/>
      <c r="E97" s="77"/>
      <c r="F97" s="77"/>
      <c r="G97" s="77"/>
      <c r="H97" s="77"/>
      <c r="I97" s="77"/>
      <c r="J97" s="77"/>
      <c r="K97" s="77"/>
    </row>
    <row r="98" ht="15.75" customHeight="1">
      <c r="A98" s="77"/>
      <c r="B98" s="77"/>
      <c r="C98" s="77"/>
      <c r="D98" s="77"/>
      <c r="E98" s="77"/>
      <c r="F98" s="77"/>
      <c r="G98" s="77"/>
      <c r="H98" s="77"/>
      <c r="I98" s="77"/>
      <c r="J98" s="77"/>
      <c r="K98" s="77"/>
    </row>
    <row r="99" ht="15.75" customHeight="1">
      <c r="A99" s="77"/>
      <c r="B99" s="77"/>
      <c r="C99" s="77"/>
      <c r="D99" s="77"/>
      <c r="E99" s="77"/>
      <c r="F99" s="77"/>
      <c r="G99" s="77"/>
      <c r="H99" s="77"/>
      <c r="I99" s="77"/>
      <c r="J99" s="77"/>
      <c r="K99" s="77"/>
    </row>
    <row r="100" ht="15.75" customHeight="1">
      <c r="A100" s="77"/>
      <c r="B100" s="77"/>
      <c r="C100" s="77"/>
      <c r="D100" s="77"/>
      <c r="E100" s="77"/>
      <c r="F100" s="77"/>
      <c r="G100" s="77"/>
      <c r="H100" s="77"/>
      <c r="I100" s="77"/>
      <c r="J100" s="77"/>
      <c r="K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5"/>
    <mergeCell ref="C24:C29"/>
  </mergeCells>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12.75"/>
    <col customWidth="1" min="3" max="3" width="14.25"/>
    <col customWidth="1" min="4" max="5" width="9.5"/>
    <col customWidth="1" min="6" max="6" width="13.75"/>
    <col customWidth="1" min="7" max="8" width="8.38"/>
    <col customWidth="1" min="9" max="9" width="15.75"/>
    <col customWidth="1" min="10" max="10" width="14.63"/>
    <col customWidth="1" min="11" max="13" width="8.38"/>
    <col customWidth="1" min="14" max="26" width="11.25"/>
  </cols>
  <sheetData>
    <row r="1" ht="37.5" customHeight="1">
      <c r="A1" s="33" t="s">
        <v>72</v>
      </c>
      <c r="B1" s="35">
        <f>'Input sheet'!B1</f>
        <v>0.0</v>
      </c>
      <c r="C1" s="33" t="s">
        <v>57</v>
      </c>
      <c r="D1" s="37">
        <f>'Input sheet'!D1</f>
        <v>39.4</v>
      </c>
      <c r="E1" s="7"/>
      <c r="F1" s="7"/>
      <c r="G1" s="7"/>
      <c r="H1" s="7"/>
      <c r="I1" s="7"/>
      <c r="J1" s="7"/>
      <c r="K1" s="7"/>
      <c r="L1" s="7"/>
      <c r="M1" s="7"/>
    </row>
    <row r="2" ht="12.75" customHeight="1">
      <c r="A2" s="824" t="s">
        <v>1500</v>
      </c>
      <c r="B2" s="824" t="s">
        <v>1501</v>
      </c>
      <c r="C2" s="824" t="s">
        <v>1502</v>
      </c>
      <c r="D2" s="824" t="s">
        <v>1503</v>
      </c>
      <c r="E2" s="824" t="s">
        <v>1504</v>
      </c>
      <c r="F2" s="824" t="s">
        <v>1447</v>
      </c>
      <c r="G2" s="9" t="s">
        <v>846</v>
      </c>
      <c r="H2" s="824" t="s">
        <v>990</v>
      </c>
      <c r="I2" s="824" t="s">
        <v>1505</v>
      </c>
      <c r="J2" s="824" t="s">
        <v>1506</v>
      </c>
      <c r="K2" s="824"/>
      <c r="L2" s="824"/>
      <c r="M2" s="824"/>
    </row>
    <row r="3" ht="12.75" customHeight="1">
      <c r="A3" s="9" t="s">
        <v>211</v>
      </c>
      <c r="B3" s="9" t="s">
        <v>863</v>
      </c>
      <c r="C3" s="9" t="s">
        <v>1507</v>
      </c>
      <c r="D3" s="9" t="s">
        <v>1508</v>
      </c>
      <c r="E3" s="9">
        <v>1.0</v>
      </c>
      <c r="F3" s="9" t="s">
        <v>1508</v>
      </c>
      <c r="G3" s="9" t="s">
        <v>880</v>
      </c>
      <c r="H3" s="797" t="s">
        <v>1200</v>
      </c>
      <c r="I3" s="9" t="s">
        <v>1509</v>
      </c>
      <c r="J3" s="768">
        <v>0.0</v>
      </c>
      <c r="K3" s="9"/>
      <c r="L3" s="9"/>
      <c r="M3" s="9"/>
    </row>
    <row r="4" ht="12.75" customHeight="1">
      <c r="A4" s="9" t="s">
        <v>214</v>
      </c>
      <c r="B4" s="9" t="s">
        <v>293</v>
      </c>
      <c r="C4" s="9" t="s">
        <v>192</v>
      </c>
      <c r="D4" s="9" t="s">
        <v>1504</v>
      </c>
      <c r="E4" s="9">
        <v>2.0</v>
      </c>
      <c r="F4" s="9" t="s">
        <v>1159</v>
      </c>
      <c r="G4" s="9" t="s">
        <v>879</v>
      </c>
      <c r="H4" s="825" t="s">
        <v>1201</v>
      </c>
      <c r="I4" s="9" t="s">
        <v>960</v>
      </c>
      <c r="J4" s="768">
        <v>1.0</v>
      </c>
      <c r="K4" s="9"/>
      <c r="L4" s="9"/>
      <c r="M4" s="9"/>
    </row>
    <row r="5" ht="12.75" customHeight="1">
      <c r="A5" s="9"/>
      <c r="B5" s="9"/>
      <c r="C5" s="9" t="s">
        <v>1510</v>
      </c>
      <c r="D5" s="9" t="s">
        <v>1045</v>
      </c>
      <c r="E5" s="9"/>
      <c r="F5" s="9" t="s">
        <v>992</v>
      </c>
      <c r="G5" s="9" t="s">
        <v>878</v>
      </c>
      <c r="H5" s="825" t="s">
        <v>234</v>
      </c>
      <c r="I5" s="9" t="s">
        <v>686</v>
      </c>
      <c r="J5" s="768">
        <v>2.0</v>
      </c>
      <c r="K5" s="9"/>
      <c r="L5" s="9"/>
      <c r="M5" s="9"/>
    </row>
    <row r="6" ht="12.75" customHeight="1">
      <c r="A6" s="9"/>
      <c r="B6" s="9"/>
      <c r="C6" s="9" t="s">
        <v>1511</v>
      </c>
      <c r="D6" s="9"/>
      <c r="E6" s="9"/>
      <c r="F6" s="9" t="s">
        <v>1512</v>
      </c>
      <c r="G6" s="9" t="s">
        <v>876</v>
      </c>
      <c r="H6" s="825" t="s">
        <v>1204</v>
      </c>
      <c r="I6" s="9" t="s">
        <v>1513</v>
      </c>
      <c r="J6" s="768">
        <v>3.0</v>
      </c>
      <c r="K6" s="9"/>
      <c r="L6" s="9"/>
      <c r="M6" s="9"/>
    </row>
    <row r="7" ht="12.75" customHeight="1">
      <c r="A7" s="9"/>
      <c r="B7" s="9"/>
      <c r="C7" s="9"/>
      <c r="D7" s="9"/>
      <c r="E7" s="9"/>
      <c r="F7" s="9" t="s">
        <v>1514</v>
      </c>
      <c r="G7" s="9" t="s">
        <v>875</v>
      </c>
      <c r="H7" s="825" t="s">
        <v>1205</v>
      </c>
      <c r="I7" s="9"/>
      <c r="J7" s="9"/>
      <c r="K7" s="9"/>
      <c r="L7" s="9"/>
      <c r="M7" s="9"/>
    </row>
    <row r="8" ht="12.75" customHeight="1">
      <c r="A8" s="9"/>
      <c r="B8" s="9"/>
      <c r="C8" s="9"/>
      <c r="D8" s="9"/>
      <c r="E8" s="9"/>
      <c r="F8" s="9"/>
      <c r="G8" s="9" t="s">
        <v>874</v>
      </c>
      <c r="H8" s="9"/>
      <c r="I8" s="9"/>
      <c r="J8" s="9"/>
      <c r="K8" s="9"/>
      <c r="L8" s="9"/>
      <c r="M8" s="9"/>
    </row>
    <row r="9" ht="12.75" customHeight="1">
      <c r="A9" s="9"/>
      <c r="B9" s="9"/>
      <c r="C9" s="9"/>
      <c r="D9" s="9"/>
      <c r="E9" s="9"/>
      <c r="F9" s="9"/>
      <c r="G9" s="9" t="s">
        <v>871</v>
      </c>
      <c r="H9" s="9"/>
      <c r="I9" s="9"/>
      <c r="J9" s="9"/>
      <c r="K9" s="9"/>
      <c r="L9" s="9"/>
      <c r="M9" s="9"/>
    </row>
    <row r="10" ht="12.75" customHeight="1">
      <c r="A10" s="9"/>
      <c r="B10" s="9"/>
      <c r="C10" s="9"/>
      <c r="D10" s="9"/>
      <c r="E10" s="9"/>
      <c r="F10" s="9"/>
      <c r="G10" s="9" t="s">
        <v>869</v>
      </c>
      <c r="H10" s="9"/>
      <c r="I10" s="9"/>
      <c r="J10" s="9"/>
      <c r="K10" s="9"/>
      <c r="L10" s="9"/>
      <c r="M10" s="9"/>
    </row>
    <row r="11" ht="12.75" customHeight="1">
      <c r="A11" s="9"/>
      <c r="B11" s="9"/>
      <c r="C11" s="9"/>
      <c r="D11" s="9"/>
      <c r="E11" s="9"/>
      <c r="F11" s="9"/>
      <c r="G11" s="9" t="s">
        <v>867</v>
      </c>
      <c r="H11" s="9"/>
      <c r="I11" s="9"/>
      <c r="J11" s="9"/>
      <c r="K11" s="9"/>
      <c r="L11" s="9"/>
      <c r="M11" s="9"/>
    </row>
    <row r="12" ht="12.75" customHeight="1">
      <c r="A12" s="9"/>
      <c r="B12" s="9"/>
      <c r="C12" s="9"/>
      <c r="D12" s="9"/>
      <c r="E12" s="9"/>
      <c r="F12" s="9"/>
      <c r="G12" s="9" t="s">
        <v>864</v>
      </c>
      <c r="H12" s="9"/>
      <c r="I12" s="9"/>
      <c r="J12" s="9"/>
      <c r="K12" s="9"/>
      <c r="L12" s="9"/>
      <c r="M12" s="9"/>
    </row>
    <row r="13" ht="12.75" customHeight="1">
      <c r="A13" s="9"/>
      <c r="B13" s="9"/>
      <c r="C13" s="9"/>
      <c r="D13" s="9"/>
      <c r="E13" s="9"/>
      <c r="F13" s="9"/>
      <c r="G13" s="9" t="s">
        <v>862</v>
      </c>
      <c r="H13" s="9"/>
      <c r="I13" s="9"/>
      <c r="J13" s="9"/>
      <c r="K13" s="9"/>
      <c r="L13" s="9"/>
      <c r="M13" s="9"/>
    </row>
    <row r="14" ht="12.75" customHeight="1">
      <c r="A14" s="9"/>
      <c r="B14" s="9"/>
      <c r="C14" s="9"/>
      <c r="D14" s="9"/>
      <c r="E14" s="9"/>
      <c r="F14" s="9"/>
      <c r="G14" s="9" t="s">
        <v>853</v>
      </c>
      <c r="H14" s="9"/>
      <c r="I14" s="9"/>
      <c r="J14" s="9"/>
      <c r="K14" s="9"/>
      <c r="L14" s="9"/>
      <c r="M14" s="9"/>
    </row>
    <row r="15" ht="12.75" customHeight="1">
      <c r="A15" s="9"/>
      <c r="B15" s="9"/>
      <c r="C15" s="9"/>
      <c r="D15" s="9"/>
      <c r="E15" s="9"/>
      <c r="F15" s="9"/>
      <c r="G15" s="9" t="s">
        <v>856</v>
      </c>
      <c r="H15" s="9"/>
      <c r="I15" s="9"/>
      <c r="J15" s="9"/>
      <c r="K15" s="9"/>
      <c r="L15" s="9"/>
      <c r="M15" s="9"/>
    </row>
    <row r="16" ht="12.75" customHeight="1">
      <c r="A16" s="9"/>
      <c r="B16" s="9"/>
      <c r="C16" s="9"/>
      <c r="D16" s="9"/>
      <c r="E16" s="9"/>
      <c r="F16" s="9"/>
      <c r="G16" s="9" t="s">
        <v>858</v>
      </c>
      <c r="H16" s="9"/>
      <c r="I16" s="9"/>
      <c r="J16" s="9"/>
      <c r="K16" s="9"/>
      <c r="L16" s="9"/>
      <c r="M16" s="9"/>
    </row>
    <row r="17" ht="12.75" customHeight="1">
      <c r="A17" s="9"/>
      <c r="B17" s="9"/>
      <c r="C17" s="9"/>
      <c r="D17" s="9"/>
      <c r="E17" s="9"/>
      <c r="F17" s="9"/>
      <c r="G17" s="9" t="s">
        <v>851</v>
      </c>
      <c r="H17" s="9"/>
      <c r="I17" s="9"/>
      <c r="J17" s="9"/>
      <c r="K17" s="9"/>
      <c r="L17" s="9"/>
      <c r="M17" s="9"/>
    </row>
    <row r="18" ht="12.75" customHeight="1">
      <c r="A18" s="9"/>
      <c r="B18" s="9"/>
      <c r="C18" s="9"/>
      <c r="D18" s="9"/>
      <c r="E18" s="9"/>
      <c r="F18" s="9"/>
      <c r="G18" s="9"/>
      <c r="H18" s="9"/>
      <c r="I18" s="9"/>
      <c r="J18" s="9"/>
      <c r="K18" s="9"/>
      <c r="L18" s="9"/>
      <c r="M18" s="9"/>
    </row>
    <row r="19" ht="12.75" customHeight="1">
      <c r="A19" s="9"/>
      <c r="B19" s="9"/>
      <c r="C19" s="9"/>
      <c r="D19" s="9"/>
      <c r="E19" s="9"/>
      <c r="F19" s="9"/>
      <c r="G19" s="9"/>
      <c r="H19" s="9"/>
      <c r="I19" s="9"/>
      <c r="J19" s="9"/>
      <c r="K19" s="9"/>
      <c r="L19" s="9"/>
      <c r="M19" s="9"/>
    </row>
    <row r="20" ht="12.75" customHeight="1">
      <c r="A20" s="9"/>
      <c r="B20" s="9"/>
      <c r="C20" s="9"/>
      <c r="D20" s="9"/>
      <c r="E20" s="9"/>
      <c r="F20" s="9"/>
      <c r="G20" s="9"/>
      <c r="H20" s="9"/>
      <c r="I20" s="9"/>
      <c r="J20" s="9"/>
      <c r="K20" s="9"/>
      <c r="L20" s="9"/>
      <c r="M20" s="9"/>
    </row>
    <row r="21" ht="12.75" customHeight="1">
      <c r="A21" s="9"/>
      <c r="B21" s="9"/>
      <c r="C21" s="9"/>
      <c r="D21" s="9"/>
      <c r="E21" s="9"/>
      <c r="F21" s="9"/>
      <c r="G21" s="9"/>
      <c r="H21" s="9"/>
      <c r="I21" s="9"/>
      <c r="J21" s="9"/>
      <c r="K21" s="9"/>
      <c r="L21" s="9"/>
      <c r="M21" s="9"/>
    </row>
    <row r="22" ht="12.75" customHeight="1">
      <c r="A22" s="9"/>
      <c r="B22" s="9"/>
      <c r="C22" s="9"/>
      <c r="D22" s="9"/>
      <c r="E22" s="9"/>
      <c r="F22" s="9"/>
      <c r="G22" s="9"/>
      <c r="H22" s="9"/>
      <c r="I22" s="9"/>
      <c r="J22" s="9"/>
      <c r="K22" s="9"/>
      <c r="L22" s="9"/>
      <c r="M22" s="9"/>
    </row>
    <row r="23" ht="12.75" customHeight="1">
      <c r="A23" s="9"/>
      <c r="B23" s="9"/>
      <c r="C23" s="9"/>
      <c r="D23" s="9"/>
      <c r="E23" s="9"/>
      <c r="F23" s="9"/>
      <c r="G23" s="9"/>
      <c r="H23" s="9"/>
      <c r="I23" s="9"/>
      <c r="J23" s="9"/>
      <c r="K23" s="9"/>
      <c r="L23" s="9"/>
      <c r="M23" s="9"/>
    </row>
    <row r="24" ht="12.75" customHeight="1">
      <c r="A24" s="9"/>
      <c r="B24" s="9"/>
      <c r="C24" s="9"/>
      <c r="D24" s="9"/>
      <c r="E24" s="9"/>
      <c r="F24" s="9"/>
      <c r="G24" s="9"/>
      <c r="H24" s="9"/>
      <c r="I24" s="9"/>
      <c r="J24" s="9"/>
      <c r="K24" s="9"/>
      <c r="L24" s="9"/>
      <c r="M24" s="9"/>
    </row>
    <row r="25" ht="12.75" customHeight="1">
      <c r="A25" s="9"/>
      <c r="B25" s="9"/>
      <c r="C25" s="9"/>
      <c r="D25" s="9"/>
      <c r="E25" s="9"/>
      <c r="F25" s="9"/>
      <c r="G25" s="9"/>
      <c r="H25" s="9"/>
      <c r="I25" s="9"/>
      <c r="J25" s="9"/>
      <c r="K25" s="9"/>
      <c r="L25" s="9"/>
      <c r="M25" s="9"/>
    </row>
    <row r="26" ht="12.75" customHeight="1">
      <c r="A26" s="9"/>
      <c r="B26" s="9"/>
      <c r="C26" s="9"/>
      <c r="D26" s="9"/>
      <c r="E26" s="9"/>
      <c r="F26" s="9"/>
      <c r="G26" s="9"/>
      <c r="H26" s="9"/>
      <c r="I26" s="9"/>
      <c r="J26" s="9"/>
      <c r="K26" s="9"/>
      <c r="L26" s="9"/>
      <c r="M26" s="9"/>
    </row>
    <row r="27" ht="12.75" customHeight="1">
      <c r="A27" s="9"/>
      <c r="B27" s="9"/>
      <c r="C27" s="9"/>
      <c r="D27" s="9"/>
      <c r="E27" s="9"/>
      <c r="F27" s="9"/>
      <c r="G27" s="9"/>
      <c r="H27" s="9"/>
      <c r="I27" s="9"/>
      <c r="J27" s="9"/>
      <c r="K27" s="9"/>
      <c r="L27" s="9"/>
      <c r="M27" s="9"/>
    </row>
    <row r="28" ht="12.75" customHeight="1">
      <c r="A28" s="9"/>
      <c r="B28" s="9"/>
      <c r="C28" s="9"/>
      <c r="D28" s="9"/>
      <c r="E28" s="9"/>
      <c r="F28" s="9"/>
      <c r="G28" s="9"/>
      <c r="H28" s="9"/>
      <c r="I28" s="9"/>
      <c r="J28" s="9"/>
      <c r="K28" s="9"/>
      <c r="L28" s="9"/>
      <c r="M28" s="9"/>
    </row>
    <row r="29" ht="12.75" customHeight="1">
      <c r="A29" s="9"/>
      <c r="B29" s="9"/>
      <c r="C29" s="9"/>
      <c r="D29" s="9"/>
      <c r="E29" s="9"/>
      <c r="F29" s="9"/>
      <c r="G29" s="9"/>
      <c r="H29" s="9"/>
      <c r="I29" s="9"/>
      <c r="J29" s="9"/>
      <c r="K29" s="9"/>
      <c r="L29" s="9"/>
      <c r="M29" s="9"/>
    </row>
    <row r="30" ht="12.75" customHeight="1">
      <c r="A30" s="9"/>
      <c r="B30" s="9"/>
      <c r="C30" s="9"/>
      <c r="D30" s="9"/>
      <c r="E30" s="9"/>
      <c r="F30" s="9"/>
      <c r="G30" s="9"/>
      <c r="H30" s="9"/>
      <c r="I30" s="9"/>
      <c r="J30" s="9"/>
      <c r="K30" s="9"/>
      <c r="L30" s="9"/>
      <c r="M30" s="9"/>
    </row>
    <row r="31" ht="12.75" customHeight="1">
      <c r="A31" s="9"/>
      <c r="B31" s="9"/>
      <c r="C31" s="9"/>
      <c r="D31" s="9"/>
      <c r="E31" s="9"/>
      <c r="F31" s="9"/>
      <c r="G31" s="9"/>
      <c r="H31" s="9"/>
      <c r="I31" s="9"/>
      <c r="J31" s="9"/>
      <c r="K31" s="9"/>
      <c r="L31" s="9"/>
      <c r="M31" s="9"/>
    </row>
    <row r="32" ht="12.75" customHeight="1">
      <c r="A32" s="9"/>
      <c r="B32" s="9"/>
      <c r="C32" s="9"/>
      <c r="D32" s="9"/>
      <c r="E32" s="9"/>
      <c r="F32" s="9"/>
      <c r="G32" s="9"/>
      <c r="H32" s="9"/>
      <c r="I32" s="9"/>
      <c r="J32" s="9"/>
      <c r="K32" s="9"/>
      <c r="L32" s="9"/>
      <c r="M32" s="9"/>
    </row>
    <row r="33" ht="15.75" customHeight="1">
      <c r="A33" s="77"/>
      <c r="B33" s="77"/>
      <c r="C33" s="77"/>
      <c r="D33" s="77"/>
      <c r="E33" s="77"/>
      <c r="F33" s="77"/>
      <c r="G33" s="77"/>
      <c r="H33" s="77"/>
      <c r="I33" s="77"/>
      <c r="J33" s="77"/>
      <c r="K33" s="77"/>
      <c r="L33" s="77"/>
      <c r="M33" s="77"/>
    </row>
    <row r="34" ht="15.75" customHeight="1">
      <c r="A34" s="77"/>
      <c r="B34" s="77"/>
      <c r="C34" s="77"/>
      <c r="D34" s="77"/>
      <c r="E34" s="77"/>
      <c r="F34" s="77"/>
      <c r="G34" s="77"/>
      <c r="H34" s="77"/>
      <c r="I34" s="77"/>
      <c r="J34" s="77"/>
      <c r="K34" s="77"/>
      <c r="L34" s="77"/>
      <c r="M34" s="77"/>
    </row>
    <row r="35" ht="15.75" customHeight="1">
      <c r="A35" s="77"/>
      <c r="B35" s="77"/>
      <c r="C35" s="77"/>
      <c r="D35" s="77"/>
      <c r="E35" s="77"/>
      <c r="F35" s="77"/>
      <c r="G35" s="77"/>
      <c r="H35" s="77"/>
      <c r="I35" s="77"/>
      <c r="J35" s="77"/>
      <c r="K35" s="77"/>
      <c r="L35" s="77"/>
      <c r="M35" s="77"/>
    </row>
    <row r="36" ht="15.75" customHeight="1">
      <c r="A36" s="77"/>
      <c r="B36" s="77"/>
      <c r="C36" s="77"/>
      <c r="D36" s="77"/>
      <c r="E36" s="77"/>
      <c r="F36" s="77"/>
      <c r="G36" s="77"/>
      <c r="H36" s="77"/>
      <c r="I36" s="77"/>
      <c r="J36" s="77"/>
      <c r="K36" s="77"/>
      <c r="L36" s="77"/>
      <c r="M36" s="77"/>
    </row>
    <row r="37" ht="15.75" customHeight="1">
      <c r="A37" s="77"/>
      <c r="B37" s="77"/>
      <c r="C37" s="77"/>
      <c r="D37" s="77"/>
      <c r="E37" s="77"/>
      <c r="F37" s="77"/>
      <c r="G37" s="77"/>
      <c r="H37" s="77"/>
      <c r="I37" s="77"/>
      <c r="J37" s="77"/>
      <c r="K37" s="77"/>
      <c r="L37" s="77"/>
      <c r="M37" s="77"/>
    </row>
    <row r="38" ht="15.75" customHeight="1">
      <c r="A38" s="77"/>
      <c r="B38" s="77"/>
      <c r="C38" s="77"/>
      <c r="D38" s="77"/>
      <c r="E38" s="77"/>
      <c r="F38" s="77"/>
      <c r="G38" s="77"/>
      <c r="H38" s="77"/>
      <c r="I38" s="77"/>
      <c r="J38" s="77"/>
      <c r="K38" s="77"/>
      <c r="L38" s="77"/>
      <c r="M38" s="77"/>
    </row>
    <row r="39" ht="15.75" customHeight="1">
      <c r="A39" s="77"/>
      <c r="B39" s="77"/>
      <c r="C39" s="77"/>
      <c r="D39" s="77"/>
      <c r="E39" s="77"/>
      <c r="F39" s="77"/>
      <c r="G39" s="77"/>
      <c r="H39" s="77"/>
      <c r="I39" s="77"/>
      <c r="J39" s="77"/>
      <c r="K39" s="77"/>
      <c r="L39" s="77"/>
      <c r="M39" s="77"/>
    </row>
    <row r="40" ht="15.75" customHeight="1">
      <c r="A40" s="77"/>
      <c r="B40" s="77"/>
      <c r="C40" s="77"/>
      <c r="D40" s="77"/>
      <c r="E40" s="77"/>
      <c r="F40" s="77"/>
      <c r="G40" s="77"/>
      <c r="H40" s="77"/>
      <c r="I40" s="77"/>
      <c r="J40" s="77"/>
      <c r="K40" s="77"/>
      <c r="L40" s="77"/>
      <c r="M40" s="77"/>
    </row>
    <row r="41" ht="15.75" customHeight="1">
      <c r="A41" s="77"/>
      <c r="B41" s="77"/>
      <c r="C41" s="77"/>
      <c r="D41" s="77"/>
      <c r="E41" s="77"/>
      <c r="F41" s="77"/>
      <c r="G41" s="77"/>
      <c r="H41" s="77"/>
      <c r="I41" s="77"/>
      <c r="J41" s="77"/>
      <c r="K41" s="77"/>
      <c r="L41" s="77"/>
      <c r="M41" s="77"/>
    </row>
    <row r="42" ht="15.75" customHeight="1">
      <c r="A42" s="77"/>
      <c r="B42" s="77"/>
      <c r="C42" s="77"/>
      <c r="D42" s="77"/>
      <c r="E42" s="77"/>
      <c r="F42" s="77"/>
      <c r="G42" s="77"/>
      <c r="H42" s="77"/>
      <c r="I42" s="77"/>
      <c r="J42" s="77"/>
      <c r="K42" s="77"/>
      <c r="L42" s="77"/>
      <c r="M42" s="77"/>
    </row>
    <row r="43" ht="15.75" customHeight="1">
      <c r="A43" s="77"/>
      <c r="B43" s="77"/>
      <c r="C43" s="77"/>
      <c r="D43" s="77"/>
      <c r="E43" s="77"/>
      <c r="F43" s="77"/>
      <c r="G43" s="77"/>
      <c r="H43" s="77"/>
      <c r="I43" s="77"/>
      <c r="J43" s="77"/>
      <c r="K43" s="77"/>
      <c r="L43" s="77"/>
      <c r="M43" s="77"/>
    </row>
    <row r="44" ht="15.75" customHeight="1">
      <c r="A44" s="77"/>
      <c r="B44" s="77"/>
      <c r="C44" s="77"/>
      <c r="D44" s="77"/>
      <c r="E44" s="77"/>
      <c r="F44" s="77"/>
      <c r="G44" s="77"/>
      <c r="H44" s="77"/>
      <c r="I44" s="77"/>
      <c r="J44" s="77"/>
      <c r="K44" s="77"/>
      <c r="L44" s="77"/>
      <c r="M44" s="77"/>
    </row>
    <row r="45" ht="15.75" customHeight="1">
      <c r="A45" s="77"/>
      <c r="B45" s="77"/>
      <c r="C45" s="77"/>
      <c r="D45" s="77"/>
      <c r="E45" s="77"/>
      <c r="F45" s="77"/>
      <c r="G45" s="77"/>
      <c r="H45" s="77"/>
      <c r="I45" s="77"/>
      <c r="J45" s="77"/>
      <c r="K45" s="77"/>
      <c r="L45" s="77"/>
      <c r="M45" s="77"/>
    </row>
    <row r="46" ht="15.75" customHeight="1">
      <c r="A46" s="77"/>
      <c r="B46" s="77"/>
      <c r="C46" s="77"/>
      <c r="D46" s="77"/>
      <c r="E46" s="77"/>
      <c r="F46" s="77"/>
      <c r="G46" s="77"/>
      <c r="H46" s="77"/>
      <c r="I46" s="77"/>
      <c r="J46" s="77"/>
      <c r="K46" s="77"/>
      <c r="L46" s="77"/>
      <c r="M46" s="77"/>
    </row>
    <row r="47" ht="15.75" customHeight="1">
      <c r="A47" s="77"/>
      <c r="B47" s="77"/>
      <c r="C47" s="77"/>
      <c r="D47" s="77"/>
      <c r="E47" s="77"/>
      <c r="F47" s="77"/>
      <c r="G47" s="77"/>
      <c r="H47" s="77"/>
      <c r="I47" s="77"/>
      <c r="J47" s="77"/>
      <c r="K47" s="77"/>
      <c r="L47" s="77"/>
      <c r="M47" s="77"/>
    </row>
    <row r="48" ht="15.75" customHeight="1">
      <c r="A48" s="77"/>
      <c r="B48" s="77"/>
      <c r="C48" s="77"/>
      <c r="D48" s="77"/>
      <c r="E48" s="77"/>
      <c r="F48" s="77"/>
      <c r="G48" s="77"/>
      <c r="H48" s="77"/>
      <c r="I48" s="77"/>
      <c r="J48" s="77"/>
      <c r="K48" s="77"/>
      <c r="L48" s="77"/>
      <c r="M48" s="77"/>
    </row>
    <row r="49" ht="15.75" customHeight="1">
      <c r="A49" s="77"/>
      <c r="B49" s="77"/>
      <c r="C49" s="77"/>
      <c r="D49" s="77"/>
      <c r="E49" s="77"/>
      <c r="F49" s="77"/>
      <c r="G49" s="77"/>
      <c r="H49" s="77"/>
      <c r="I49" s="77"/>
      <c r="J49" s="77"/>
      <c r="K49" s="77"/>
      <c r="L49" s="77"/>
      <c r="M49" s="77"/>
    </row>
    <row r="50" ht="15.75" customHeight="1">
      <c r="A50" s="77"/>
      <c r="B50" s="77"/>
      <c r="C50" s="77"/>
      <c r="D50" s="77"/>
      <c r="E50" s="77"/>
      <c r="F50" s="77"/>
      <c r="G50" s="77"/>
      <c r="H50" s="77"/>
      <c r="I50" s="77"/>
      <c r="J50" s="77"/>
      <c r="K50" s="77"/>
      <c r="L50" s="77"/>
      <c r="M50" s="77"/>
    </row>
    <row r="51" ht="15.75" customHeight="1">
      <c r="A51" s="77"/>
      <c r="B51" s="77"/>
      <c r="C51" s="77"/>
      <c r="D51" s="77"/>
      <c r="E51" s="77"/>
      <c r="F51" s="77"/>
      <c r="G51" s="77"/>
      <c r="H51" s="77"/>
      <c r="I51" s="77"/>
      <c r="J51" s="77"/>
      <c r="K51" s="77"/>
      <c r="L51" s="77"/>
      <c r="M51" s="77"/>
    </row>
    <row r="52" ht="15.75" customHeight="1">
      <c r="A52" s="77"/>
      <c r="B52" s="77"/>
      <c r="C52" s="77"/>
      <c r="D52" s="77"/>
      <c r="E52" s="77"/>
      <c r="F52" s="77"/>
      <c r="G52" s="77"/>
      <c r="H52" s="77"/>
      <c r="I52" s="77"/>
      <c r="J52" s="77"/>
      <c r="K52" s="77"/>
      <c r="L52" s="77"/>
      <c r="M52" s="77"/>
    </row>
    <row r="53" ht="15.75" customHeight="1">
      <c r="A53" s="77"/>
      <c r="B53" s="77"/>
      <c r="C53" s="77"/>
      <c r="D53" s="77"/>
      <c r="E53" s="77"/>
      <c r="F53" s="77"/>
      <c r="G53" s="77"/>
      <c r="H53" s="77"/>
      <c r="I53" s="77"/>
      <c r="J53" s="77"/>
      <c r="K53" s="77"/>
      <c r="L53" s="77"/>
      <c r="M53" s="77"/>
    </row>
    <row r="54" ht="15.75" customHeight="1">
      <c r="A54" s="77"/>
      <c r="B54" s="77"/>
      <c r="C54" s="77"/>
      <c r="D54" s="77"/>
      <c r="E54" s="77"/>
      <c r="F54" s="77"/>
      <c r="G54" s="77"/>
      <c r="H54" s="77"/>
      <c r="I54" s="77"/>
      <c r="J54" s="77"/>
      <c r="K54" s="77"/>
      <c r="L54" s="77"/>
      <c r="M54" s="77"/>
    </row>
    <row r="55" ht="15.75" customHeight="1">
      <c r="A55" s="77"/>
      <c r="B55" s="77"/>
      <c r="C55" s="77"/>
      <c r="D55" s="77"/>
      <c r="E55" s="77"/>
      <c r="F55" s="77"/>
      <c r="G55" s="77"/>
      <c r="H55" s="77"/>
      <c r="I55" s="77"/>
      <c r="J55" s="77"/>
      <c r="K55" s="77"/>
      <c r="L55" s="77"/>
      <c r="M55" s="77"/>
    </row>
    <row r="56" ht="15.75" customHeight="1">
      <c r="A56" s="77"/>
      <c r="B56" s="77"/>
      <c r="C56" s="77"/>
      <c r="D56" s="77"/>
      <c r="E56" s="77"/>
      <c r="F56" s="77"/>
      <c r="G56" s="77"/>
      <c r="H56" s="77"/>
      <c r="I56" s="77"/>
      <c r="J56" s="77"/>
      <c r="K56" s="77"/>
      <c r="L56" s="77"/>
      <c r="M56" s="77"/>
    </row>
    <row r="57" ht="15.75" customHeight="1">
      <c r="A57" s="77"/>
      <c r="B57" s="77"/>
      <c r="C57" s="77"/>
      <c r="D57" s="77"/>
      <c r="E57" s="77"/>
      <c r="F57" s="77"/>
      <c r="G57" s="77"/>
      <c r="H57" s="77"/>
      <c r="I57" s="77"/>
      <c r="J57" s="77"/>
      <c r="K57" s="77"/>
      <c r="L57" s="77"/>
      <c r="M57" s="77"/>
    </row>
    <row r="58" ht="15.75" customHeight="1">
      <c r="A58" s="77"/>
      <c r="B58" s="77"/>
      <c r="C58" s="77"/>
      <c r="D58" s="77"/>
      <c r="E58" s="77"/>
      <c r="F58" s="77"/>
      <c r="G58" s="77"/>
      <c r="H58" s="77"/>
      <c r="I58" s="77"/>
      <c r="J58" s="77"/>
      <c r="K58" s="77"/>
      <c r="L58" s="77"/>
      <c r="M58" s="77"/>
    </row>
    <row r="59" ht="15.75" customHeight="1">
      <c r="A59" s="77"/>
      <c r="B59" s="77"/>
      <c r="C59" s="77"/>
      <c r="D59" s="77"/>
      <c r="E59" s="77"/>
      <c r="F59" s="77"/>
      <c r="G59" s="77"/>
      <c r="H59" s="77"/>
      <c r="I59" s="77"/>
      <c r="J59" s="77"/>
      <c r="K59" s="77"/>
      <c r="L59" s="77"/>
      <c r="M59" s="77"/>
    </row>
    <row r="60" ht="15.75" customHeight="1">
      <c r="A60" s="77"/>
      <c r="B60" s="77"/>
      <c r="C60" s="77"/>
      <c r="D60" s="77"/>
      <c r="E60" s="77"/>
      <c r="F60" s="77"/>
      <c r="G60" s="77"/>
      <c r="H60" s="77"/>
      <c r="I60" s="77"/>
      <c r="J60" s="77"/>
      <c r="K60" s="77"/>
      <c r="L60" s="77"/>
      <c r="M60" s="77"/>
    </row>
    <row r="61" ht="15.75" customHeight="1">
      <c r="A61" s="77"/>
      <c r="B61" s="77"/>
      <c r="C61" s="77"/>
      <c r="D61" s="77"/>
      <c r="E61" s="77"/>
      <c r="F61" s="77"/>
      <c r="G61" s="77"/>
      <c r="H61" s="77"/>
      <c r="I61" s="77"/>
      <c r="J61" s="77"/>
      <c r="K61" s="77"/>
      <c r="L61" s="77"/>
      <c r="M61" s="77"/>
    </row>
    <row r="62" ht="15.75" customHeight="1">
      <c r="A62" s="77"/>
      <c r="B62" s="77"/>
      <c r="C62" s="77"/>
      <c r="D62" s="77"/>
      <c r="E62" s="77"/>
      <c r="F62" s="77"/>
      <c r="G62" s="77"/>
      <c r="H62" s="77"/>
      <c r="I62" s="77"/>
      <c r="J62" s="77"/>
      <c r="K62" s="77"/>
      <c r="L62" s="77"/>
      <c r="M62" s="77"/>
    </row>
    <row r="63" ht="15.75" customHeight="1">
      <c r="A63" s="77"/>
      <c r="B63" s="77"/>
      <c r="C63" s="77"/>
      <c r="D63" s="77"/>
      <c r="E63" s="77"/>
      <c r="F63" s="77"/>
      <c r="G63" s="77"/>
      <c r="H63" s="77"/>
      <c r="I63" s="77"/>
      <c r="J63" s="77"/>
      <c r="K63" s="77"/>
      <c r="L63" s="77"/>
      <c r="M63" s="77"/>
    </row>
    <row r="64" ht="15.75" customHeight="1">
      <c r="A64" s="77"/>
      <c r="B64" s="77"/>
      <c r="C64" s="77"/>
      <c r="D64" s="77"/>
      <c r="E64" s="77"/>
      <c r="F64" s="77"/>
      <c r="G64" s="77"/>
      <c r="H64" s="77"/>
      <c r="I64" s="77"/>
      <c r="J64" s="77"/>
      <c r="K64" s="77"/>
      <c r="L64" s="77"/>
      <c r="M64" s="77"/>
    </row>
    <row r="65" ht="15.75" customHeight="1">
      <c r="A65" s="77"/>
      <c r="B65" s="77"/>
      <c r="C65" s="77"/>
      <c r="D65" s="77"/>
      <c r="E65" s="77"/>
      <c r="F65" s="77"/>
      <c r="G65" s="77"/>
      <c r="H65" s="77"/>
      <c r="I65" s="77"/>
      <c r="J65" s="77"/>
      <c r="K65" s="77"/>
      <c r="L65" s="77"/>
      <c r="M65" s="77"/>
    </row>
    <row r="66" ht="15.75" customHeight="1">
      <c r="A66" s="77"/>
      <c r="B66" s="77"/>
      <c r="C66" s="77"/>
      <c r="D66" s="77"/>
      <c r="E66" s="77"/>
      <c r="F66" s="77"/>
      <c r="G66" s="77"/>
      <c r="H66" s="77"/>
      <c r="I66" s="77"/>
      <c r="J66" s="77"/>
      <c r="K66" s="77"/>
      <c r="L66" s="77"/>
      <c r="M66" s="77"/>
    </row>
    <row r="67" ht="15.75" customHeight="1">
      <c r="A67" s="77"/>
      <c r="B67" s="77"/>
      <c r="C67" s="77"/>
      <c r="D67" s="77"/>
      <c r="E67" s="77"/>
      <c r="F67" s="77"/>
      <c r="G67" s="77"/>
      <c r="H67" s="77"/>
      <c r="I67" s="77"/>
      <c r="J67" s="77"/>
      <c r="K67" s="77"/>
      <c r="L67" s="77"/>
      <c r="M67" s="77"/>
    </row>
    <row r="68" ht="15.75" customHeight="1">
      <c r="A68" s="77"/>
      <c r="B68" s="77"/>
      <c r="C68" s="77"/>
      <c r="D68" s="77"/>
      <c r="E68" s="77"/>
      <c r="F68" s="77"/>
      <c r="G68" s="77"/>
      <c r="H68" s="77"/>
      <c r="I68" s="77"/>
      <c r="J68" s="77"/>
      <c r="K68" s="77"/>
      <c r="L68" s="77"/>
      <c r="M68" s="77"/>
    </row>
    <row r="69" ht="15.75" customHeight="1">
      <c r="A69" s="77"/>
      <c r="B69" s="77"/>
      <c r="C69" s="77"/>
      <c r="D69" s="77"/>
      <c r="E69" s="77"/>
      <c r="F69" s="77"/>
      <c r="G69" s="77"/>
      <c r="H69" s="77"/>
      <c r="I69" s="77"/>
      <c r="J69" s="77"/>
      <c r="K69" s="77"/>
      <c r="L69" s="77"/>
      <c r="M69" s="77"/>
    </row>
    <row r="70" ht="15.75" customHeight="1">
      <c r="A70" s="77"/>
      <c r="B70" s="77"/>
      <c r="C70" s="77"/>
      <c r="D70" s="77"/>
      <c r="E70" s="77"/>
      <c r="F70" s="77"/>
      <c r="G70" s="77"/>
      <c r="H70" s="77"/>
      <c r="I70" s="77"/>
      <c r="J70" s="77"/>
      <c r="K70" s="77"/>
      <c r="L70" s="77"/>
      <c r="M70" s="77"/>
    </row>
    <row r="71" ht="15.75" customHeight="1">
      <c r="A71" s="77"/>
      <c r="B71" s="77"/>
      <c r="C71" s="77"/>
      <c r="D71" s="77"/>
      <c r="E71" s="77"/>
      <c r="F71" s="77"/>
      <c r="G71" s="77"/>
      <c r="H71" s="77"/>
      <c r="I71" s="77"/>
      <c r="J71" s="77"/>
      <c r="K71" s="77"/>
      <c r="L71" s="77"/>
      <c r="M71" s="77"/>
    </row>
    <row r="72" ht="15.75" customHeight="1">
      <c r="A72" s="77"/>
      <c r="B72" s="77"/>
      <c r="C72" s="77"/>
      <c r="D72" s="77"/>
      <c r="E72" s="77"/>
      <c r="F72" s="77"/>
      <c r="G72" s="77"/>
      <c r="H72" s="77"/>
      <c r="I72" s="77"/>
      <c r="J72" s="77"/>
      <c r="K72" s="77"/>
      <c r="L72" s="77"/>
      <c r="M72" s="77"/>
    </row>
    <row r="73" ht="15.75" customHeight="1">
      <c r="A73" s="77"/>
      <c r="B73" s="77"/>
      <c r="C73" s="77"/>
      <c r="D73" s="77"/>
      <c r="E73" s="77"/>
      <c r="F73" s="77"/>
      <c r="G73" s="77"/>
      <c r="H73" s="77"/>
      <c r="I73" s="77"/>
      <c r="J73" s="77"/>
      <c r="K73" s="77"/>
      <c r="L73" s="77"/>
      <c r="M73" s="77"/>
    </row>
    <row r="74" ht="15.75" customHeight="1">
      <c r="A74" s="77"/>
      <c r="B74" s="77"/>
      <c r="C74" s="77"/>
      <c r="D74" s="77"/>
      <c r="E74" s="77"/>
      <c r="F74" s="77"/>
      <c r="G74" s="77"/>
      <c r="H74" s="77"/>
      <c r="I74" s="77"/>
      <c r="J74" s="77"/>
      <c r="K74" s="77"/>
      <c r="L74" s="77"/>
      <c r="M74" s="77"/>
    </row>
    <row r="75" ht="15.75" customHeight="1">
      <c r="A75" s="77"/>
      <c r="B75" s="77"/>
      <c r="C75" s="77"/>
      <c r="D75" s="77"/>
      <c r="E75" s="77"/>
      <c r="F75" s="77"/>
      <c r="G75" s="77"/>
      <c r="H75" s="77"/>
      <c r="I75" s="77"/>
      <c r="J75" s="77"/>
      <c r="K75" s="77"/>
      <c r="L75" s="77"/>
      <c r="M75" s="77"/>
    </row>
    <row r="76" ht="15.75" customHeight="1">
      <c r="A76" s="77"/>
      <c r="B76" s="77"/>
      <c r="C76" s="77"/>
      <c r="D76" s="77"/>
      <c r="E76" s="77"/>
      <c r="F76" s="77"/>
      <c r="G76" s="77"/>
      <c r="H76" s="77"/>
      <c r="I76" s="77"/>
      <c r="J76" s="77"/>
      <c r="K76" s="77"/>
      <c r="L76" s="77"/>
      <c r="M76" s="77"/>
    </row>
    <row r="77" ht="15.75" customHeight="1">
      <c r="A77" s="77"/>
      <c r="B77" s="77"/>
      <c r="C77" s="77"/>
      <c r="D77" s="77"/>
      <c r="E77" s="77"/>
      <c r="F77" s="77"/>
      <c r="G77" s="77"/>
      <c r="H77" s="77"/>
      <c r="I77" s="77"/>
      <c r="J77" s="77"/>
      <c r="K77" s="77"/>
      <c r="L77" s="77"/>
      <c r="M77" s="77"/>
    </row>
    <row r="78" ht="15.75" customHeight="1">
      <c r="A78" s="77"/>
      <c r="B78" s="77"/>
      <c r="C78" s="77"/>
      <c r="D78" s="77"/>
      <c r="E78" s="77"/>
      <c r="F78" s="77"/>
      <c r="G78" s="77"/>
      <c r="H78" s="77"/>
      <c r="I78" s="77"/>
      <c r="J78" s="77"/>
      <c r="K78" s="77"/>
      <c r="L78" s="77"/>
      <c r="M78" s="77"/>
    </row>
    <row r="79" ht="15.75" customHeight="1">
      <c r="A79" s="77"/>
      <c r="B79" s="77"/>
      <c r="C79" s="77"/>
      <c r="D79" s="77"/>
      <c r="E79" s="77"/>
      <c r="F79" s="77"/>
      <c r="G79" s="77"/>
      <c r="H79" s="77"/>
      <c r="I79" s="77"/>
      <c r="J79" s="77"/>
      <c r="K79" s="77"/>
      <c r="L79" s="77"/>
      <c r="M79" s="77"/>
    </row>
    <row r="80" ht="15.75" customHeight="1">
      <c r="A80" s="77"/>
      <c r="B80" s="77"/>
      <c r="C80" s="77"/>
      <c r="D80" s="77"/>
      <c r="E80" s="77"/>
      <c r="F80" s="77"/>
      <c r="G80" s="77"/>
      <c r="H80" s="77"/>
      <c r="I80" s="77"/>
      <c r="J80" s="77"/>
      <c r="K80" s="77"/>
      <c r="L80" s="77"/>
      <c r="M80" s="77"/>
    </row>
    <row r="81" ht="15.75" customHeight="1">
      <c r="A81" s="77"/>
      <c r="B81" s="77"/>
      <c r="C81" s="77"/>
      <c r="D81" s="77"/>
      <c r="E81" s="77"/>
      <c r="F81" s="77"/>
      <c r="G81" s="77"/>
      <c r="H81" s="77"/>
      <c r="I81" s="77"/>
      <c r="J81" s="77"/>
      <c r="K81" s="77"/>
      <c r="L81" s="77"/>
      <c r="M81" s="77"/>
    </row>
    <row r="82" ht="15.75" customHeight="1">
      <c r="A82" s="77"/>
      <c r="B82" s="77"/>
      <c r="C82" s="77"/>
      <c r="D82" s="77"/>
      <c r="E82" s="77"/>
      <c r="F82" s="77"/>
      <c r="G82" s="77"/>
      <c r="H82" s="77"/>
      <c r="I82" s="77"/>
      <c r="J82" s="77"/>
      <c r="K82" s="77"/>
      <c r="L82" s="77"/>
      <c r="M82" s="77"/>
    </row>
    <row r="83" ht="15.75" customHeight="1">
      <c r="A83" s="77"/>
      <c r="B83" s="77"/>
      <c r="C83" s="77"/>
      <c r="D83" s="77"/>
      <c r="E83" s="77"/>
      <c r="F83" s="77"/>
      <c r="G83" s="77"/>
      <c r="H83" s="77"/>
      <c r="I83" s="77"/>
      <c r="J83" s="77"/>
      <c r="K83" s="77"/>
      <c r="L83" s="77"/>
      <c r="M83" s="77"/>
    </row>
    <row r="84" ht="15.75" customHeight="1">
      <c r="A84" s="77"/>
      <c r="B84" s="77"/>
      <c r="C84" s="77"/>
      <c r="D84" s="77"/>
      <c r="E84" s="77"/>
      <c r="F84" s="77"/>
      <c r="G84" s="77"/>
      <c r="H84" s="77"/>
      <c r="I84" s="77"/>
      <c r="J84" s="77"/>
      <c r="K84" s="77"/>
      <c r="L84" s="77"/>
      <c r="M84" s="77"/>
    </row>
    <row r="85" ht="15.75" customHeight="1">
      <c r="A85" s="77"/>
      <c r="B85" s="77"/>
      <c r="C85" s="77"/>
      <c r="D85" s="77"/>
      <c r="E85" s="77"/>
      <c r="F85" s="77"/>
      <c r="G85" s="77"/>
      <c r="H85" s="77"/>
      <c r="I85" s="77"/>
      <c r="J85" s="77"/>
      <c r="K85" s="77"/>
      <c r="L85" s="77"/>
      <c r="M85" s="77"/>
    </row>
    <row r="86" ht="15.75" customHeight="1">
      <c r="A86" s="77"/>
      <c r="B86" s="77"/>
      <c r="C86" s="77"/>
      <c r="D86" s="77"/>
      <c r="E86" s="77"/>
      <c r="F86" s="77"/>
      <c r="G86" s="77"/>
      <c r="H86" s="77"/>
      <c r="I86" s="77"/>
      <c r="J86" s="77"/>
      <c r="K86" s="77"/>
      <c r="L86" s="77"/>
      <c r="M86" s="77"/>
    </row>
    <row r="87" ht="15.75" customHeight="1">
      <c r="A87" s="77"/>
      <c r="B87" s="77"/>
      <c r="C87" s="77"/>
      <c r="D87" s="77"/>
      <c r="E87" s="77"/>
      <c r="F87" s="77"/>
      <c r="G87" s="77"/>
      <c r="H87" s="77"/>
      <c r="I87" s="77"/>
      <c r="J87" s="77"/>
      <c r="K87" s="77"/>
      <c r="L87" s="77"/>
      <c r="M87" s="77"/>
    </row>
    <row r="88" ht="15.75" customHeight="1">
      <c r="A88" s="77"/>
      <c r="B88" s="77"/>
      <c r="C88" s="77"/>
      <c r="D88" s="77"/>
      <c r="E88" s="77"/>
      <c r="F88" s="77"/>
      <c r="G88" s="77"/>
      <c r="H88" s="77"/>
      <c r="I88" s="77"/>
      <c r="J88" s="77"/>
      <c r="K88" s="77"/>
      <c r="L88" s="77"/>
      <c r="M88" s="77"/>
    </row>
    <row r="89" ht="15.75" customHeight="1">
      <c r="A89" s="77"/>
      <c r="B89" s="77"/>
      <c r="C89" s="77"/>
      <c r="D89" s="77"/>
      <c r="E89" s="77"/>
      <c r="F89" s="77"/>
      <c r="G89" s="77"/>
      <c r="H89" s="77"/>
      <c r="I89" s="77"/>
      <c r="J89" s="77"/>
      <c r="K89" s="77"/>
      <c r="L89" s="77"/>
      <c r="M89" s="77"/>
    </row>
    <row r="90" ht="15.75" customHeight="1">
      <c r="A90" s="77"/>
      <c r="B90" s="77"/>
      <c r="C90" s="77"/>
      <c r="D90" s="77"/>
      <c r="E90" s="77"/>
      <c r="F90" s="77"/>
      <c r="G90" s="77"/>
      <c r="H90" s="77"/>
      <c r="I90" s="77"/>
      <c r="J90" s="77"/>
      <c r="K90" s="77"/>
      <c r="L90" s="77"/>
      <c r="M90" s="77"/>
    </row>
    <row r="91" ht="15.75" customHeight="1">
      <c r="A91" s="77"/>
      <c r="B91" s="77"/>
      <c r="C91" s="77"/>
      <c r="D91" s="77"/>
      <c r="E91" s="77"/>
      <c r="F91" s="77"/>
      <c r="G91" s="77"/>
      <c r="H91" s="77"/>
      <c r="I91" s="77"/>
      <c r="J91" s="77"/>
      <c r="K91" s="77"/>
      <c r="L91" s="77"/>
      <c r="M91" s="77"/>
    </row>
    <row r="92" ht="15.75" customHeight="1">
      <c r="A92" s="77"/>
      <c r="B92" s="77"/>
      <c r="C92" s="77"/>
      <c r="D92" s="77"/>
      <c r="E92" s="77"/>
      <c r="F92" s="77"/>
      <c r="G92" s="77"/>
      <c r="H92" s="77"/>
      <c r="I92" s="77"/>
      <c r="J92" s="77"/>
      <c r="K92" s="77"/>
      <c r="L92" s="77"/>
      <c r="M92" s="77"/>
    </row>
    <row r="93" ht="15.75" customHeight="1">
      <c r="A93" s="77"/>
      <c r="B93" s="77"/>
      <c r="C93" s="77"/>
      <c r="D93" s="77"/>
      <c r="E93" s="77"/>
      <c r="F93" s="77"/>
      <c r="G93" s="77"/>
      <c r="H93" s="77"/>
      <c r="I93" s="77"/>
      <c r="J93" s="77"/>
      <c r="K93" s="77"/>
      <c r="L93" s="77"/>
      <c r="M93" s="77"/>
    </row>
    <row r="94" ht="15.75" customHeight="1">
      <c r="A94" s="77"/>
      <c r="B94" s="77"/>
      <c r="C94" s="77"/>
      <c r="D94" s="77"/>
      <c r="E94" s="77"/>
      <c r="F94" s="77"/>
      <c r="G94" s="77"/>
      <c r="H94" s="77"/>
      <c r="I94" s="77"/>
      <c r="J94" s="77"/>
      <c r="K94" s="77"/>
      <c r="L94" s="77"/>
      <c r="M94" s="77"/>
    </row>
    <row r="95" ht="15.75" customHeight="1">
      <c r="A95" s="77"/>
      <c r="B95" s="77"/>
      <c r="C95" s="77"/>
      <c r="D95" s="77"/>
      <c r="E95" s="77"/>
      <c r="F95" s="77"/>
      <c r="G95" s="77"/>
      <c r="H95" s="77"/>
      <c r="I95" s="77"/>
      <c r="J95" s="77"/>
      <c r="K95" s="77"/>
      <c r="L95" s="77"/>
      <c r="M95" s="77"/>
    </row>
    <row r="96" ht="15.75" customHeight="1">
      <c r="A96" s="77"/>
      <c r="B96" s="77"/>
      <c r="C96" s="77"/>
      <c r="D96" s="77"/>
      <c r="E96" s="77"/>
      <c r="F96" s="77"/>
      <c r="G96" s="77"/>
      <c r="H96" s="77"/>
      <c r="I96" s="77"/>
      <c r="J96" s="77"/>
      <c r="K96" s="77"/>
      <c r="L96" s="77"/>
      <c r="M96" s="77"/>
    </row>
    <row r="97" ht="15.75" customHeight="1">
      <c r="A97" s="77"/>
      <c r="B97" s="77"/>
      <c r="C97" s="77"/>
      <c r="D97" s="77"/>
      <c r="E97" s="77"/>
      <c r="F97" s="77"/>
      <c r="G97" s="77"/>
      <c r="H97" s="77"/>
      <c r="I97" s="77"/>
      <c r="J97" s="77"/>
      <c r="K97" s="77"/>
      <c r="L97" s="77"/>
      <c r="M97" s="77"/>
    </row>
    <row r="98" ht="15.75" customHeight="1">
      <c r="A98" s="77"/>
      <c r="B98" s="77"/>
      <c r="C98" s="77"/>
      <c r="D98" s="77"/>
      <c r="E98" s="77"/>
      <c r="F98" s="77"/>
      <c r="G98" s="77"/>
      <c r="H98" s="77"/>
      <c r="I98" s="77"/>
      <c r="J98" s="77"/>
      <c r="K98" s="77"/>
      <c r="L98" s="77"/>
      <c r="M98" s="77"/>
    </row>
    <row r="99" ht="15.75" customHeight="1">
      <c r="A99" s="77"/>
      <c r="B99" s="77"/>
      <c r="C99" s="77"/>
      <c r="D99" s="77"/>
      <c r="E99" s="77"/>
      <c r="F99" s="77"/>
      <c r="G99" s="77"/>
      <c r="H99" s="77"/>
      <c r="I99" s="77"/>
      <c r="J99" s="77"/>
      <c r="K99" s="77"/>
      <c r="L99" s="77"/>
      <c r="M99" s="77"/>
    </row>
    <row r="100" ht="15.75" customHeight="1">
      <c r="A100" s="77"/>
      <c r="B100" s="77"/>
      <c r="C100" s="77"/>
      <c r="D100" s="77"/>
      <c r="E100" s="77"/>
      <c r="F100" s="77"/>
      <c r="G100" s="77"/>
      <c r="H100" s="77"/>
      <c r="I100" s="77"/>
      <c r="J100" s="77"/>
      <c r="K100" s="77"/>
      <c r="L100" s="77"/>
      <c r="M100" s="7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workbookViewId="0"/>
  </sheetViews>
  <sheetFormatPr customHeight="1" defaultColWidth="12.63" defaultRowHeight="15.0"/>
  <cols>
    <col customWidth="1" min="1" max="1" width="2.38"/>
    <col customWidth="1" min="2" max="2" width="13.5"/>
    <col customWidth="1" min="3" max="3" width="20.13"/>
    <col customWidth="1" min="4" max="5" width="13.5"/>
    <col customWidth="1" min="6" max="26" width="11.25"/>
  </cols>
  <sheetData>
    <row r="1">
      <c r="A1" s="77"/>
      <c r="B1" s="77"/>
      <c r="C1" s="77"/>
      <c r="D1" s="77"/>
      <c r="E1" s="77"/>
    </row>
    <row r="2">
      <c r="A2" s="77"/>
      <c r="B2" s="826" t="s">
        <v>1515</v>
      </c>
      <c r="C2" s="321"/>
      <c r="D2" s="321"/>
      <c r="E2" s="321"/>
      <c r="F2" s="321"/>
    </row>
    <row r="3">
      <c r="A3" s="77"/>
      <c r="B3" s="77"/>
      <c r="C3" s="77"/>
      <c r="D3" s="77"/>
      <c r="E3" s="77"/>
    </row>
    <row r="4">
      <c r="A4" s="77"/>
      <c r="B4" s="77"/>
      <c r="C4" s="77"/>
      <c r="D4" s="77"/>
      <c r="E4" s="77"/>
    </row>
    <row r="5">
      <c r="A5" s="77"/>
      <c r="B5" s="827" t="s">
        <v>1516</v>
      </c>
      <c r="C5" s="827" t="s">
        <v>1517</v>
      </c>
      <c r="D5" s="827" t="s">
        <v>1518</v>
      </c>
      <c r="E5" s="827" t="s">
        <v>422</v>
      </c>
      <c r="F5" s="828" t="s">
        <v>1519</v>
      </c>
    </row>
    <row r="6">
      <c r="A6" s="77"/>
      <c r="B6" s="829" t="s">
        <v>391</v>
      </c>
      <c r="C6" s="830">
        <f>'Income Statement'!K3 / 'Income Statement'!J3 - 1</f>
        <v>0.108525475786965</v>
      </c>
      <c r="D6" s="830">
        <f>'Income Statement'!L13</f>
        <v>0.402</v>
      </c>
      <c r="E6" s="830">
        <f>'Income Statement'!L30</f>
        <v>0.470795126772069</v>
      </c>
      <c r="F6" s="831">
        <f>'Income Statement'!L13</f>
        <v>0.402</v>
      </c>
    </row>
    <row r="7">
      <c r="A7" s="77"/>
      <c r="B7" s="832" t="s">
        <v>1520</v>
      </c>
      <c r="C7" s="833">
        <f>IFERROR(('Income Statement'!K3 / 'Income Statement'!I3)^(1/3) - 1,"")</f>
        <v>0.114928898661623</v>
      </c>
      <c r="D7" s="833">
        <f>AVERAGE('Income Statement'!I13:K13)</f>
        <v>0.432166666666667</v>
      </c>
      <c r="E7" s="833">
        <f>AVERAGE('Income Statement'!I13:M13)</f>
        <v>0.424625</v>
      </c>
      <c r="F7" s="834">
        <f>MEDIAN('Income Statement'!I13:K13)</f>
        <v>0.4416</v>
      </c>
    </row>
    <row r="8">
      <c r="A8" s="77"/>
      <c r="B8" s="829" t="s">
        <v>1521</v>
      </c>
      <c r="C8" s="830">
        <f>IFERROR(('Income Statement'!K3 / 'Income Statement'!G3)^(1/5) - 1,"")</f>
        <v>0.158508745125004</v>
      </c>
      <c r="D8" s="833">
        <f>AVERAGE('Income Statement'!G13:K13)</f>
        <v>0.42716</v>
      </c>
      <c r="E8" s="833">
        <f>AVERAGE('Income Statement'!G13:M13)</f>
        <v>0.422966666666667</v>
      </c>
      <c r="F8" s="834">
        <f>MEDIAN('Income Statement'!G13:K13)</f>
        <v>0.4228</v>
      </c>
    </row>
    <row r="9">
      <c r="A9" s="77"/>
      <c r="B9" s="832" t="s">
        <v>1522</v>
      </c>
      <c r="C9" s="833">
        <f>IFERROR(('Income Statement'!K3 / 'Income Statement'!B3)^(1/10) - 1,"")</f>
        <v>0.108911009365802</v>
      </c>
      <c r="D9" s="833">
        <f>AVERAGE('Income Statement'!B13:K13)</f>
        <v>0.42865</v>
      </c>
      <c r="E9" s="833">
        <f>AVERAGE('Income Statement'!B13:M13)</f>
        <v>0.426227272727273</v>
      </c>
      <c r="F9" s="834">
        <f>MEDIAN('Income Statement'!B13:K13)</f>
        <v>0.42825</v>
      </c>
    </row>
    <row r="10">
      <c r="A10" s="77"/>
      <c r="B10" s="835" t="s">
        <v>1523</v>
      </c>
      <c r="C10" s="837">
        <f>MIN('Income Statement'!B4:K4)</f>
        <v>0.0191</v>
      </c>
      <c r="D10" s="837">
        <f>MIN('Income Statement'!B13:K13)</f>
        <v>0.413</v>
      </c>
      <c r="E10" s="837">
        <f>MIN('Income Statement'!B30:K30)</f>
        <v>0.457590256633319</v>
      </c>
      <c r="F10" s="837"/>
    </row>
    <row r="11">
      <c r="A11" s="77"/>
      <c r="B11" s="835" t="s">
        <v>1526</v>
      </c>
      <c r="C11" s="837">
        <f>MAX('Income Statement'!B4:K4)</f>
        <v>0.3484</v>
      </c>
      <c r="D11" s="837">
        <f>MAX('Income Statement'!B13:K13)</f>
        <v>0.4419</v>
      </c>
      <c r="E11" s="837">
        <f>MAX('Income Statement'!B30:K30)</f>
        <v>0.507728422841572</v>
      </c>
      <c r="F11" s="837"/>
    </row>
    <row r="12">
      <c r="A12" s="77"/>
      <c r="B12" s="77"/>
      <c r="C12" s="77"/>
      <c r="D12" s="77"/>
      <c r="E12" s="77"/>
    </row>
    <row r="13">
      <c r="A13" s="77"/>
      <c r="B13" s="77" t="s">
        <v>1537</v>
      </c>
      <c r="C13" s="77"/>
      <c r="D13" s="77"/>
      <c r="E13" s="77"/>
    </row>
    <row r="14">
      <c r="A14" s="77"/>
      <c r="B14" s="827" t="s">
        <v>1516</v>
      </c>
      <c r="C14" s="845" t="s">
        <v>1520</v>
      </c>
      <c r="D14" s="827" t="s">
        <v>1521</v>
      </c>
      <c r="E14" s="827" t="s">
        <v>1518</v>
      </c>
      <c r="F14" s="827" t="s">
        <v>422</v>
      </c>
    </row>
    <row r="15">
      <c r="A15" s="77"/>
      <c r="B15" s="847" t="s">
        <v>1545</v>
      </c>
      <c r="C15" s="830">
        <f>MIN(Sector!L2:L7)</f>
        <v>-0.148</v>
      </c>
      <c r="D15" s="830">
        <f>MIN(Sector!M2:M7)</f>
        <v>0.0457</v>
      </c>
      <c r="E15" s="830">
        <f>MIN(Sector!K2:K11)</f>
        <v>0.2116</v>
      </c>
      <c r="F15" s="830"/>
    </row>
    <row r="16">
      <c r="A16" s="77"/>
      <c r="B16" s="829" t="s">
        <v>1547</v>
      </c>
      <c r="C16" s="830">
        <f>QUARTILE(Sector!L2:L7,1)</f>
        <v>0.036</v>
      </c>
      <c r="D16" s="830">
        <f>QUARTILE(Sector!M2:M7,1)</f>
        <v>0.078575</v>
      </c>
      <c r="E16" s="830">
        <f>QUARTILE(Sector!K2:K11,1)</f>
        <v>0.2529</v>
      </c>
      <c r="F16" s="830" t="e">
        <f>QUARTILE(Sector!N2:N7,1)</f>
        <v>#VALUE!</v>
      </c>
    </row>
    <row r="17">
      <c r="A17" s="77"/>
      <c r="B17" s="832" t="s">
        <v>1110</v>
      </c>
      <c r="C17" s="830">
        <f>QUARTILE(Sector!L2:L7,2)</f>
        <v>0.0743</v>
      </c>
      <c r="D17" s="830">
        <f>QUARTILE(Sector!M2:M7,2)</f>
        <v>0.0893</v>
      </c>
      <c r="E17" s="830">
        <f>QUARTILE(Sector!K2:K11,2)</f>
        <v>0.3149</v>
      </c>
      <c r="F17" s="830" t="e">
        <f>QUARTILE(Sector!N2:N7,2)</f>
        <v>#VALUE!</v>
      </c>
    </row>
    <row r="18">
      <c r="A18" s="77"/>
      <c r="B18" s="829" t="s">
        <v>1552</v>
      </c>
      <c r="C18" s="830">
        <f>QUARTILE(Sector!L2:L7,3)</f>
        <v>0.112825</v>
      </c>
      <c r="D18" s="830">
        <f>QUARTILE(Sector!M2:M7,3)</f>
        <v>0.152075</v>
      </c>
      <c r="E18" s="830">
        <f>QUARTILE(Sector!K2:K11,3)</f>
        <v>0.3481</v>
      </c>
      <c r="F18" s="830" t="e">
        <f>QUARTILE(Sector!N2:N7,3)</f>
        <v>#VALUE!</v>
      </c>
    </row>
    <row r="19">
      <c r="A19" s="77"/>
      <c r="B19" s="832" t="s">
        <v>1553</v>
      </c>
      <c r="C19" s="830">
        <f>QUARTILE(Sector!L2:L7,4)</f>
        <v>0.3169</v>
      </c>
      <c r="D19" s="830">
        <f>QUARTILE(Sector!M2:M7,4)</f>
        <v>0.2158</v>
      </c>
      <c r="E19" s="830">
        <f>QUARTILE(Sector!K2:K11,4)</f>
        <v>0.4972</v>
      </c>
      <c r="F19" s="830" t="e">
        <f>QUARTILE(Sector!N2:N7,4)</f>
        <v>#VALUE!</v>
      </c>
    </row>
    <row r="20">
      <c r="A20" s="77"/>
      <c r="B20" s="835" t="s">
        <v>1105</v>
      </c>
      <c r="C20" s="852">
        <f>AVERAGE(Sector!L2:L7)</f>
        <v>0.0777333333333333</v>
      </c>
      <c r="D20" s="852">
        <f>AVERAGE(Sector!M2:M7)</f>
        <v>0.114683333333333</v>
      </c>
      <c r="E20" s="852">
        <f>AVERAGE(Sector!K2:K11)</f>
        <v>0.321666666666667</v>
      </c>
      <c r="F20" s="852"/>
    </row>
    <row r="21">
      <c r="A21" s="77"/>
      <c r="B21" s="77"/>
      <c r="C21" s="77"/>
      <c r="D21" s="77"/>
      <c r="E21" s="77"/>
    </row>
    <row r="22">
      <c r="A22" s="77"/>
      <c r="B22" s="77"/>
      <c r="C22" s="77"/>
      <c r="D22" s="77"/>
      <c r="E22" s="77"/>
    </row>
    <row r="23">
      <c r="A23" s="77"/>
      <c r="B23" s="77"/>
      <c r="C23" s="77"/>
      <c r="D23" s="77"/>
      <c r="E23" s="77"/>
    </row>
    <row r="24">
      <c r="A24" s="77"/>
      <c r="B24" s="77"/>
      <c r="C24" s="77"/>
      <c r="D24" s="77"/>
      <c r="E24" s="77"/>
    </row>
    <row r="25" ht="15.75" customHeight="1">
      <c r="A25" s="77"/>
      <c r="B25" s="77"/>
      <c r="C25" s="77"/>
      <c r="D25" s="77"/>
      <c r="E25" s="77"/>
    </row>
    <row r="26" ht="15.75" customHeight="1">
      <c r="A26" s="77"/>
      <c r="B26" s="77"/>
      <c r="C26" s="77"/>
      <c r="D26" s="77"/>
      <c r="E26" s="77"/>
    </row>
    <row r="27" ht="15.75" customHeight="1">
      <c r="A27" s="77"/>
      <c r="B27" s="77"/>
      <c r="C27" s="77"/>
      <c r="D27" s="77"/>
      <c r="E27" s="77"/>
    </row>
    <row r="28" ht="15.75" customHeight="1">
      <c r="A28" s="77"/>
      <c r="B28" s="77"/>
      <c r="C28" s="77"/>
      <c r="D28" s="77"/>
      <c r="E28" s="77"/>
    </row>
    <row r="29" ht="15.75" customHeight="1">
      <c r="A29" s="77"/>
      <c r="B29" s="77"/>
      <c r="C29" s="77"/>
      <c r="D29" s="77"/>
      <c r="E29" s="77"/>
    </row>
    <row r="30" ht="15.75" customHeight="1">
      <c r="A30" s="77"/>
      <c r="B30" s="77"/>
      <c r="C30" s="77"/>
      <c r="D30" s="77"/>
      <c r="E30" s="77"/>
    </row>
    <row r="31" ht="15.75" customHeight="1">
      <c r="A31" s="77"/>
      <c r="B31" s="77"/>
      <c r="C31" s="77"/>
      <c r="D31" s="77"/>
      <c r="E31" s="77"/>
    </row>
    <row r="32" ht="15.75" customHeight="1">
      <c r="A32" s="77"/>
      <c r="B32" s="77"/>
      <c r="C32" s="77"/>
      <c r="D32" s="77"/>
      <c r="E32" s="77"/>
    </row>
    <row r="33" ht="15.75" customHeight="1">
      <c r="A33" s="77"/>
      <c r="B33" s="77"/>
      <c r="C33" s="77"/>
      <c r="D33" s="77"/>
      <c r="E33" s="77"/>
    </row>
    <row r="34" ht="15.75" customHeight="1">
      <c r="A34" s="77"/>
      <c r="B34" s="77"/>
      <c r="C34" s="77"/>
      <c r="D34" s="77"/>
      <c r="E34" s="77"/>
    </row>
    <row r="35" ht="15.75" customHeight="1">
      <c r="A35" s="77"/>
      <c r="B35" s="77"/>
      <c r="C35" s="77"/>
      <c r="D35" s="77"/>
      <c r="E35" s="77"/>
    </row>
    <row r="36" ht="15.75" customHeight="1">
      <c r="A36" s="77"/>
      <c r="B36" s="77"/>
      <c r="C36" s="77"/>
      <c r="D36" s="77"/>
      <c r="E36" s="77"/>
    </row>
    <row r="37" ht="15.75" customHeight="1">
      <c r="A37" s="77"/>
      <c r="B37" s="77"/>
      <c r="C37" s="77"/>
      <c r="D37" s="77"/>
      <c r="E37" s="77"/>
    </row>
    <row r="38" ht="15.75" customHeight="1">
      <c r="A38" s="77"/>
      <c r="B38" s="77"/>
      <c r="C38" s="77"/>
      <c r="D38" s="77"/>
      <c r="E38" s="77"/>
    </row>
    <row r="39" ht="15.75" customHeight="1">
      <c r="A39" s="77"/>
      <c r="B39" s="77"/>
      <c r="C39" s="77"/>
      <c r="D39" s="77"/>
      <c r="E39" s="77"/>
    </row>
    <row r="40" ht="15.75" customHeight="1">
      <c r="A40" s="77"/>
      <c r="B40" s="77"/>
      <c r="C40" s="77"/>
      <c r="D40" s="77"/>
      <c r="E40" s="77"/>
    </row>
    <row r="41" ht="15.75" customHeight="1">
      <c r="A41" s="77"/>
      <c r="B41" s="77"/>
      <c r="C41" s="77"/>
      <c r="D41" s="77"/>
      <c r="E41" s="77"/>
    </row>
    <row r="42" ht="15.75" customHeight="1">
      <c r="A42" s="77"/>
      <c r="B42" s="77"/>
      <c r="C42" s="77"/>
      <c r="D42" s="77"/>
      <c r="E42" s="77"/>
    </row>
    <row r="43" ht="15.75" customHeight="1">
      <c r="A43" s="77"/>
      <c r="B43" s="77"/>
      <c r="C43" s="77"/>
      <c r="D43" s="77"/>
      <c r="E43" s="77"/>
    </row>
    <row r="44" ht="15.75" customHeight="1">
      <c r="A44" s="77"/>
      <c r="B44" s="77"/>
      <c r="C44" s="77"/>
      <c r="D44" s="77"/>
      <c r="E44" s="77"/>
    </row>
    <row r="45" ht="15.75" customHeight="1">
      <c r="A45" s="77"/>
      <c r="B45" s="77"/>
      <c r="C45" s="77"/>
      <c r="D45" s="77"/>
      <c r="E45" s="77"/>
    </row>
    <row r="46" ht="15.75" customHeight="1">
      <c r="A46" s="77"/>
      <c r="B46" s="77"/>
      <c r="C46" s="77"/>
      <c r="D46" s="77"/>
      <c r="E46" s="77"/>
    </row>
    <row r="47" ht="15.75" customHeight="1">
      <c r="A47" s="77"/>
      <c r="B47" s="77"/>
      <c r="C47" s="77"/>
      <c r="D47" s="77"/>
      <c r="E47" s="77"/>
    </row>
    <row r="48" ht="15.75" customHeight="1">
      <c r="A48" s="77"/>
      <c r="B48" s="77"/>
      <c r="C48" s="77"/>
      <c r="D48" s="77"/>
      <c r="E48" s="77"/>
    </row>
    <row r="49" ht="15.75" customHeight="1">
      <c r="A49" s="77"/>
      <c r="B49" s="77"/>
      <c r="C49" s="77"/>
      <c r="D49" s="77"/>
      <c r="E49" s="77"/>
    </row>
    <row r="50" ht="15.75" customHeight="1">
      <c r="A50" s="77"/>
      <c r="B50" s="77"/>
      <c r="C50" s="77"/>
      <c r="D50" s="77"/>
      <c r="E50" s="77"/>
    </row>
    <row r="51" ht="15.75" customHeight="1">
      <c r="A51" s="77"/>
      <c r="B51" s="77"/>
      <c r="C51" s="77"/>
      <c r="D51" s="77"/>
      <c r="E51" s="77"/>
    </row>
    <row r="52" ht="15.75" customHeight="1">
      <c r="A52" s="77"/>
      <c r="B52" s="77"/>
      <c r="C52" s="77"/>
      <c r="D52" s="77"/>
      <c r="E52" s="77"/>
    </row>
    <row r="53" ht="15.75" customHeight="1">
      <c r="A53" s="77"/>
      <c r="B53" s="77"/>
      <c r="C53" s="77"/>
      <c r="D53" s="77"/>
      <c r="E53" s="77"/>
    </row>
    <row r="54" ht="15.75" customHeight="1">
      <c r="A54" s="77"/>
      <c r="B54" s="77"/>
      <c r="C54" s="77"/>
      <c r="D54" s="77"/>
      <c r="E54" s="77"/>
    </row>
    <row r="55" ht="15.75" customHeight="1">
      <c r="A55" s="77"/>
      <c r="B55" s="77"/>
      <c r="C55" s="77"/>
      <c r="D55" s="77"/>
      <c r="E55" s="77"/>
    </row>
    <row r="56" ht="15.75" customHeight="1">
      <c r="A56" s="77"/>
      <c r="B56" s="77"/>
      <c r="C56" s="77"/>
      <c r="D56" s="77"/>
      <c r="E56" s="77"/>
    </row>
    <row r="57" ht="15.75" customHeight="1">
      <c r="A57" s="77"/>
      <c r="B57" s="77"/>
      <c r="C57" s="77"/>
      <c r="D57" s="77"/>
      <c r="E57" s="77"/>
    </row>
    <row r="58" ht="15.75" customHeight="1">
      <c r="A58" s="77"/>
      <c r="B58" s="77"/>
      <c r="C58" s="77"/>
      <c r="D58" s="77"/>
      <c r="E58" s="77"/>
    </row>
    <row r="59" ht="15.75" customHeight="1">
      <c r="A59" s="77"/>
      <c r="B59" s="77"/>
      <c r="C59" s="77"/>
      <c r="D59" s="77"/>
      <c r="E59" s="77"/>
    </row>
    <row r="60" ht="15.75" customHeight="1">
      <c r="A60" s="77"/>
      <c r="B60" s="77"/>
      <c r="C60" s="77"/>
      <c r="D60" s="77"/>
      <c r="E60" s="77"/>
    </row>
    <row r="61" ht="15.75" customHeight="1">
      <c r="A61" s="77"/>
      <c r="B61" s="77"/>
      <c r="C61" s="77"/>
      <c r="D61" s="77"/>
      <c r="E61" s="77"/>
    </row>
    <row r="62" ht="15.75" customHeight="1">
      <c r="A62" s="77"/>
      <c r="B62" s="77"/>
      <c r="C62" s="77"/>
      <c r="D62" s="77"/>
      <c r="E62" s="77"/>
    </row>
    <row r="63" ht="15.75" customHeight="1">
      <c r="A63" s="77"/>
      <c r="B63" s="77"/>
      <c r="C63" s="77"/>
      <c r="D63" s="77"/>
      <c r="E63" s="77"/>
    </row>
    <row r="64" ht="15.75" customHeight="1">
      <c r="A64" s="77"/>
      <c r="B64" s="77"/>
      <c r="C64" s="77"/>
      <c r="D64" s="77"/>
      <c r="E64" s="77"/>
    </row>
    <row r="65" ht="15.75" customHeight="1">
      <c r="A65" s="77"/>
      <c r="B65" s="77"/>
      <c r="C65" s="77"/>
      <c r="D65" s="77"/>
      <c r="E65" s="77"/>
    </row>
    <row r="66" ht="15.75" customHeight="1">
      <c r="A66" s="77"/>
      <c r="B66" s="77"/>
      <c r="C66" s="77"/>
      <c r="D66" s="77"/>
      <c r="E66" s="77"/>
    </row>
    <row r="67" ht="15.75" customHeight="1">
      <c r="A67" s="77"/>
      <c r="B67" s="77"/>
      <c r="C67" s="77"/>
      <c r="D67" s="77"/>
      <c r="E67" s="77"/>
    </row>
    <row r="68" ht="15.75" customHeight="1">
      <c r="A68" s="77"/>
      <c r="B68" s="77"/>
      <c r="C68" s="77"/>
      <c r="D68" s="77"/>
      <c r="E68" s="77"/>
    </row>
    <row r="69" ht="15.75" customHeight="1">
      <c r="A69" s="77"/>
      <c r="B69" s="77"/>
      <c r="C69" s="77"/>
      <c r="D69" s="77"/>
      <c r="E69" s="77"/>
    </row>
    <row r="70" ht="15.75" customHeight="1">
      <c r="A70" s="77"/>
      <c r="B70" s="77"/>
      <c r="C70" s="77"/>
      <c r="D70" s="77"/>
      <c r="E70" s="77"/>
    </row>
    <row r="71" ht="15.75" customHeight="1">
      <c r="A71" s="77"/>
      <c r="B71" s="77"/>
      <c r="C71" s="77"/>
      <c r="D71" s="77"/>
      <c r="E71" s="77"/>
    </row>
    <row r="72" ht="15.75" customHeight="1">
      <c r="A72" s="77"/>
      <c r="B72" s="77"/>
      <c r="C72" s="77"/>
      <c r="D72" s="77"/>
      <c r="E72" s="77"/>
    </row>
    <row r="73" ht="15.75" customHeight="1">
      <c r="A73" s="77"/>
      <c r="B73" s="77"/>
      <c r="C73" s="77"/>
      <c r="D73" s="77"/>
      <c r="E73" s="77"/>
    </row>
    <row r="74" ht="15.75" customHeight="1">
      <c r="A74" s="77"/>
      <c r="B74" s="77"/>
      <c r="C74" s="77"/>
      <c r="D74" s="77"/>
      <c r="E74" s="77"/>
    </row>
    <row r="75" ht="15.75" customHeight="1">
      <c r="A75" s="77"/>
      <c r="B75" s="77"/>
      <c r="C75" s="77"/>
      <c r="D75" s="77"/>
      <c r="E75" s="77"/>
    </row>
    <row r="76" ht="15.75" customHeight="1">
      <c r="A76" s="77"/>
      <c r="B76" s="77"/>
      <c r="C76" s="77"/>
      <c r="D76" s="77"/>
      <c r="E76" s="77"/>
    </row>
    <row r="77" ht="15.75" customHeight="1">
      <c r="A77" s="77"/>
      <c r="B77" s="77"/>
      <c r="C77" s="77"/>
      <c r="D77" s="77"/>
      <c r="E77" s="77"/>
    </row>
    <row r="78" ht="15.75" customHeight="1">
      <c r="A78" s="77"/>
      <c r="B78" s="77"/>
      <c r="C78" s="77"/>
      <c r="D78" s="77"/>
      <c r="E78" s="77"/>
    </row>
    <row r="79" ht="15.75" customHeight="1">
      <c r="A79" s="77"/>
      <c r="B79" s="77"/>
      <c r="C79" s="77"/>
      <c r="D79" s="77"/>
      <c r="E79" s="77"/>
    </row>
    <row r="80" ht="15.75" customHeight="1">
      <c r="A80" s="77"/>
      <c r="B80" s="77"/>
      <c r="C80" s="77"/>
      <c r="D80" s="77"/>
      <c r="E80" s="77"/>
    </row>
    <row r="81" ht="15.75" customHeight="1">
      <c r="A81" s="77"/>
      <c r="B81" s="77"/>
      <c r="C81" s="77"/>
      <c r="D81" s="77"/>
      <c r="E81" s="77"/>
    </row>
    <row r="82" ht="15.75" customHeight="1">
      <c r="A82" s="77"/>
      <c r="B82" s="77"/>
      <c r="C82" s="77"/>
      <c r="D82" s="77"/>
      <c r="E82" s="77"/>
    </row>
    <row r="83" ht="15.75" customHeight="1">
      <c r="A83" s="77"/>
      <c r="B83" s="77"/>
      <c r="C83" s="77"/>
      <c r="D83" s="77"/>
      <c r="E83" s="77"/>
    </row>
    <row r="84" ht="15.75" customHeight="1">
      <c r="A84" s="77"/>
      <c r="B84" s="77"/>
      <c r="C84" s="77"/>
      <c r="D84" s="77"/>
      <c r="E84" s="77"/>
    </row>
    <row r="85" ht="15.75" customHeight="1">
      <c r="A85" s="77"/>
      <c r="B85" s="77"/>
      <c r="C85" s="77"/>
      <c r="D85" s="77"/>
      <c r="E85" s="77"/>
    </row>
    <row r="86" ht="15.75" customHeight="1">
      <c r="A86" s="77"/>
      <c r="B86" s="77"/>
      <c r="C86" s="77"/>
      <c r="D86" s="77"/>
      <c r="E86" s="77"/>
    </row>
    <row r="87" ht="15.75" customHeight="1">
      <c r="A87" s="77"/>
      <c r="B87" s="77"/>
      <c r="C87" s="77"/>
      <c r="D87" s="77"/>
      <c r="E87" s="77"/>
    </row>
    <row r="88" ht="15.75" customHeight="1">
      <c r="A88" s="77"/>
      <c r="B88" s="77"/>
      <c r="C88" s="77"/>
      <c r="D88" s="77"/>
      <c r="E88" s="77"/>
    </row>
    <row r="89" ht="15.75" customHeight="1">
      <c r="A89" s="77"/>
      <c r="B89" s="77"/>
      <c r="C89" s="77"/>
      <c r="D89" s="77"/>
      <c r="E89" s="77"/>
    </row>
    <row r="90" ht="15.75" customHeight="1">
      <c r="A90" s="77"/>
      <c r="B90" s="77"/>
      <c r="C90" s="77"/>
      <c r="D90" s="77"/>
      <c r="E90" s="77"/>
    </row>
    <row r="91" ht="15.75" customHeight="1">
      <c r="A91" s="77"/>
      <c r="B91" s="77"/>
      <c r="C91" s="77"/>
      <c r="D91" s="77"/>
      <c r="E91" s="77"/>
    </row>
    <row r="92" ht="15.75" customHeight="1">
      <c r="A92" s="77"/>
      <c r="B92" s="77"/>
      <c r="C92" s="77"/>
      <c r="D92" s="77"/>
      <c r="E92" s="77"/>
    </row>
    <row r="93" ht="15.75" customHeight="1">
      <c r="A93" s="77"/>
      <c r="B93" s="77"/>
      <c r="C93" s="77"/>
      <c r="D93" s="77"/>
      <c r="E93" s="77"/>
    </row>
    <row r="94" ht="15.75" customHeight="1">
      <c r="A94" s="77"/>
      <c r="B94" s="77"/>
      <c r="C94" s="77"/>
      <c r="D94" s="77"/>
      <c r="E94" s="77"/>
    </row>
    <row r="95" ht="15.75" customHeight="1">
      <c r="A95" s="77"/>
      <c r="B95" s="77"/>
      <c r="C95" s="77"/>
      <c r="D95" s="77"/>
      <c r="E95" s="77"/>
    </row>
    <row r="96" ht="15.75" customHeight="1">
      <c r="A96" s="77"/>
      <c r="B96" s="77"/>
      <c r="C96" s="77"/>
      <c r="D96" s="77"/>
      <c r="E96" s="77"/>
    </row>
    <row r="97" ht="15.75" customHeight="1">
      <c r="A97" s="77"/>
      <c r="B97" s="77"/>
      <c r="C97" s="77"/>
      <c r="D97" s="77"/>
      <c r="E97" s="77"/>
    </row>
    <row r="98" ht="15.75" customHeight="1">
      <c r="A98" s="77"/>
      <c r="B98" s="77"/>
      <c r="C98" s="77"/>
      <c r="D98" s="77"/>
      <c r="E98" s="77"/>
    </row>
    <row r="99" ht="15.75" customHeight="1">
      <c r="A99" s="77"/>
      <c r="B99" s="77"/>
      <c r="C99" s="77"/>
      <c r="D99" s="77"/>
      <c r="E99" s="77"/>
    </row>
    <row r="100" ht="15.75" customHeight="1">
      <c r="A100" s="77"/>
      <c r="B100" s="77"/>
      <c r="C100" s="77"/>
      <c r="D100" s="77"/>
      <c r="E100" s="77"/>
    </row>
    <row r="101" ht="15.75" customHeight="1">
      <c r="A101" s="77"/>
      <c r="B101" s="77"/>
      <c r="C101" s="77"/>
      <c r="D101" s="77"/>
      <c r="E101" s="77"/>
    </row>
    <row r="102" ht="15.75" customHeight="1">
      <c r="A102" s="77"/>
      <c r="B102" s="77"/>
      <c r="C102" s="77"/>
      <c r="D102" s="77"/>
      <c r="E102" s="77"/>
    </row>
    <row r="103" ht="15.75" customHeight="1">
      <c r="A103" s="77"/>
      <c r="B103" s="77"/>
      <c r="C103" s="77"/>
      <c r="D103" s="77"/>
      <c r="E103" s="77"/>
    </row>
    <row r="104" ht="15.75" customHeight="1">
      <c r="A104" s="77"/>
      <c r="B104" s="77"/>
      <c r="C104" s="77"/>
      <c r="D104" s="77"/>
      <c r="E104" s="77"/>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B2:F2"/>
  </mergeCells>
  <printOptions/>
  <pageMargins bottom="1.0" footer="0.0" header="0.0" left="0.75" right="0.75" top="1.0"/>
  <pageSetup orientation="landscape"/>
  <drawing r:id="rId1"/>
  <tableParts count="2">
    <tablePart r:id="rId4"/>
    <tablePart r:id="rId5"/>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63"/>
    <col customWidth="1" min="2" max="2" width="18.88"/>
    <col customWidth="1" min="3" max="3" width="13.88"/>
    <col customWidth="1" min="4" max="4" width="70.13"/>
    <col customWidth="1" min="5" max="8" width="13.88"/>
  </cols>
  <sheetData>
    <row r="1">
      <c r="A1" s="836" t="str">
        <f>'Input sheet'!A1</f>
        <v>Novo Nordisk (NYSE:NVO)</v>
      </c>
      <c r="C1" s="1" t="s">
        <v>57</v>
      </c>
      <c r="D1" s="838">
        <f>'Input sheet'!D1</f>
        <v>39.4</v>
      </c>
    </row>
    <row r="2">
      <c r="A2" s="839" t="s">
        <v>1524</v>
      </c>
    </row>
    <row r="3">
      <c r="A3" s="840" t="s">
        <v>1525</v>
      </c>
    </row>
    <row r="5">
      <c r="A5" s="841" t="s">
        <v>15</v>
      </c>
      <c r="B5" s="841" t="s">
        <v>1529</v>
      </c>
      <c r="C5" s="841" t="s">
        <v>1530</v>
      </c>
      <c r="D5" s="841" t="s">
        <v>1531</v>
      </c>
      <c r="E5" s="841" t="s">
        <v>1532</v>
      </c>
      <c r="F5" s="841" t="s">
        <v>1534</v>
      </c>
      <c r="G5" s="841" t="s">
        <v>1536</v>
      </c>
      <c r="H5" s="841" t="s">
        <v>1538</v>
      </c>
    </row>
    <row r="6">
      <c r="A6" s="842" t="s">
        <v>1539</v>
      </c>
      <c r="B6" s="843">
        <f>'Input sheet'!B27</f>
        <v>-0.04</v>
      </c>
      <c r="C6" s="844">
        <v>-0.04</v>
      </c>
      <c r="D6" s="848" t="inlineStr">
        <is>
          <t xml:space="preserve">Guía 2026 ventas ajustadas 0% a -6% TCC (4-ago-2026) + recorte de precio de lista EE. UU. ene-2027; LTM ajustado en USD a tipo medio 6,405.</t>
        </is>
      </c>
      <c r="E6" s="850">
        <f>'Crecimiento y Márgenes'!C10</f>
        <v>0.0191</v>
      </c>
      <c r="F6" s="850">
        <f>'Crecimiento y Márgenes'!C11</f>
        <v>0.3484</v>
      </c>
      <c r="G6" s="850">
        <f>'Crecimiento y Márgenes'!C17</f>
        <v>0.0743</v>
      </c>
      <c r="H6" s="850">
        <f>'Crecimiento y Márgenes'!C20</f>
        <v>0.0777333333333333</v>
      </c>
    </row>
    <row r="7">
      <c r="A7" s="842" t="s">
        <v>1546</v>
      </c>
      <c r="B7" s="843">
        <f>'Input sheet'!B28</f>
        <v>0.474987948135717</v>
      </c>
      <c r="C7" s="844">
        <f>'Valuation output'!B6-0.02</f>
        <v>0.474987948135717</v>
      </c>
      <c r="D7" s="848" t="inlineStr">
        <is>
          <t xml:space="preserve">Predeterminado (B6-2 pp = 47,5% con I+D capitalizada). Margen EBIT IFRS ajustado LTM 40,2%; margen ajustado H1 2026 de la compañía 44,6%.</t>
        </is>
      </c>
      <c r="E7" s="850">
        <f>'Crecimiento y Márgenes'!D10</f>
        <v>0.413</v>
      </c>
      <c r="F7" s="850">
        <f>'Crecimiento y Márgenes'!D11</f>
        <v>0.4419</v>
      </c>
      <c r="G7" s="850">
        <f>'Crecimiento y Márgenes'!E17</f>
        <v>0.3149</v>
      </c>
      <c r="H7" s="850">
        <f>'Crecimiento y Márgenes'!E20</f>
        <v>0.321666666666667</v>
      </c>
    </row>
    <row r="8">
      <c r="A8" s="842" t="s">
        <v>1548</v>
      </c>
      <c r="B8" s="843">
        <f>'Input sheet'!B29</f>
        <v>0.035</v>
      </c>
      <c r="C8" s="844">
        <v>0.035</v>
      </c>
      <c r="D8" s="848" t="inlineStr">
        <is>
          <t xml:space="preserve">CMD 21-sep-2026: TCAC 2026-30 en línea con pares (mediana de consenso 3 años de pares ~4,6%); descuento por reajuste de precio y patente EE. UU. 2032.</t>
        </is>
      </c>
      <c r="E8" s="850">
        <f>'Crecimiento y Márgenes'!C10</f>
        <v>0.0191</v>
      </c>
      <c r="F8" s="850">
        <f>'Crecimiento y Márgenes'!C11</f>
        <v>0.3484</v>
      </c>
      <c r="G8" s="850">
        <f>'Crecimiento y Márgenes'!C17</f>
        <v>0.0743</v>
      </c>
      <c r="H8" s="850">
        <f>'Crecimiento y Márgenes'!C20</f>
        <v>0.0777333333333333</v>
      </c>
    </row>
    <row r="9">
      <c r="A9" s="842" t="s">
        <v>1549</v>
      </c>
      <c r="B9" s="843">
        <f>'Input sheet'!B30</f>
        <v>0.45</v>
      </c>
      <c r="C9" s="844">
        <v>0.45</v>
      </c>
      <c r="D9" s="848" t="inlineStr">
        <is>
          <t xml:space="preserve">CMD: margen operativo "ampliamente estable". Objetivo 2,5 pp bajo el año 1 por erosión de precio; sin expansión.</t>
        </is>
      </c>
      <c r="E9" s="850">
        <f>'Crecimiento y Márgenes'!D10</f>
        <v>0.413</v>
      </c>
      <c r="F9" s="850">
        <f>'Crecimiento y Márgenes'!D11</f>
        <v>0.4419</v>
      </c>
      <c r="G9" s="850">
        <f>'Crecimiento y Márgenes'!E17</f>
        <v>0.3149</v>
      </c>
      <c r="H9" s="850">
        <f>'Crecimiento y Márgenes'!E20</f>
        <v>0.321666666666667</v>
      </c>
    </row>
    <row r="10">
      <c r="A10" s="842" t="s">
        <v>253</v>
      </c>
      <c r="B10" s="851">
        <f>'Input sheet'!B31</f>
        <v>5.0</v>
      </c>
      <c r="C10" s="844">
        <v>5</v>
      </c>
      <c r="D10" s="848" t="inlineStr">
        <is>
          <t xml:space="preserve">Predeterminado; la presión de precio (2027) y la expiración de patente (2031-32) caen dentro de 5-6 años.</t>
        </is>
      </c>
    </row>
    <row r="11">
      <c r="A11" s="842" t="s">
        <v>1550</v>
      </c>
      <c r="B11" s="851">
        <f>'Input sheet'!B32</f>
        <v>0.8</v>
      </c>
      <c r="C11" s="844">
        <v>0.8</v>
      </c>
      <c r="D11" s="848" t="inlineStr">
        <is>
          <t xml:space="preserve">Entrada manual: capex 2025-26 de DKK 55-60 mil M/año; ingresos/capital invertido actual 0,61x (con I+D capitalizada).</t>
        </is>
      </c>
    </row>
    <row r="12">
      <c r="A12" s="842" t="s">
        <v>1551</v>
      </c>
      <c r="B12" s="851">
        <f>'Input sheet'!B33</f>
        <v>1.06978985539705</v>
      </c>
      <c r="C12" s="844">
        <f>'Input sheet'!K28</f>
        <v>1.06978985539705</v>
      </c>
      <c r="D12" s="848" t="inlineStr">
        <is>
          <t xml:space="preserve">Mediana global Drugs (Pharmaceutical) de Damodaran (1,07x) al normalizarse el capex.</t>
        </is>
      </c>
    </row>
  </sheetData>
  <mergeCells count="1">
    <mergeCell ref="A3:D3"/>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8"/>
    <col customWidth="1" min="2" max="4" width="18.88"/>
    <col customWidth="1" min="5" max="5" width="27.63"/>
    <col customWidth="1" min="6" max="13" width="13.25"/>
  </cols>
  <sheetData>
    <row r="1">
      <c r="A1" s="836" t="str">
        <f>'Input sheet'!A1</f>
        <v>Novo Nordisk (NYSE:NVO)</v>
      </c>
      <c r="C1" s="1" t="s">
        <v>57</v>
      </c>
      <c r="D1" s="838">
        <f>'Input sheet'!D1</f>
        <v>39.4</v>
      </c>
    </row>
    <row r="2">
      <c r="A2" s="839" t="s">
        <v>1527</v>
      </c>
    </row>
    <row r="3">
      <c r="A3" s="840" t="s">
        <v>1528</v>
      </c>
    </row>
    <row r="5">
      <c r="A5" s="841" t="s">
        <v>91</v>
      </c>
      <c r="B5" s="841" t="s">
        <v>1533</v>
      </c>
      <c r="C5" s="841" t="s">
        <v>1535</v>
      </c>
      <c r="D5" s="841" t="s">
        <v>1540</v>
      </c>
      <c r="E5" s="841" t="s">
        <v>1541</v>
      </c>
      <c r="F5" s="841" t="s">
        <v>394</v>
      </c>
      <c r="G5" s="841" t="s">
        <v>1542</v>
      </c>
      <c r="H5" s="841" t="s">
        <v>1543</v>
      </c>
      <c r="I5" s="841" t="s">
        <v>1544</v>
      </c>
      <c r="J5" s="841" t="s">
        <v>1523</v>
      </c>
      <c r="K5" s="841" t="s">
        <v>1526</v>
      </c>
      <c r="L5" s="841" t="s">
        <v>1538</v>
      </c>
      <c r="M5" s="841" t="s">
        <v>1536</v>
      </c>
    </row>
    <row r="6">
      <c r="A6" s="846" t="s">
        <v>108</v>
      </c>
      <c r="B6" s="849">
        <f>EVFCFF!F8</f>
        <v>24.6138448816512</v>
      </c>
      <c r="C6" s="849">
        <f>EVFCFF!F19</f>
        <v>27.348716535168</v>
      </c>
      <c r="D6" s="849">
        <f>EVFCFF!F30</f>
        <v>30.0835881886847</v>
      </c>
      <c r="E6" s="836" t="str">
        <f>IF(COUNTA(EVFCFF!J8,EVFCFF!J30)&gt;0,"Sí — revisar","No (automático)")</f>
        <v>No (automático)</v>
      </c>
      <c r="F6" s="849">
        <f>AVERAGE('Trailing Valuation'!I24:K24)</f>
        <v>34.3092514381215</v>
      </c>
      <c r="G6" s="849">
        <f>AVERAGE('Trailing Valuation'!G24:K24)</f>
        <v>33.7520205619783</v>
      </c>
      <c r="H6" s="849">
        <f>AVERAGE('Trailing Valuation'!B24:K24)</f>
        <v>27.5760109802518</v>
      </c>
      <c r="I6" s="849">
        <f>MEDIAN('Trailing Valuation'!B24:K24)</f>
        <v>26.5185641742561</v>
      </c>
      <c r="J6" s="849">
        <f>MIN('Trailing Valuation'!B24:K24)</f>
        <v>14.4530102790015</v>
      </c>
      <c r="K6" s="849">
        <f>MAX('Trailing Valuation'!B24:K24)</f>
        <v>38.4386464070068</v>
      </c>
      <c r="L6" s="849">
        <f>AVERAGE(Sector!G2:G7)</f>
        <v>28.1583333333333</v>
      </c>
      <c r="M6" s="849">
        <f>MEDIAN(Sector!G2:G7)</f>
        <v>26.07</v>
      </c>
    </row>
    <row r="7">
      <c r="A7" s="846" t="s">
        <v>111</v>
      </c>
      <c r="B7" s="849">
        <f>POCF!F8</f>
        <v>11.1515444445051</v>
      </c>
      <c r="C7" s="849">
        <f>POCF!F19</f>
        <v>12.3906049383389</v>
      </c>
      <c r="D7" s="849">
        <f>POCF!F30</f>
        <v>13.6296654321728</v>
      </c>
      <c r="E7" s="836" t="str">
        <f>IF(COUNTA(POCF!J8,POCF!J30)&gt;0,"Sí — revisar","No (automático)")</f>
        <v>No (automático)</v>
      </c>
      <c r="F7" s="849">
        <f>AVERAGE('Trailing Valuation'!I15:K15)</f>
        <v>21.3484103129765</v>
      </c>
      <c r="G7" s="849">
        <f>AVERAGE('Trailing Valuation'!G15:K15)</f>
        <v>24.1703161669033</v>
      </c>
      <c r="H7" s="849">
        <f>AVERAGE('Trailing Valuation'!B15:K15)</f>
        <v>21.1015801764324</v>
      </c>
      <c r="I7" s="849">
        <f>MEDIAN('Trailing Valuation'!B15:K15)</f>
        <v>21.0321271478161</v>
      </c>
      <c r="J7" s="849">
        <f>MIN('Trailing Valuation'!B15:K15)</f>
        <v>12.6224115705602</v>
      </c>
      <c r="K7" s="849">
        <f>MAX('Trailing Valuation'!B15:K15)</f>
        <v>29.4503260198129</v>
      </c>
      <c r="L7" s="849">
        <f>AVERAGE(Sector!J2:J7)</f>
        <v>18.6833333333333</v>
      </c>
      <c r="M7" s="849">
        <f>MEDIAN(Sector!J2:J7)</f>
        <v>18.21</v>
      </c>
    </row>
    <row r="8">
      <c r="A8" s="846" t="s">
        <v>109</v>
      </c>
      <c r="B8" s="849">
        <f>PE!F8</f>
        <v>13.2087016997552</v>
      </c>
      <c r="C8" s="849">
        <f>PE!F19</f>
        <v>14.6763352219502</v>
      </c>
      <c r="D8" s="849">
        <f>PE!F30</f>
        <v>16.1439687441452</v>
      </c>
      <c r="E8" s="836" t="str">
        <f>IF(COUNTA(PE!J8,PE!J30)&gt;0,"Sí — revisar","No (automático)")</f>
        <v>No (automático)</v>
      </c>
      <c r="F8" s="849">
        <f>AVERAGE('Trailing Valuation'!I13:K13)</f>
        <v>26.4955992667117</v>
      </c>
      <c r="G8" s="849">
        <f>AVERAGE('Trailing Valuation'!G13:K13)</f>
        <v>30.4944455324196</v>
      </c>
      <c r="H8" s="849">
        <f>AVERAGE('Trailing Valuation'!B13:K13)</f>
        <v>25.923114528676</v>
      </c>
      <c r="I8" s="849">
        <f>MEDIAN('Trailing Valuation'!B13:K13)</f>
        <v>24.6202245145918</v>
      </c>
      <c r="J8" s="849">
        <f>MIN('Trailing Valuation'!B13:K13)</f>
        <v>14.6925287356322</v>
      </c>
      <c r="K8" s="849">
        <f>MAX('Trailing Valuation'!B13:K13)</f>
        <v>38.9745075318656</v>
      </c>
      <c r="L8" s="849">
        <f>AVERAGE(Sector!F2:F7)</f>
        <v>44.615</v>
      </c>
      <c r="M8" s="849">
        <f>MEDIAN(Sector!F2:F7)</f>
        <v>31.1</v>
      </c>
    </row>
    <row r="9">
      <c r="A9" s="846" t="s">
        <v>110</v>
      </c>
      <c r="B9" s="849">
        <f>PFCFE!F8</f>
        <v>15.2677877904939</v>
      </c>
      <c r="C9" s="849">
        <f>PFCFE!F19</f>
        <v>16.9642086561043</v>
      </c>
      <c r="D9" s="849">
        <f>PFCFE!F30</f>
        <v>18.6606295217147</v>
      </c>
      <c r="E9" s="836" t="str">
        <f>IF(COUNTA(PFCFE!J8,PFCFE!J30)&gt;0,"Sí — revisar","No (automático)")</f>
        <v>No (automático)</v>
      </c>
      <c r="F9" s="849">
        <f>AVERAGE('Trailing Valuation'!I16:K16)</f>
        <v>33.3787004553034</v>
      </c>
      <c r="G9" s="849">
        <f>AVERAGE('Trailing Valuation'!G16:K16)</f>
        <v>33.1508929387112</v>
      </c>
      <c r="H9" s="849">
        <f>AVERAGE('Trailing Valuation'!B16:K16)</f>
        <v>27.4537887884277</v>
      </c>
      <c r="I9" s="849">
        <f>MEDIAN('Trailing Valuation'!B16:K16)</f>
        <v>25.8722899448962</v>
      </c>
      <c r="J9" s="849">
        <f>MIN('Trailing Valuation'!B16:K16)</f>
        <v>14.9265459291891</v>
      </c>
      <c r="K9" s="849">
        <f>MAX('Trailing Valuation'!B16:K16)</f>
        <v>38.4782837900604</v>
      </c>
      <c r="L9" s="849">
        <f>AVERAGE(Sector!H2:H7)</f>
        <v>25.0433333333333</v>
      </c>
      <c r="M9" s="849">
        <f>MEDIAN(Sector!H2:H7)</f>
        <v>22.49</v>
      </c>
    </row>
    <row r="10">
      <c r="A10" s="846" t="s">
        <v>107</v>
      </c>
      <c r="B10" s="849">
        <f>EVEBITDA!F8</f>
        <v>9.69299800990625</v>
      </c>
      <c r="C10" s="849">
        <f>EVEBITDA!F19</f>
        <v>10.7699977887847</v>
      </c>
      <c r="D10" s="849">
        <f>EVEBITDA!F30</f>
        <v>11.8469975676632</v>
      </c>
      <c r="E10" s="836" t="str">
        <f>IF(COUNTA(EVEBITDA!J8,EVEBITDA!J30)&gt;0,"Sí — revisar","No (automático)")</f>
        <v>No (automático)</v>
      </c>
      <c r="F10" s="849">
        <f>AVERAGE('Trailing Valuation'!I21:K21)</f>
        <v>19.2974539206743</v>
      </c>
      <c r="G10" s="849">
        <f>AVERAGE('Trailing Valuation'!G21:K21)</f>
        <v>21.873035903323</v>
      </c>
      <c r="H10" s="849">
        <f>AVERAGE('Trailing Valuation'!B21:K21)</f>
        <v>18.4368513890284</v>
      </c>
      <c r="I10" s="849">
        <f>MEDIAN('Trailing Valuation'!B21:K21)</f>
        <v>17.2151734614736</v>
      </c>
      <c r="J10" s="849">
        <f>MIN('Trailing Valuation'!B21:K21)</f>
        <v>10.7699977887847</v>
      </c>
      <c r="K10" s="849">
        <f>MAX('Trailing Valuation'!B21:K21)</f>
        <v>28.5240325955833</v>
      </c>
      <c r="L10" s="849">
        <f>AVERAGE(Sector!I2:I7)</f>
        <v>14.4516666666667</v>
      </c>
      <c r="M10" s="849">
        <f>MEDIAN(Sector!I2:I7)</f>
        <v>14.54</v>
      </c>
    </row>
    <row r="12" ht="75.0" customHeight="1">
      <c r="A12" s="853" t="s">
        <v>1554</v>
      </c>
    </row>
  </sheetData>
  <mergeCells count="2">
    <mergeCell ref="A3:E3"/>
    <mergeCell ref="A12:E12"/>
  </mergeCells>
  <drawing r:id="rId1"/>
</worksheet>
</file>